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Z:\Drashti\"/>
    </mc:Choice>
  </mc:AlternateContent>
  <xr:revisionPtr revIDLastSave="0" documentId="13_ncr:1_{0F597CA5-0BBE-4023-B7A1-DC358B699C0E}" xr6:coauthVersionLast="47" xr6:coauthVersionMax="47" xr10:uidLastSave="{00000000-0000-0000-0000-000000000000}"/>
  <bookViews>
    <workbookView xWindow="-120" yWindow="-120" windowWidth="29040" windowHeight="15840" xr2:uid="{00000000-000D-0000-FFFF-FFFF00000000}"/>
  </bookViews>
  <sheets>
    <sheet name="deshboard" sheetId="2" r:id="rId1"/>
    <sheet name="Sheet2" sheetId="3" r:id="rId2"/>
    <sheet name="Amazon_Sales_Data" sheetId="1" r:id="rId3"/>
  </sheets>
  <definedNames>
    <definedName name="Slicer_Brand">#N/A</definedName>
    <definedName name="Slicer_City">#N/A</definedName>
    <definedName name="Slicer_Product_Name">#N/A</definedName>
    <definedName name="Slicer_Sub_Categor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3" l="1"/>
  <c r="D7" i="3"/>
  <c r="D6" i="3"/>
  <c r="Q2" i="3"/>
  <c r="P3" i="3" a="1"/>
  <c r="P3" i="3" s="1"/>
  <c r="O3" i="3" a="1"/>
  <c r="O3" i="3" s="1"/>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 r="K701" i="3"/>
  <c r="K702" i="3"/>
  <c r="K703" i="3"/>
  <c r="K704" i="3"/>
  <c r="K705" i="3"/>
  <c r="K706" i="3"/>
  <c r="K707" i="3"/>
  <c r="K708" i="3"/>
  <c r="K709" i="3"/>
  <c r="K710" i="3"/>
  <c r="K711" i="3"/>
  <c r="K712" i="3"/>
  <c r="K713" i="3"/>
  <c r="K714" i="3"/>
  <c r="K715" i="3"/>
  <c r="K716" i="3"/>
  <c r="K717" i="3"/>
  <c r="K718" i="3"/>
  <c r="K719" i="3"/>
  <c r="K720" i="3"/>
  <c r="K721" i="3"/>
  <c r="K722" i="3"/>
  <c r="K723" i="3"/>
  <c r="K724" i="3"/>
  <c r="K725" i="3"/>
  <c r="K726" i="3"/>
  <c r="K727" i="3"/>
  <c r="K728" i="3"/>
  <c r="K729" i="3"/>
  <c r="K730" i="3"/>
  <c r="K731" i="3"/>
  <c r="K732" i="3"/>
  <c r="K733" i="3"/>
  <c r="K734" i="3"/>
  <c r="K735" i="3"/>
  <c r="K736" i="3"/>
  <c r="K737" i="3"/>
  <c r="K738" i="3"/>
  <c r="K739" i="3"/>
  <c r="K740" i="3"/>
  <c r="K741" i="3"/>
  <c r="K742" i="3"/>
  <c r="K743" i="3"/>
  <c r="K744" i="3"/>
  <c r="K745" i="3"/>
  <c r="K746" i="3"/>
  <c r="K747" i="3"/>
  <c r="K748" i="3"/>
  <c r="K749" i="3"/>
  <c r="K750" i="3"/>
  <c r="K751" i="3"/>
  <c r="K752" i="3"/>
  <c r="K753" i="3"/>
  <c r="K754" i="3"/>
  <c r="K755" i="3"/>
  <c r="K756" i="3"/>
  <c r="K757" i="3"/>
  <c r="K758" i="3"/>
  <c r="K759" i="3"/>
  <c r="K760" i="3"/>
  <c r="K761" i="3"/>
  <c r="K762" i="3"/>
  <c r="K763" i="3"/>
  <c r="K764" i="3"/>
  <c r="K765" i="3"/>
  <c r="K766" i="3"/>
  <c r="K767" i="3"/>
  <c r="K768" i="3"/>
  <c r="K769" i="3"/>
  <c r="K770" i="3"/>
  <c r="K771" i="3"/>
  <c r="K772" i="3"/>
  <c r="K773" i="3"/>
  <c r="K774" i="3"/>
  <c r="K775" i="3"/>
  <c r="K776" i="3"/>
  <c r="K777" i="3"/>
  <c r="K778" i="3"/>
  <c r="K779" i="3"/>
  <c r="K780" i="3"/>
  <c r="K781" i="3"/>
  <c r="K782" i="3"/>
  <c r="K783" i="3"/>
  <c r="K784" i="3"/>
  <c r="K785" i="3"/>
  <c r="K786" i="3"/>
  <c r="K787" i="3"/>
  <c r="K788" i="3"/>
  <c r="K789" i="3"/>
  <c r="K790" i="3"/>
  <c r="K791" i="3"/>
  <c r="K792" i="3"/>
  <c r="K793" i="3"/>
  <c r="K794" i="3"/>
  <c r="K795" i="3"/>
  <c r="K796" i="3"/>
  <c r="K797" i="3"/>
  <c r="K798" i="3"/>
  <c r="K799" i="3"/>
  <c r="K800" i="3"/>
  <c r="K801" i="3"/>
  <c r="K802" i="3"/>
  <c r="K803" i="3"/>
  <c r="K804" i="3"/>
  <c r="K805" i="3"/>
  <c r="K806" i="3"/>
  <c r="K807" i="3"/>
  <c r="K808" i="3"/>
  <c r="K809" i="3"/>
  <c r="K810" i="3"/>
  <c r="K811" i="3"/>
  <c r="K812" i="3"/>
  <c r="K813" i="3"/>
  <c r="K814" i="3"/>
  <c r="K815" i="3"/>
  <c r="K816" i="3"/>
  <c r="K817" i="3"/>
  <c r="K818" i="3"/>
  <c r="K819" i="3"/>
  <c r="K820" i="3"/>
  <c r="K821" i="3"/>
  <c r="K822" i="3"/>
  <c r="K823" i="3"/>
  <c r="K824" i="3"/>
  <c r="K825" i="3"/>
  <c r="K826" i="3"/>
  <c r="K827" i="3"/>
  <c r="K828" i="3"/>
  <c r="K829" i="3"/>
  <c r="K830" i="3"/>
  <c r="K831" i="3"/>
  <c r="K832" i="3"/>
  <c r="K833" i="3"/>
  <c r="K834" i="3"/>
  <c r="K835" i="3"/>
  <c r="K836" i="3"/>
  <c r="K837" i="3"/>
  <c r="K838" i="3"/>
  <c r="K839" i="3"/>
  <c r="K840" i="3"/>
  <c r="K841" i="3"/>
  <c r="K842" i="3"/>
  <c r="K843" i="3"/>
  <c r="K844" i="3"/>
  <c r="K845" i="3"/>
  <c r="K846" i="3"/>
  <c r="K847" i="3"/>
  <c r="K848" i="3"/>
  <c r="K849" i="3"/>
  <c r="K850" i="3"/>
  <c r="K851" i="3"/>
  <c r="K852" i="3"/>
  <c r="K853" i="3"/>
  <c r="K854" i="3"/>
  <c r="K855" i="3"/>
  <c r="K856" i="3"/>
  <c r="K857" i="3"/>
  <c r="K858" i="3"/>
  <c r="K859" i="3"/>
  <c r="K860" i="3"/>
  <c r="K861" i="3"/>
  <c r="K862" i="3"/>
  <c r="K863" i="3"/>
  <c r="K864" i="3"/>
  <c r="K865" i="3"/>
  <c r="K866" i="3"/>
  <c r="K867" i="3"/>
  <c r="K868" i="3"/>
  <c r="K869" i="3"/>
  <c r="K870" i="3"/>
  <c r="K871" i="3"/>
  <c r="K872" i="3"/>
  <c r="K873" i="3"/>
  <c r="K874" i="3"/>
  <c r="K875" i="3"/>
  <c r="K876" i="3"/>
  <c r="K877" i="3"/>
  <c r="K878" i="3"/>
  <c r="K879" i="3"/>
  <c r="K880" i="3"/>
  <c r="K881" i="3"/>
  <c r="K882" i="3"/>
  <c r="K883" i="3"/>
  <c r="K884" i="3"/>
  <c r="K885" i="3"/>
  <c r="K886" i="3"/>
  <c r="K887" i="3"/>
  <c r="K888" i="3"/>
  <c r="K889" i="3"/>
  <c r="K890" i="3"/>
  <c r="K891" i="3"/>
  <c r="K892" i="3"/>
  <c r="K893" i="3"/>
  <c r="K894" i="3"/>
  <c r="K895" i="3"/>
  <c r="K896" i="3"/>
  <c r="K897" i="3"/>
  <c r="K898" i="3"/>
  <c r="K899" i="3"/>
  <c r="K900" i="3"/>
  <c r="K901" i="3"/>
  <c r="K902" i="3"/>
  <c r="K903" i="3"/>
  <c r="K904" i="3"/>
  <c r="K905" i="3"/>
  <c r="K906" i="3"/>
  <c r="K907" i="3"/>
  <c r="K908" i="3"/>
  <c r="K909" i="3"/>
  <c r="K910" i="3"/>
  <c r="K911" i="3"/>
  <c r="K912" i="3"/>
  <c r="K913" i="3"/>
  <c r="K914" i="3"/>
  <c r="K915" i="3"/>
  <c r="K916" i="3"/>
  <c r="K917" i="3"/>
  <c r="K918" i="3"/>
  <c r="K919" i="3"/>
  <c r="K920" i="3"/>
  <c r="K921" i="3"/>
  <c r="K922" i="3"/>
  <c r="K923" i="3"/>
  <c r="K924" i="3"/>
  <c r="K925" i="3"/>
  <c r="K926" i="3"/>
  <c r="K927" i="3"/>
  <c r="K928" i="3"/>
  <c r="K929" i="3"/>
  <c r="K930" i="3"/>
  <c r="K931" i="3"/>
  <c r="K932" i="3"/>
  <c r="K933" i="3"/>
  <c r="K934" i="3"/>
  <c r="K935" i="3"/>
  <c r="K936" i="3"/>
  <c r="K937" i="3"/>
  <c r="K938" i="3"/>
  <c r="K939" i="3"/>
  <c r="K940" i="3"/>
  <c r="K941" i="3"/>
  <c r="K942" i="3"/>
  <c r="K943" i="3"/>
  <c r="K944" i="3"/>
  <c r="K945" i="3"/>
  <c r="K946" i="3"/>
  <c r="K947" i="3"/>
  <c r="K948" i="3"/>
  <c r="K949" i="3"/>
  <c r="K950" i="3"/>
  <c r="K951" i="3"/>
  <c r="K952" i="3"/>
  <c r="K953" i="3"/>
  <c r="K954" i="3"/>
  <c r="K955" i="3"/>
  <c r="K956" i="3"/>
  <c r="K957" i="3"/>
  <c r="K958" i="3"/>
  <c r="K959" i="3"/>
  <c r="K960" i="3"/>
  <c r="K961" i="3"/>
  <c r="K962" i="3"/>
  <c r="K963" i="3"/>
  <c r="K964" i="3"/>
  <c r="K965" i="3"/>
  <c r="K966" i="3"/>
  <c r="K967" i="3"/>
  <c r="K968" i="3"/>
  <c r="K969" i="3"/>
  <c r="K970" i="3"/>
  <c r="K971" i="3"/>
  <c r="K972" i="3"/>
  <c r="K973" i="3"/>
  <c r="K974" i="3"/>
  <c r="K975" i="3"/>
  <c r="K976" i="3"/>
  <c r="K977" i="3"/>
  <c r="K978" i="3"/>
  <c r="K979" i="3"/>
  <c r="K980" i="3"/>
  <c r="K981" i="3"/>
  <c r="K982" i="3"/>
  <c r="K983" i="3"/>
  <c r="K984" i="3"/>
  <c r="K985" i="3"/>
  <c r="K986" i="3"/>
  <c r="K987" i="3"/>
  <c r="K988" i="3"/>
  <c r="K989" i="3"/>
  <c r="K990" i="3"/>
  <c r="K991" i="3"/>
  <c r="K992" i="3"/>
  <c r="K993" i="3"/>
  <c r="K994" i="3"/>
  <c r="K995" i="3"/>
  <c r="K996" i="3"/>
  <c r="K997" i="3"/>
  <c r="K998" i="3"/>
  <c r="K999" i="3"/>
  <c r="K1000" i="3"/>
  <c r="K1001" i="3"/>
  <c r="K2" i="3"/>
  <c r="J3" i="3" a="1"/>
  <c r="J3" i="3" s="1"/>
  <c r="J4" i="3" a="1"/>
  <c r="J4" i="3"/>
  <c r="J5" i="3" a="1"/>
  <c r="J5" i="3" s="1"/>
  <c r="J6" i="3" a="1"/>
  <c r="J6" i="3" s="1"/>
  <c r="J7" i="3" a="1"/>
  <c r="J7" i="3" s="1"/>
  <c r="J8" i="3" a="1"/>
  <c r="J8" i="3" s="1"/>
  <c r="J9" i="3" a="1"/>
  <c r="J9" i="3" s="1"/>
  <c r="J10" i="3" a="1"/>
  <c r="J10" i="3" s="1"/>
  <c r="J11" i="3" a="1"/>
  <c r="J11" i="3" s="1"/>
  <c r="J12" i="3" a="1"/>
  <c r="J12" i="3"/>
  <c r="J13" i="3" a="1"/>
  <c r="J13" i="3" s="1"/>
  <c r="J14" i="3" a="1"/>
  <c r="J14" i="3" s="1"/>
  <c r="J15" i="3" a="1"/>
  <c r="J15" i="3" s="1"/>
  <c r="J16" i="3" a="1"/>
  <c r="J16" i="3" s="1"/>
  <c r="J17" i="3" a="1"/>
  <c r="J17" i="3" s="1"/>
  <c r="J18" i="3" a="1"/>
  <c r="J18" i="3"/>
  <c r="J19" i="3" a="1"/>
  <c r="J19" i="3" s="1"/>
  <c r="J20" i="3" a="1"/>
  <c r="J20" i="3"/>
  <c r="J21" i="3" a="1"/>
  <c r="J21" i="3" s="1"/>
  <c r="J22" i="3" a="1"/>
  <c r="J22" i="3" s="1"/>
  <c r="J23" i="3" a="1"/>
  <c r="J23" i="3" s="1"/>
  <c r="J24" i="3" a="1"/>
  <c r="J24" i="3" s="1"/>
  <c r="J25" i="3" a="1"/>
  <c r="J25" i="3" s="1"/>
  <c r="J26" i="3" a="1"/>
  <c r="J26" i="3" s="1"/>
  <c r="J27" i="3" a="1"/>
  <c r="J27" i="3" s="1"/>
  <c r="J28" i="3" a="1"/>
  <c r="J28" i="3"/>
  <c r="J29" i="3" a="1"/>
  <c r="J29" i="3" s="1"/>
  <c r="J30" i="3" a="1"/>
  <c r="J30" i="3" s="1"/>
  <c r="J31" i="3" a="1"/>
  <c r="J31" i="3" s="1"/>
  <c r="J32" i="3" a="1"/>
  <c r="J32" i="3" s="1"/>
  <c r="J33" i="3" a="1"/>
  <c r="J33" i="3" s="1"/>
  <c r="J34" i="3" a="1"/>
  <c r="J34" i="3"/>
  <c r="J35" i="3" a="1"/>
  <c r="J35" i="3" s="1"/>
  <c r="J36" i="3" a="1"/>
  <c r="J36" i="3"/>
  <c r="J37" i="3" a="1"/>
  <c r="J37" i="3" s="1"/>
  <c r="J38" i="3" a="1"/>
  <c r="J38" i="3" s="1"/>
  <c r="J39" i="3" a="1"/>
  <c r="J39" i="3" s="1"/>
  <c r="J40" i="3" a="1"/>
  <c r="J40" i="3" s="1"/>
  <c r="J41" i="3" a="1"/>
  <c r="J41" i="3" s="1"/>
  <c r="J42" i="3" a="1"/>
  <c r="J42" i="3" s="1"/>
  <c r="J43" i="3" a="1"/>
  <c r="J43" i="3" s="1"/>
  <c r="J44" i="3" a="1"/>
  <c r="J44" i="3"/>
  <c r="J45" i="3" a="1"/>
  <c r="J45" i="3" s="1"/>
  <c r="J46" i="3" a="1"/>
  <c r="J46" i="3" s="1"/>
  <c r="J47" i="3" a="1"/>
  <c r="J47" i="3" s="1"/>
  <c r="J48" i="3" a="1"/>
  <c r="J48" i="3" s="1"/>
  <c r="J49" i="3" a="1"/>
  <c r="J49" i="3" s="1"/>
  <c r="J50" i="3" a="1"/>
  <c r="J50" i="3"/>
  <c r="J51" i="3" a="1"/>
  <c r="J51" i="3" s="1"/>
  <c r="J52" i="3" a="1"/>
  <c r="J52" i="3"/>
  <c r="J53" i="3" a="1"/>
  <c r="J53" i="3" s="1"/>
  <c r="J54" i="3" a="1"/>
  <c r="J54" i="3" s="1"/>
  <c r="J55" i="3" a="1"/>
  <c r="J55" i="3" s="1"/>
  <c r="J56" i="3" a="1"/>
  <c r="J56" i="3" s="1"/>
  <c r="J57" i="3" a="1"/>
  <c r="J57" i="3" s="1"/>
  <c r="J58" i="3" a="1"/>
  <c r="J58" i="3" s="1"/>
  <c r="J59" i="3" a="1"/>
  <c r="J59" i="3" s="1"/>
  <c r="J60" i="3" a="1"/>
  <c r="J60" i="3"/>
  <c r="J61" i="3" a="1"/>
  <c r="J61" i="3" s="1"/>
  <c r="J62" i="3" a="1"/>
  <c r="J62" i="3" s="1"/>
  <c r="J63" i="3" a="1"/>
  <c r="J63" i="3" s="1"/>
  <c r="J64" i="3" a="1"/>
  <c r="J64" i="3" s="1"/>
  <c r="J65" i="3" a="1"/>
  <c r="J65" i="3" s="1"/>
  <c r="J66" i="3" a="1"/>
  <c r="J66" i="3"/>
  <c r="J67" i="3" a="1"/>
  <c r="J67" i="3" s="1"/>
  <c r="J68" i="3" a="1"/>
  <c r="J68" i="3"/>
  <c r="J69" i="3" a="1"/>
  <c r="J69" i="3" s="1"/>
  <c r="J70" i="3" a="1"/>
  <c r="J70" i="3" s="1"/>
  <c r="J71" i="3" a="1"/>
  <c r="J71" i="3" s="1"/>
  <c r="J72" i="3" a="1"/>
  <c r="J72" i="3" s="1"/>
  <c r="J73" i="3" a="1"/>
  <c r="J73" i="3" s="1"/>
  <c r="J74" i="3" a="1"/>
  <c r="J74" i="3" s="1"/>
  <c r="J75" i="3" a="1"/>
  <c r="J75" i="3" s="1"/>
  <c r="J76" i="3" a="1"/>
  <c r="J76" i="3"/>
  <c r="J77" i="3" a="1"/>
  <c r="J77" i="3" s="1"/>
  <c r="J78" i="3" a="1"/>
  <c r="J78" i="3" s="1"/>
  <c r="J79" i="3" a="1"/>
  <c r="J79" i="3" s="1"/>
  <c r="J80" i="3" a="1"/>
  <c r="J80" i="3" s="1"/>
  <c r="J81" i="3" a="1"/>
  <c r="J81" i="3" s="1"/>
  <c r="J82" i="3" a="1"/>
  <c r="J82" i="3"/>
  <c r="J83" i="3" a="1"/>
  <c r="J83" i="3" s="1"/>
  <c r="J84" i="3" a="1"/>
  <c r="J84" i="3"/>
  <c r="J85" i="3" a="1"/>
  <c r="J85" i="3" s="1"/>
  <c r="J86" i="3" a="1"/>
  <c r="J86" i="3" s="1"/>
  <c r="J87" i="3" a="1"/>
  <c r="J87" i="3" s="1"/>
  <c r="J88" i="3" a="1"/>
  <c r="J88" i="3" s="1"/>
  <c r="J89" i="3" a="1"/>
  <c r="J89" i="3" s="1"/>
  <c r="J90" i="3" a="1"/>
  <c r="J90" i="3" s="1"/>
  <c r="J91" i="3" a="1"/>
  <c r="J91" i="3" s="1"/>
  <c r="J92" i="3" a="1"/>
  <c r="J92" i="3"/>
  <c r="J93" i="3" a="1"/>
  <c r="J93" i="3" s="1"/>
  <c r="J94" i="3" a="1"/>
  <c r="J94" i="3" s="1"/>
  <c r="J95" i="3" a="1"/>
  <c r="J95" i="3" s="1"/>
  <c r="J96" i="3" a="1"/>
  <c r="J96" i="3" s="1"/>
  <c r="J97" i="3" a="1"/>
  <c r="J97" i="3" s="1"/>
  <c r="J98" i="3" a="1"/>
  <c r="J98" i="3"/>
  <c r="J99" i="3" a="1"/>
  <c r="J99" i="3" s="1"/>
  <c r="J100" i="3" a="1"/>
  <c r="J100" i="3"/>
  <c r="J101" i="3" a="1"/>
  <c r="J101" i="3" s="1"/>
  <c r="J102" i="3" a="1"/>
  <c r="J102" i="3" s="1"/>
  <c r="J103" i="3" a="1"/>
  <c r="J103" i="3" s="1"/>
  <c r="J104" i="3" a="1"/>
  <c r="J104" i="3" s="1"/>
  <c r="J105" i="3" a="1"/>
  <c r="J105" i="3" s="1"/>
  <c r="J106" i="3" a="1"/>
  <c r="J106" i="3" s="1"/>
  <c r="J107" i="3" a="1"/>
  <c r="J107" i="3" s="1"/>
  <c r="J108" i="3" a="1"/>
  <c r="J108" i="3"/>
  <c r="J109" i="3" a="1"/>
  <c r="J109" i="3" s="1"/>
  <c r="J110" i="3" a="1"/>
  <c r="J110" i="3" s="1"/>
  <c r="J111" i="3" a="1"/>
  <c r="J111" i="3" s="1"/>
  <c r="J112" i="3" a="1"/>
  <c r="J112" i="3" s="1"/>
  <c r="J113" i="3" a="1"/>
  <c r="J113" i="3" s="1"/>
  <c r="J114" i="3" a="1"/>
  <c r="J114" i="3"/>
  <c r="J115" i="3" a="1"/>
  <c r="J115" i="3" s="1"/>
  <c r="J116" i="3" a="1"/>
  <c r="J116" i="3"/>
  <c r="J117" i="3" a="1"/>
  <c r="J117" i="3" s="1"/>
  <c r="J118" i="3" a="1"/>
  <c r="J118" i="3" s="1"/>
  <c r="J119" i="3" a="1"/>
  <c r="J119" i="3" s="1"/>
  <c r="J120" i="3" a="1"/>
  <c r="J120" i="3" s="1"/>
  <c r="J121" i="3" a="1"/>
  <c r="J121" i="3" s="1"/>
  <c r="J122" i="3" a="1"/>
  <c r="J122" i="3" s="1"/>
  <c r="J123" i="3" a="1"/>
  <c r="J123" i="3" s="1"/>
  <c r="J124" i="3" a="1"/>
  <c r="J124" i="3"/>
  <c r="J125" i="3" a="1"/>
  <c r="J125" i="3" s="1"/>
  <c r="J126" i="3" a="1"/>
  <c r="J126" i="3" s="1"/>
  <c r="J127" i="3" a="1"/>
  <c r="J127" i="3" s="1"/>
  <c r="J128" i="3" a="1"/>
  <c r="J128" i="3" s="1"/>
  <c r="J129" i="3" a="1"/>
  <c r="J129" i="3" s="1"/>
  <c r="J130" i="3" a="1"/>
  <c r="J130" i="3"/>
  <c r="J131" i="3" a="1"/>
  <c r="J131" i="3" s="1"/>
  <c r="J132" i="3" a="1"/>
  <c r="J132" i="3"/>
  <c r="J133" i="3" a="1"/>
  <c r="J133" i="3" s="1"/>
  <c r="J134" i="3" a="1"/>
  <c r="J134" i="3" s="1"/>
  <c r="J135" i="3" a="1"/>
  <c r="J135" i="3" s="1"/>
  <c r="J136" i="3" a="1"/>
  <c r="J136" i="3" s="1"/>
  <c r="J137" i="3" a="1"/>
  <c r="J137" i="3" s="1"/>
  <c r="J138" i="3" a="1"/>
  <c r="J138" i="3" s="1"/>
  <c r="J139" i="3" a="1"/>
  <c r="J139" i="3" s="1"/>
  <c r="J140" i="3" a="1"/>
  <c r="J140" i="3"/>
  <c r="J141" i="3" a="1"/>
  <c r="J141" i="3" s="1"/>
  <c r="J142" i="3" a="1"/>
  <c r="J142" i="3" s="1"/>
  <c r="J143" i="3" a="1"/>
  <c r="J143" i="3" s="1"/>
  <c r="J144" i="3" a="1"/>
  <c r="J144" i="3" s="1"/>
  <c r="J145" i="3" a="1"/>
  <c r="J145" i="3" s="1"/>
  <c r="J146" i="3" a="1"/>
  <c r="J146" i="3"/>
  <c r="J147" i="3" a="1"/>
  <c r="J147" i="3" s="1"/>
  <c r="J148" i="3" a="1"/>
  <c r="J148" i="3"/>
  <c r="J149" i="3" a="1"/>
  <c r="J149" i="3" s="1"/>
  <c r="J150" i="3" a="1"/>
  <c r="J150" i="3" s="1"/>
  <c r="J151" i="3" a="1"/>
  <c r="J151" i="3" s="1"/>
  <c r="J152" i="3" a="1"/>
  <c r="J152" i="3" s="1"/>
  <c r="J153" i="3" a="1"/>
  <c r="J153" i="3" s="1"/>
  <c r="J154" i="3" a="1"/>
  <c r="J154" i="3" s="1"/>
  <c r="J155" i="3" a="1"/>
  <c r="J155" i="3" s="1"/>
  <c r="J156" i="3" a="1"/>
  <c r="J156" i="3"/>
  <c r="J157" i="3" a="1"/>
  <c r="J157" i="3" s="1"/>
  <c r="J158" i="3" a="1"/>
  <c r="J158" i="3" s="1"/>
  <c r="J159" i="3" a="1"/>
  <c r="J159" i="3" s="1"/>
  <c r="J160" i="3" a="1"/>
  <c r="J160" i="3" s="1"/>
  <c r="J161" i="3" a="1"/>
  <c r="J161" i="3" s="1"/>
  <c r="J162" i="3" a="1"/>
  <c r="J162" i="3"/>
  <c r="J163" i="3" a="1"/>
  <c r="J163" i="3" s="1"/>
  <c r="J164" i="3" a="1"/>
  <c r="J164" i="3"/>
  <c r="J165" i="3" a="1"/>
  <c r="J165" i="3" s="1"/>
  <c r="J166" i="3" a="1"/>
  <c r="J166" i="3" s="1"/>
  <c r="J167" i="3" a="1"/>
  <c r="J167" i="3" s="1"/>
  <c r="J168" i="3" a="1"/>
  <c r="J168" i="3" s="1"/>
  <c r="J169" i="3" a="1"/>
  <c r="J169" i="3" s="1"/>
  <c r="J170" i="3" a="1"/>
  <c r="J170" i="3" s="1"/>
  <c r="J171" i="3" a="1"/>
  <c r="J171" i="3" s="1"/>
  <c r="J172" i="3" a="1"/>
  <c r="J172" i="3"/>
  <c r="J173" i="3" a="1"/>
  <c r="J173" i="3" s="1"/>
  <c r="J174" i="3" a="1"/>
  <c r="J174" i="3"/>
  <c r="J175" i="3" a="1"/>
  <c r="J175" i="3" s="1"/>
  <c r="J176" i="3" a="1"/>
  <c r="J176" i="3"/>
  <c r="J177" i="3" a="1"/>
  <c r="J177" i="3" s="1"/>
  <c r="J178" i="3" a="1"/>
  <c r="J178" i="3" s="1"/>
  <c r="J179" i="3" a="1"/>
  <c r="J179" i="3" s="1"/>
  <c r="J180" i="3" a="1"/>
  <c r="J180" i="3" s="1"/>
  <c r="J181" i="3" a="1"/>
  <c r="J181" i="3" s="1"/>
  <c r="J182" i="3" a="1"/>
  <c r="J182" i="3"/>
  <c r="J183" i="3" a="1"/>
  <c r="J183" i="3" s="1"/>
  <c r="J184" i="3" a="1"/>
  <c r="J184" i="3"/>
  <c r="J185" i="3" a="1"/>
  <c r="J185" i="3" s="1"/>
  <c r="J186" i="3" a="1"/>
  <c r="J186" i="3" s="1"/>
  <c r="J187" i="3" a="1"/>
  <c r="J187" i="3" s="1"/>
  <c r="J188" i="3" a="1"/>
  <c r="J188" i="3" s="1"/>
  <c r="J189" i="3" a="1"/>
  <c r="J189" i="3" s="1"/>
  <c r="J190" i="3" a="1"/>
  <c r="J190" i="3"/>
  <c r="J191" i="3" a="1"/>
  <c r="J191" i="3" s="1"/>
  <c r="J192" i="3" a="1"/>
  <c r="J192" i="3"/>
  <c r="J193" i="3" a="1"/>
  <c r="J193" i="3" s="1"/>
  <c r="J194" i="3" a="1"/>
  <c r="J194" i="3" s="1"/>
  <c r="J195" i="3" a="1"/>
  <c r="J195" i="3" s="1"/>
  <c r="J196" i="3" a="1"/>
  <c r="J196" i="3" s="1"/>
  <c r="J197" i="3" a="1"/>
  <c r="J197" i="3" s="1"/>
  <c r="J198" i="3" a="1"/>
  <c r="J198" i="3"/>
  <c r="J199" i="3" a="1"/>
  <c r="J199" i="3" s="1"/>
  <c r="J200" i="3" a="1"/>
  <c r="J200" i="3"/>
  <c r="J201" i="3" a="1"/>
  <c r="J201" i="3" s="1"/>
  <c r="J202" i="3" a="1"/>
  <c r="J202" i="3" s="1"/>
  <c r="J203" i="3" a="1"/>
  <c r="J203" i="3" s="1"/>
  <c r="J204" i="3" a="1"/>
  <c r="J204" i="3" s="1"/>
  <c r="J205" i="3" a="1"/>
  <c r="J205" i="3" s="1"/>
  <c r="J206" i="3" a="1"/>
  <c r="J206" i="3"/>
  <c r="J207" i="3" a="1"/>
  <c r="J207" i="3" s="1"/>
  <c r="J208" i="3" a="1"/>
  <c r="J208" i="3"/>
  <c r="J209" i="3" a="1"/>
  <c r="J209" i="3" s="1"/>
  <c r="J210" i="3" a="1"/>
  <c r="J210" i="3" s="1"/>
  <c r="J211" i="3" a="1"/>
  <c r="J211" i="3" s="1"/>
  <c r="J212" i="3" a="1"/>
  <c r="J212" i="3" s="1"/>
  <c r="J213" i="3" a="1"/>
  <c r="J213" i="3" s="1"/>
  <c r="J214" i="3" a="1"/>
  <c r="J214" i="3"/>
  <c r="J215" i="3" a="1"/>
  <c r="J215" i="3" s="1"/>
  <c r="J216" i="3" a="1"/>
  <c r="J216" i="3"/>
  <c r="J217" i="3" a="1"/>
  <c r="J217" i="3" s="1"/>
  <c r="J218" i="3" a="1"/>
  <c r="J218" i="3" s="1"/>
  <c r="J219" i="3" a="1"/>
  <c r="J219" i="3" s="1"/>
  <c r="J220" i="3" a="1"/>
  <c r="J220" i="3" s="1"/>
  <c r="J221" i="3" a="1"/>
  <c r="J221" i="3" s="1"/>
  <c r="J222" i="3" a="1"/>
  <c r="J222" i="3"/>
  <c r="J223" i="3" a="1"/>
  <c r="J223" i="3" s="1"/>
  <c r="J224" i="3" a="1"/>
  <c r="J224" i="3"/>
  <c r="J225" i="3" a="1"/>
  <c r="J225" i="3" s="1"/>
  <c r="J226" i="3" a="1"/>
  <c r="J226" i="3" s="1"/>
  <c r="J227" i="3" a="1"/>
  <c r="J227" i="3" s="1"/>
  <c r="J228" i="3" a="1"/>
  <c r="J228" i="3" s="1"/>
  <c r="J229" i="3" a="1"/>
  <c r="J229" i="3" s="1"/>
  <c r="J230" i="3" a="1"/>
  <c r="J230" i="3"/>
  <c r="J231" i="3" a="1"/>
  <c r="J231" i="3" s="1"/>
  <c r="J232" i="3" a="1"/>
  <c r="J232" i="3"/>
  <c r="J233" i="3" a="1"/>
  <c r="J233" i="3" s="1"/>
  <c r="J234" i="3" a="1"/>
  <c r="J234" i="3" s="1"/>
  <c r="J235" i="3" a="1"/>
  <c r="J235" i="3" s="1"/>
  <c r="J236" i="3" a="1"/>
  <c r="J236" i="3" s="1"/>
  <c r="J237" i="3" a="1"/>
  <c r="J237" i="3" s="1"/>
  <c r="J238" i="3" a="1"/>
  <c r="J238" i="3"/>
  <c r="J239" i="3" a="1"/>
  <c r="J239" i="3" s="1"/>
  <c r="J240" i="3" a="1"/>
  <c r="J240" i="3"/>
  <c r="J241" i="3" a="1"/>
  <c r="J241" i="3" s="1"/>
  <c r="J242" i="3" a="1"/>
  <c r="J242" i="3" s="1"/>
  <c r="J243" i="3" a="1"/>
  <c r="J243" i="3" s="1"/>
  <c r="J244" i="3" a="1"/>
  <c r="J244" i="3" s="1"/>
  <c r="J245" i="3" a="1"/>
  <c r="J245" i="3" s="1"/>
  <c r="J246" i="3" a="1"/>
  <c r="J246" i="3"/>
  <c r="J247" i="3" a="1"/>
  <c r="J247" i="3" s="1"/>
  <c r="J248" i="3" a="1"/>
  <c r="J248" i="3"/>
  <c r="J249" i="3" a="1"/>
  <c r="J249" i="3" s="1"/>
  <c r="J250" i="3" a="1"/>
  <c r="J250" i="3" s="1"/>
  <c r="J251" i="3" a="1"/>
  <c r="J251" i="3" s="1"/>
  <c r="J252" i="3" a="1"/>
  <c r="J252" i="3" s="1"/>
  <c r="J253" i="3" a="1"/>
  <c r="J253" i="3" s="1"/>
  <c r="J254" i="3" a="1"/>
  <c r="J254" i="3"/>
  <c r="J255" i="3" a="1"/>
  <c r="J255" i="3" s="1"/>
  <c r="J256" i="3" a="1"/>
  <c r="J256" i="3"/>
  <c r="J257" i="3" a="1"/>
  <c r="J257" i="3" s="1"/>
  <c r="J258" i="3" a="1"/>
  <c r="J258" i="3" s="1"/>
  <c r="J259" i="3" a="1"/>
  <c r="J259" i="3" s="1"/>
  <c r="J260" i="3" a="1"/>
  <c r="J260" i="3" s="1"/>
  <c r="J261" i="3" a="1"/>
  <c r="J261" i="3" s="1"/>
  <c r="J262" i="3" a="1"/>
  <c r="J262" i="3"/>
  <c r="J263" i="3" a="1"/>
  <c r="J263" i="3" s="1"/>
  <c r="J264" i="3" a="1"/>
  <c r="J264" i="3"/>
  <c r="J265" i="3" a="1"/>
  <c r="J265" i="3" s="1"/>
  <c r="J266" i="3" a="1"/>
  <c r="J266" i="3" s="1"/>
  <c r="J267" i="3" a="1"/>
  <c r="J267" i="3" s="1"/>
  <c r="J268" i="3" a="1"/>
  <c r="J268" i="3" s="1"/>
  <c r="J269" i="3" a="1"/>
  <c r="J269" i="3" s="1"/>
  <c r="J270" i="3" a="1"/>
  <c r="J270" i="3"/>
  <c r="J271" i="3" a="1"/>
  <c r="J271" i="3" s="1"/>
  <c r="J272" i="3" a="1"/>
  <c r="J272" i="3"/>
  <c r="J273" i="3" a="1"/>
  <c r="J273" i="3" s="1"/>
  <c r="J274" i="3" a="1"/>
  <c r="J274" i="3" s="1"/>
  <c r="J275" i="3" a="1"/>
  <c r="J275" i="3" s="1"/>
  <c r="J276" i="3" a="1"/>
  <c r="J276" i="3" s="1"/>
  <c r="J277" i="3" a="1"/>
  <c r="J277" i="3" s="1"/>
  <c r="J278" i="3" a="1"/>
  <c r="J278" i="3"/>
  <c r="J279" i="3" a="1"/>
  <c r="J279" i="3" s="1"/>
  <c r="J280" i="3" a="1"/>
  <c r="J280" i="3"/>
  <c r="J281" i="3" a="1"/>
  <c r="J281" i="3" s="1"/>
  <c r="J282" i="3" a="1"/>
  <c r="J282" i="3" s="1"/>
  <c r="J283" i="3" a="1"/>
  <c r="J283" i="3" s="1"/>
  <c r="J284" i="3" a="1"/>
  <c r="J284" i="3" s="1"/>
  <c r="J285" i="3" a="1"/>
  <c r="J285" i="3" s="1"/>
  <c r="J286" i="3" a="1"/>
  <c r="J286" i="3"/>
  <c r="J287" i="3" a="1"/>
  <c r="J287" i="3" s="1"/>
  <c r="J288" i="3" a="1"/>
  <c r="J288" i="3"/>
  <c r="J289" i="3" a="1"/>
  <c r="J289" i="3" s="1"/>
  <c r="J290" i="3" a="1"/>
  <c r="J290" i="3" s="1"/>
  <c r="J291" i="3" a="1"/>
  <c r="J291" i="3" s="1"/>
  <c r="J292" i="3" a="1"/>
  <c r="J292" i="3" s="1"/>
  <c r="J293" i="3" a="1"/>
  <c r="J293" i="3" s="1"/>
  <c r="J294" i="3" a="1"/>
  <c r="J294" i="3"/>
  <c r="J295" i="3" a="1"/>
  <c r="J295" i="3" s="1"/>
  <c r="J296" i="3" a="1"/>
  <c r="J296" i="3"/>
  <c r="J297" i="3" a="1"/>
  <c r="J297" i="3" s="1"/>
  <c r="J298" i="3" a="1"/>
  <c r="J298" i="3" s="1"/>
  <c r="J299" i="3" a="1"/>
  <c r="J299" i="3" s="1"/>
  <c r="J300" i="3" a="1"/>
  <c r="J300" i="3" s="1"/>
  <c r="J301" i="3" a="1"/>
  <c r="J301" i="3"/>
  <c r="J302" i="3" a="1"/>
  <c r="J302" i="3" s="1"/>
  <c r="J303" i="3" a="1"/>
  <c r="J303" i="3"/>
  <c r="J304" i="3" a="1"/>
  <c r="J304" i="3" s="1"/>
  <c r="J305" i="3" a="1"/>
  <c r="J305" i="3"/>
  <c r="J306" i="3" a="1"/>
  <c r="J306" i="3" s="1"/>
  <c r="J307" i="3" a="1"/>
  <c r="J307" i="3"/>
  <c r="J308" i="3" a="1"/>
  <c r="J308" i="3" s="1"/>
  <c r="J309" i="3" a="1"/>
  <c r="J309" i="3" s="1"/>
  <c r="J310" i="3" a="1"/>
  <c r="J310" i="3" s="1"/>
  <c r="J311" i="3" a="1"/>
  <c r="J311" i="3" s="1"/>
  <c r="J312" i="3" a="1"/>
  <c r="J312" i="3" s="1"/>
  <c r="J313" i="3" a="1"/>
  <c r="J313" i="3" s="1"/>
  <c r="J314" i="3" a="1"/>
  <c r="J314" i="3" s="1"/>
  <c r="J315" i="3" a="1"/>
  <c r="J315" i="3" s="1"/>
  <c r="J316" i="3" a="1"/>
  <c r="J316" i="3" s="1"/>
  <c r="J317" i="3" a="1"/>
  <c r="J317" i="3" s="1"/>
  <c r="J318" i="3" a="1"/>
  <c r="J318" i="3" s="1"/>
  <c r="J319" i="3" a="1"/>
  <c r="J319" i="3" s="1"/>
  <c r="J320" i="3" a="1"/>
  <c r="J320" i="3" s="1"/>
  <c r="J321" i="3" a="1"/>
  <c r="J321" i="3" s="1"/>
  <c r="J322" i="3" a="1"/>
  <c r="J322" i="3" s="1"/>
  <c r="J323" i="3" a="1"/>
  <c r="J323" i="3" s="1"/>
  <c r="J324" i="3" a="1"/>
  <c r="J324" i="3" s="1"/>
  <c r="J325" i="3" a="1"/>
  <c r="J325" i="3" s="1"/>
  <c r="J326" i="3" a="1"/>
  <c r="J326" i="3" s="1"/>
  <c r="J327" i="3" a="1"/>
  <c r="J327" i="3" s="1"/>
  <c r="J328" i="3" a="1"/>
  <c r="J328" i="3" s="1"/>
  <c r="J329" i="3" a="1"/>
  <c r="J329" i="3" s="1"/>
  <c r="J330" i="3" a="1"/>
  <c r="J330" i="3" s="1"/>
  <c r="J331" i="3" a="1"/>
  <c r="J331" i="3" s="1"/>
  <c r="J332" i="3" a="1"/>
  <c r="J332" i="3" s="1"/>
  <c r="J333" i="3" a="1"/>
  <c r="J333" i="3" s="1"/>
  <c r="J334" i="3" a="1"/>
  <c r="J334" i="3" s="1"/>
  <c r="J335" i="3" a="1"/>
  <c r="J335" i="3" s="1"/>
  <c r="J336" i="3" a="1"/>
  <c r="J336" i="3" s="1"/>
  <c r="J337" i="3" a="1"/>
  <c r="J337" i="3" s="1"/>
  <c r="J338" i="3" a="1"/>
  <c r="J338" i="3" s="1"/>
  <c r="J339" i="3" a="1"/>
  <c r="J339" i="3" s="1"/>
  <c r="J340" i="3" a="1"/>
  <c r="J340" i="3" s="1"/>
  <c r="J341" i="3" a="1"/>
  <c r="J341" i="3" s="1"/>
  <c r="J342" i="3" a="1"/>
  <c r="J342" i="3" s="1"/>
  <c r="J343" i="3" a="1"/>
  <c r="J343" i="3" s="1"/>
  <c r="J344" i="3" a="1"/>
  <c r="J344" i="3" s="1"/>
  <c r="J345" i="3" a="1"/>
  <c r="J345" i="3" s="1"/>
  <c r="J346" i="3" a="1"/>
  <c r="J346" i="3" s="1"/>
  <c r="J347" i="3" a="1"/>
  <c r="J347" i="3" s="1"/>
  <c r="J348" i="3" a="1"/>
  <c r="J348" i="3" s="1"/>
  <c r="J349" i="3" a="1"/>
  <c r="J349" i="3" s="1"/>
  <c r="J350" i="3" a="1"/>
  <c r="J350" i="3" s="1"/>
  <c r="J351" i="3" a="1"/>
  <c r="J351" i="3" s="1"/>
  <c r="J352" i="3" a="1"/>
  <c r="J352" i="3" s="1"/>
  <c r="J353" i="3" a="1"/>
  <c r="J353" i="3" s="1"/>
  <c r="J354" i="3" a="1"/>
  <c r="J354" i="3" s="1"/>
  <c r="J355" i="3" a="1"/>
  <c r="J355" i="3" s="1"/>
  <c r="J356" i="3" a="1"/>
  <c r="J356" i="3" s="1"/>
  <c r="J357" i="3" a="1"/>
  <c r="J357" i="3" s="1"/>
  <c r="J358" i="3" a="1"/>
  <c r="J358" i="3" s="1"/>
  <c r="J359" i="3" a="1"/>
  <c r="J359" i="3" s="1"/>
  <c r="J360" i="3" a="1"/>
  <c r="J360" i="3" s="1"/>
  <c r="J361" i="3" a="1"/>
  <c r="J361" i="3" s="1"/>
  <c r="J362" i="3" a="1"/>
  <c r="J362" i="3" s="1"/>
  <c r="J363" i="3" a="1"/>
  <c r="J363" i="3" s="1"/>
  <c r="J364" i="3" a="1"/>
  <c r="J364" i="3" s="1"/>
  <c r="J365" i="3" a="1"/>
  <c r="J365" i="3" s="1"/>
  <c r="J366" i="3" a="1"/>
  <c r="J366" i="3" s="1"/>
  <c r="J367" i="3" a="1"/>
  <c r="J367" i="3" s="1"/>
  <c r="J368" i="3" a="1"/>
  <c r="J368" i="3" s="1"/>
  <c r="J369" i="3" a="1"/>
  <c r="J369" i="3" s="1"/>
  <c r="J370" i="3" a="1"/>
  <c r="J370" i="3" s="1"/>
  <c r="J371" i="3" a="1"/>
  <c r="J371" i="3" s="1"/>
  <c r="J372" i="3" a="1"/>
  <c r="J372" i="3" s="1"/>
  <c r="J373" i="3" a="1"/>
  <c r="J373" i="3" s="1"/>
  <c r="J374" i="3" a="1"/>
  <c r="J374" i="3" s="1"/>
  <c r="J375" i="3" a="1"/>
  <c r="J375" i="3" s="1"/>
  <c r="J376" i="3" a="1"/>
  <c r="J376" i="3" s="1"/>
  <c r="J377" i="3" a="1"/>
  <c r="J377" i="3" s="1"/>
  <c r="J378" i="3" a="1"/>
  <c r="J378" i="3" s="1"/>
  <c r="J379" i="3" a="1"/>
  <c r="J379" i="3" s="1"/>
  <c r="J380" i="3" a="1"/>
  <c r="J380" i="3" s="1"/>
  <c r="J381" i="3" a="1"/>
  <c r="J381" i="3" s="1"/>
  <c r="J382" i="3" a="1"/>
  <c r="J382" i="3" s="1"/>
  <c r="J383" i="3" a="1"/>
  <c r="J383" i="3" s="1"/>
  <c r="J384" i="3" a="1"/>
  <c r="J384" i="3" s="1"/>
  <c r="J385" i="3" a="1"/>
  <c r="J385" i="3" s="1"/>
  <c r="J386" i="3" a="1"/>
  <c r="J386" i="3" s="1"/>
  <c r="J387" i="3" a="1"/>
  <c r="J387" i="3" s="1"/>
  <c r="J388" i="3" a="1"/>
  <c r="J388" i="3" s="1"/>
  <c r="J389" i="3" a="1"/>
  <c r="J389" i="3" s="1"/>
  <c r="J390" i="3" a="1"/>
  <c r="J390" i="3" s="1"/>
  <c r="J391" i="3" a="1"/>
  <c r="J391" i="3" s="1"/>
  <c r="J392" i="3" a="1"/>
  <c r="J392" i="3" s="1"/>
  <c r="J393" i="3" a="1"/>
  <c r="J393" i="3" s="1"/>
  <c r="J394" i="3" a="1"/>
  <c r="J394" i="3" s="1"/>
  <c r="J395" i="3" a="1"/>
  <c r="J395" i="3" s="1"/>
  <c r="J396" i="3" a="1"/>
  <c r="J396" i="3" s="1"/>
  <c r="J397" i="3" a="1"/>
  <c r="J397" i="3" s="1"/>
  <c r="J398" i="3" a="1"/>
  <c r="J398" i="3" s="1"/>
  <c r="J399" i="3" a="1"/>
  <c r="J399" i="3" s="1"/>
  <c r="J400" i="3" a="1"/>
  <c r="J400" i="3" s="1"/>
  <c r="J401" i="3" a="1"/>
  <c r="J401" i="3" s="1"/>
  <c r="J402" i="3" a="1"/>
  <c r="J402" i="3" s="1"/>
  <c r="J403" i="3" a="1"/>
  <c r="J403" i="3" s="1"/>
  <c r="J404" i="3" a="1"/>
  <c r="J404" i="3" s="1"/>
  <c r="J405" i="3" a="1"/>
  <c r="J405" i="3" s="1"/>
  <c r="J406" i="3" a="1"/>
  <c r="J406" i="3" s="1"/>
  <c r="J407" i="3" a="1"/>
  <c r="J407" i="3" s="1"/>
  <c r="J408" i="3" a="1"/>
  <c r="J408" i="3" s="1"/>
  <c r="J409" i="3" a="1"/>
  <c r="J409" i="3" s="1"/>
  <c r="J410" i="3" a="1"/>
  <c r="J410" i="3" s="1"/>
  <c r="J411" i="3" a="1"/>
  <c r="J411" i="3" s="1"/>
  <c r="J412" i="3" a="1"/>
  <c r="J412" i="3" s="1"/>
  <c r="J413" i="3" a="1"/>
  <c r="J413" i="3" s="1"/>
  <c r="J414" i="3" a="1"/>
  <c r="J414" i="3" s="1"/>
  <c r="J415" i="3" a="1"/>
  <c r="J415" i="3" s="1"/>
  <c r="J416" i="3" a="1"/>
  <c r="J416" i="3" s="1"/>
  <c r="J417" i="3" a="1"/>
  <c r="J417" i="3" s="1"/>
  <c r="J418" i="3" a="1"/>
  <c r="J418" i="3" s="1"/>
  <c r="J419" i="3" a="1"/>
  <c r="J419" i="3" s="1"/>
  <c r="J420" i="3" a="1"/>
  <c r="J420" i="3" s="1"/>
  <c r="J421" i="3" a="1"/>
  <c r="J421" i="3" s="1"/>
  <c r="J422" i="3" a="1"/>
  <c r="J422" i="3" s="1"/>
  <c r="J423" i="3" a="1"/>
  <c r="J423" i="3" s="1"/>
  <c r="J424" i="3" a="1"/>
  <c r="J424" i="3" s="1"/>
  <c r="J425" i="3" a="1"/>
  <c r="J425" i="3" s="1"/>
  <c r="J426" i="3" a="1"/>
  <c r="J426" i="3" s="1"/>
  <c r="J427" i="3" a="1"/>
  <c r="J427" i="3" s="1"/>
  <c r="J428" i="3" a="1"/>
  <c r="J428" i="3" s="1"/>
  <c r="J429" i="3" a="1"/>
  <c r="J429" i="3" s="1"/>
  <c r="J430" i="3" a="1"/>
  <c r="J430" i="3" s="1"/>
  <c r="J431" i="3" a="1"/>
  <c r="J431" i="3" s="1"/>
  <c r="J432" i="3" a="1"/>
  <c r="J432" i="3" s="1"/>
  <c r="J433" i="3" a="1"/>
  <c r="J433" i="3" s="1"/>
  <c r="J434" i="3" a="1"/>
  <c r="J434" i="3" s="1"/>
  <c r="J435" i="3" a="1"/>
  <c r="J435" i="3" s="1"/>
  <c r="J436" i="3" a="1"/>
  <c r="J436" i="3" s="1"/>
  <c r="J437" i="3" a="1"/>
  <c r="J437" i="3" s="1"/>
  <c r="J438" i="3" a="1"/>
  <c r="J438" i="3" s="1"/>
  <c r="J439" i="3" a="1"/>
  <c r="J439" i="3" s="1"/>
  <c r="J440" i="3" a="1"/>
  <c r="J440" i="3" s="1"/>
  <c r="J441" i="3" a="1"/>
  <c r="J441" i="3" s="1"/>
  <c r="J442" i="3" a="1"/>
  <c r="J442" i="3" s="1"/>
  <c r="J443" i="3" a="1"/>
  <c r="J443" i="3" s="1"/>
  <c r="J444" i="3" a="1"/>
  <c r="J444" i="3" s="1"/>
  <c r="J445" i="3" a="1"/>
  <c r="J445" i="3" s="1"/>
  <c r="J446" i="3" a="1"/>
  <c r="J446" i="3" s="1"/>
  <c r="J447" i="3" a="1"/>
  <c r="J447" i="3" s="1"/>
  <c r="J448" i="3" a="1"/>
  <c r="J448" i="3" s="1"/>
  <c r="J449" i="3" a="1"/>
  <c r="J449" i="3" s="1"/>
  <c r="J450" i="3" a="1"/>
  <c r="J450" i="3" s="1"/>
  <c r="J451" i="3" a="1"/>
  <c r="J451" i="3" s="1"/>
  <c r="J452" i="3" a="1"/>
  <c r="J452" i="3" s="1"/>
  <c r="J453" i="3" a="1"/>
  <c r="J453" i="3" s="1"/>
  <c r="J454" i="3" a="1"/>
  <c r="J454" i="3" s="1"/>
  <c r="J455" i="3" a="1"/>
  <c r="J455" i="3" s="1"/>
  <c r="J456" i="3" a="1"/>
  <c r="J456" i="3" s="1"/>
  <c r="J457" i="3" a="1"/>
  <c r="J457" i="3" s="1"/>
  <c r="J458" i="3" a="1"/>
  <c r="J458" i="3" s="1"/>
  <c r="J459" i="3" a="1"/>
  <c r="J459" i="3" s="1"/>
  <c r="J460" i="3" a="1"/>
  <c r="J460" i="3" s="1"/>
  <c r="J461" i="3" a="1"/>
  <c r="J461" i="3" s="1"/>
  <c r="J462" i="3" a="1"/>
  <c r="J462" i="3" s="1"/>
  <c r="J463" i="3" a="1"/>
  <c r="J463" i="3" s="1"/>
  <c r="J464" i="3" a="1"/>
  <c r="J464" i="3" s="1"/>
  <c r="J465" i="3" a="1"/>
  <c r="J465" i="3" s="1"/>
  <c r="J466" i="3" a="1"/>
  <c r="J466" i="3" s="1"/>
  <c r="J467" i="3" a="1"/>
  <c r="J467" i="3" s="1"/>
  <c r="J468" i="3" a="1"/>
  <c r="J468" i="3" s="1"/>
  <c r="J469" i="3" a="1"/>
  <c r="J469" i="3" s="1"/>
  <c r="J470" i="3" a="1"/>
  <c r="J470" i="3" s="1"/>
  <c r="J471" i="3" a="1"/>
  <c r="J471" i="3" s="1"/>
  <c r="J472" i="3" a="1"/>
  <c r="J472" i="3" s="1"/>
  <c r="J473" i="3" a="1"/>
  <c r="J473" i="3" s="1"/>
  <c r="J474" i="3" a="1"/>
  <c r="J474" i="3" s="1"/>
  <c r="J475" i="3" a="1"/>
  <c r="J475" i="3" s="1"/>
  <c r="J476" i="3" a="1"/>
  <c r="J476" i="3" s="1"/>
  <c r="J477" i="3" a="1"/>
  <c r="J477" i="3" s="1"/>
  <c r="J478" i="3" a="1"/>
  <c r="J478" i="3" s="1"/>
  <c r="J479" i="3" a="1"/>
  <c r="J479" i="3"/>
  <c r="J480" i="3" a="1"/>
  <c r="J480" i="3" s="1"/>
  <c r="J481" i="3" a="1"/>
  <c r="J481" i="3" s="1"/>
  <c r="J482" i="3" a="1"/>
  <c r="J482" i="3" s="1"/>
  <c r="J483" i="3" a="1"/>
  <c r="J483" i="3" s="1"/>
  <c r="J484" i="3" a="1"/>
  <c r="J484" i="3" s="1"/>
  <c r="J485" i="3" a="1"/>
  <c r="J485" i="3" s="1"/>
  <c r="J486" i="3" a="1"/>
  <c r="J486" i="3" s="1"/>
  <c r="J487" i="3" a="1"/>
  <c r="J487" i="3" s="1"/>
  <c r="J488" i="3" a="1"/>
  <c r="J488" i="3" s="1"/>
  <c r="J489" i="3" a="1"/>
  <c r="J489" i="3" s="1"/>
  <c r="J490" i="3" a="1"/>
  <c r="J490" i="3" s="1"/>
  <c r="J491" i="3" a="1"/>
  <c r="J491" i="3" s="1"/>
  <c r="J492" i="3" a="1"/>
  <c r="J492" i="3" s="1"/>
  <c r="J493" i="3" a="1"/>
  <c r="J493" i="3" s="1"/>
  <c r="J494" i="3" a="1"/>
  <c r="J494" i="3" s="1"/>
  <c r="J495" i="3" a="1"/>
  <c r="J495" i="3" s="1"/>
  <c r="J496" i="3" a="1"/>
  <c r="J496" i="3" s="1"/>
  <c r="J497" i="3" a="1"/>
  <c r="J497" i="3" s="1"/>
  <c r="J498" i="3" a="1"/>
  <c r="J498" i="3" s="1"/>
  <c r="J499" i="3" a="1"/>
  <c r="J499" i="3" s="1"/>
  <c r="J500" i="3" a="1"/>
  <c r="J500" i="3" s="1"/>
  <c r="J501" i="3" a="1"/>
  <c r="J501" i="3" s="1"/>
  <c r="J502" i="3" a="1"/>
  <c r="J502" i="3" s="1"/>
  <c r="J503" i="3" a="1"/>
  <c r="J503" i="3" s="1"/>
  <c r="J504" i="3" a="1"/>
  <c r="J504" i="3" s="1"/>
  <c r="J505" i="3" a="1"/>
  <c r="J505" i="3" s="1"/>
  <c r="J506" i="3" a="1"/>
  <c r="J506" i="3" s="1"/>
  <c r="J507" i="3" a="1"/>
  <c r="J507" i="3" s="1"/>
  <c r="J508" i="3" a="1"/>
  <c r="J508" i="3" s="1"/>
  <c r="J509" i="3" a="1"/>
  <c r="J509" i="3" s="1"/>
  <c r="J510" i="3" a="1"/>
  <c r="J510" i="3" s="1"/>
  <c r="J511" i="3" a="1"/>
  <c r="J511" i="3" s="1"/>
  <c r="J512" i="3" a="1"/>
  <c r="J512" i="3" s="1"/>
  <c r="J513" i="3" a="1"/>
  <c r="J513" i="3" s="1"/>
  <c r="J514" i="3" a="1"/>
  <c r="J514" i="3" s="1"/>
  <c r="J515" i="3" a="1"/>
  <c r="J515" i="3" s="1"/>
  <c r="J516" i="3" a="1"/>
  <c r="J516" i="3" s="1"/>
  <c r="J517" i="3" a="1"/>
  <c r="J517" i="3" s="1"/>
  <c r="J518" i="3" a="1"/>
  <c r="J518" i="3" s="1"/>
  <c r="J519" i="3" a="1"/>
  <c r="J519" i="3" s="1"/>
  <c r="J520" i="3" a="1"/>
  <c r="J520" i="3" s="1"/>
  <c r="J521" i="3" a="1"/>
  <c r="J521" i="3" s="1"/>
  <c r="J522" i="3" a="1"/>
  <c r="J522" i="3" s="1"/>
  <c r="J523" i="3" a="1"/>
  <c r="J523" i="3" s="1"/>
  <c r="J524" i="3" a="1"/>
  <c r="J524" i="3" s="1"/>
  <c r="J525" i="3" a="1"/>
  <c r="J525" i="3" s="1"/>
  <c r="J526" i="3" a="1"/>
  <c r="J526" i="3" s="1"/>
  <c r="J527" i="3" a="1"/>
  <c r="J527" i="3" s="1"/>
  <c r="J528" i="3" a="1"/>
  <c r="J528" i="3" s="1"/>
  <c r="J529" i="3" a="1"/>
  <c r="J529" i="3" s="1"/>
  <c r="J530" i="3" a="1"/>
  <c r="J530" i="3" s="1"/>
  <c r="J531" i="3" a="1"/>
  <c r="J531" i="3" s="1"/>
  <c r="J532" i="3" a="1"/>
  <c r="J532" i="3" s="1"/>
  <c r="J533" i="3" a="1"/>
  <c r="J533" i="3" s="1"/>
  <c r="J534" i="3" a="1"/>
  <c r="J534" i="3" s="1"/>
  <c r="J535" i="3" a="1"/>
  <c r="J535" i="3" s="1"/>
  <c r="J536" i="3" a="1"/>
  <c r="J536" i="3" s="1"/>
  <c r="J537" i="3" a="1"/>
  <c r="J537" i="3" s="1"/>
  <c r="J538" i="3" a="1"/>
  <c r="J538" i="3" s="1"/>
  <c r="J539" i="3" a="1"/>
  <c r="J539" i="3" s="1"/>
  <c r="J540" i="3" a="1"/>
  <c r="J540" i="3" s="1"/>
  <c r="J541" i="3" a="1"/>
  <c r="J541" i="3" s="1"/>
  <c r="J542" i="3" a="1"/>
  <c r="J542" i="3" s="1"/>
  <c r="J543" i="3" a="1"/>
  <c r="J543" i="3" s="1"/>
  <c r="J544" i="3" a="1"/>
  <c r="J544" i="3" s="1"/>
  <c r="J545" i="3" a="1"/>
  <c r="J545" i="3" s="1"/>
  <c r="J546" i="3" a="1"/>
  <c r="J546" i="3" s="1"/>
  <c r="J547" i="3" a="1"/>
  <c r="J547" i="3" s="1"/>
  <c r="J548" i="3" a="1"/>
  <c r="J548" i="3" s="1"/>
  <c r="J549" i="3" a="1"/>
  <c r="J549" i="3" s="1"/>
  <c r="J550" i="3" a="1"/>
  <c r="J550" i="3" s="1"/>
  <c r="J551" i="3" a="1"/>
  <c r="J551" i="3" s="1"/>
  <c r="J552" i="3" a="1"/>
  <c r="J552" i="3" s="1"/>
  <c r="J553" i="3" a="1"/>
  <c r="J553" i="3" s="1"/>
  <c r="J554" i="3" a="1"/>
  <c r="J554" i="3" s="1"/>
  <c r="J555" i="3" a="1"/>
  <c r="J555" i="3" s="1"/>
  <c r="J556" i="3" a="1"/>
  <c r="J556" i="3" s="1"/>
  <c r="J557" i="3" a="1"/>
  <c r="J557" i="3" s="1"/>
  <c r="J558" i="3" a="1"/>
  <c r="J558" i="3" s="1"/>
  <c r="J559" i="3" a="1"/>
  <c r="J559" i="3" s="1"/>
  <c r="J560" i="3" a="1"/>
  <c r="J560" i="3" s="1"/>
  <c r="J561" i="3" a="1"/>
  <c r="J561" i="3" s="1"/>
  <c r="J562" i="3" a="1"/>
  <c r="J562" i="3" s="1"/>
  <c r="J563" i="3" a="1"/>
  <c r="J563" i="3" s="1"/>
  <c r="J564" i="3" a="1"/>
  <c r="J564" i="3" s="1"/>
  <c r="J565" i="3" a="1"/>
  <c r="J565" i="3" s="1"/>
  <c r="J566" i="3" a="1"/>
  <c r="J566" i="3" s="1"/>
  <c r="J567" i="3" a="1"/>
  <c r="J567" i="3" s="1"/>
  <c r="J568" i="3" a="1"/>
  <c r="J568" i="3" s="1"/>
  <c r="J569" i="3" a="1"/>
  <c r="J569" i="3" s="1"/>
  <c r="J570" i="3" a="1"/>
  <c r="J570" i="3" s="1"/>
  <c r="J571" i="3" a="1"/>
  <c r="J571" i="3" s="1"/>
  <c r="J572" i="3" a="1"/>
  <c r="J572" i="3" s="1"/>
  <c r="J573" i="3" a="1"/>
  <c r="J573" i="3" s="1"/>
  <c r="J574" i="3" a="1"/>
  <c r="J574" i="3" s="1"/>
  <c r="J575" i="3" a="1"/>
  <c r="J575" i="3" s="1"/>
  <c r="J576" i="3" a="1"/>
  <c r="J576" i="3" s="1"/>
  <c r="J577" i="3" a="1"/>
  <c r="J577" i="3" s="1"/>
  <c r="J578" i="3" a="1"/>
  <c r="J578" i="3" s="1"/>
  <c r="J579" i="3" a="1"/>
  <c r="J579" i="3" s="1"/>
  <c r="J580" i="3" a="1"/>
  <c r="J580" i="3" s="1"/>
  <c r="J581" i="3" a="1"/>
  <c r="J581" i="3" s="1"/>
  <c r="J582" i="3" a="1"/>
  <c r="J582" i="3" s="1"/>
  <c r="J583" i="3" a="1"/>
  <c r="J583" i="3" s="1"/>
  <c r="J584" i="3" a="1"/>
  <c r="J584" i="3" s="1"/>
  <c r="J585" i="3" a="1"/>
  <c r="J585" i="3" s="1"/>
  <c r="J586" i="3" a="1"/>
  <c r="J586" i="3" s="1"/>
  <c r="J587" i="3" a="1"/>
  <c r="J587" i="3" s="1"/>
  <c r="J588" i="3" a="1"/>
  <c r="J588" i="3" s="1"/>
  <c r="J589" i="3" a="1"/>
  <c r="J589" i="3" s="1"/>
  <c r="J590" i="3" a="1"/>
  <c r="J590" i="3" s="1"/>
  <c r="J591" i="3" a="1"/>
  <c r="J591" i="3" s="1"/>
  <c r="J592" i="3" a="1"/>
  <c r="J592" i="3" s="1"/>
  <c r="J593" i="3" a="1"/>
  <c r="J593" i="3" s="1"/>
  <c r="J594" i="3" a="1"/>
  <c r="J594" i="3" s="1"/>
  <c r="J595" i="3" a="1"/>
  <c r="J595" i="3" s="1"/>
  <c r="J596" i="3" a="1"/>
  <c r="J596" i="3" s="1"/>
  <c r="J597" i="3" a="1"/>
  <c r="J597" i="3" s="1"/>
  <c r="J598" i="3" a="1"/>
  <c r="J598" i="3" s="1"/>
  <c r="J599" i="3" a="1"/>
  <c r="J599" i="3" s="1"/>
  <c r="J600" i="3" a="1"/>
  <c r="J600" i="3" s="1"/>
  <c r="J601" i="3" a="1"/>
  <c r="J601" i="3" s="1"/>
  <c r="J602" i="3" a="1"/>
  <c r="J602" i="3" s="1"/>
  <c r="J603" i="3" a="1"/>
  <c r="J603" i="3" s="1"/>
  <c r="J604" i="3" a="1"/>
  <c r="J604" i="3" s="1"/>
  <c r="J605" i="3" a="1"/>
  <c r="J605" i="3" s="1"/>
  <c r="J606" i="3" a="1"/>
  <c r="J606" i="3" s="1"/>
  <c r="J607" i="3" a="1"/>
  <c r="J607" i="3" s="1"/>
  <c r="J608" i="3" a="1"/>
  <c r="J608" i="3" s="1"/>
  <c r="J609" i="3" a="1"/>
  <c r="J609" i="3" s="1"/>
  <c r="J610" i="3" a="1"/>
  <c r="J610" i="3" s="1"/>
  <c r="J611" i="3" a="1"/>
  <c r="J611" i="3" s="1"/>
  <c r="J612" i="3" a="1"/>
  <c r="J612" i="3" s="1"/>
  <c r="J613" i="3" a="1"/>
  <c r="J613" i="3" s="1"/>
  <c r="J614" i="3" a="1"/>
  <c r="J614" i="3" s="1"/>
  <c r="J615" i="3" a="1"/>
  <c r="J615" i="3" s="1"/>
  <c r="J616" i="3" a="1"/>
  <c r="J616" i="3" s="1"/>
  <c r="J617" i="3" a="1"/>
  <c r="J617" i="3" s="1"/>
  <c r="J618" i="3" a="1"/>
  <c r="J618" i="3" s="1"/>
  <c r="J619" i="3" a="1"/>
  <c r="J619" i="3" s="1"/>
  <c r="J620" i="3" a="1"/>
  <c r="J620" i="3" s="1"/>
  <c r="J621" i="3" a="1"/>
  <c r="J621" i="3" s="1"/>
  <c r="J622" i="3" a="1"/>
  <c r="J622" i="3" s="1"/>
  <c r="J623" i="3" a="1"/>
  <c r="J623" i="3" s="1"/>
  <c r="J624" i="3" a="1"/>
  <c r="J624" i="3" s="1"/>
  <c r="J625" i="3" a="1"/>
  <c r="J625" i="3" s="1"/>
  <c r="J626" i="3" a="1"/>
  <c r="J626" i="3" s="1"/>
  <c r="J627" i="3" a="1"/>
  <c r="J627" i="3" s="1"/>
  <c r="J628" i="3" a="1"/>
  <c r="J628" i="3" s="1"/>
  <c r="J629" i="3" a="1"/>
  <c r="J629" i="3" s="1"/>
  <c r="J630" i="3" a="1"/>
  <c r="J630" i="3" s="1"/>
  <c r="J631" i="3" a="1"/>
  <c r="J631" i="3" s="1"/>
  <c r="J632" i="3" a="1"/>
  <c r="J632" i="3" s="1"/>
  <c r="J633" i="3" a="1"/>
  <c r="J633" i="3" s="1"/>
  <c r="J634" i="3" a="1"/>
  <c r="J634" i="3" s="1"/>
  <c r="J635" i="3" a="1"/>
  <c r="J635" i="3" s="1"/>
  <c r="J636" i="3" a="1"/>
  <c r="J636" i="3" s="1"/>
  <c r="J637" i="3" a="1"/>
  <c r="J637" i="3" s="1"/>
  <c r="J638" i="3" a="1"/>
  <c r="J638" i="3" s="1"/>
  <c r="J639" i="3" a="1"/>
  <c r="J639" i="3" s="1"/>
  <c r="J640" i="3" a="1"/>
  <c r="J640" i="3" s="1"/>
  <c r="J641" i="3" a="1"/>
  <c r="J641" i="3" s="1"/>
  <c r="J642" i="3" a="1"/>
  <c r="J642" i="3" s="1"/>
  <c r="J643" i="3" a="1"/>
  <c r="J643" i="3" s="1"/>
  <c r="J644" i="3" a="1"/>
  <c r="J644" i="3" s="1"/>
  <c r="J645" i="3" a="1"/>
  <c r="J645" i="3" s="1"/>
  <c r="J646" i="3" a="1"/>
  <c r="J646" i="3" s="1"/>
  <c r="J647" i="3" a="1"/>
  <c r="J647" i="3" s="1"/>
  <c r="J648" i="3" a="1"/>
  <c r="J648" i="3" s="1"/>
  <c r="J649" i="3" a="1"/>
  <c r="J649" i="3" s="1"/>
  <c r="J650" i="3" a="1"/>
  <c r="J650" i="3" s="1"/>
  <c r="J651" i="3" a="1"/>
  <c r="J651" i="3" s="1"/>
  <c r="J652" i="3" a="1"/>
  <c r="J652" i="3" s="1"/>
  <c r="J653" i="3" a="1"/>
  <c r="J653" i="3" s="1"/>
  <c r="J654" i="3" a="1"/>
  <c r="J654" i="3" s="1"/>
  <c r="J655" i="3" a="1"/>
  <c r="J655" i="3" s="1"/>
  <c r="J656" i="3" a="1"/>
  <c r="J656" i="3" s="1"/>
  <c r="J657" i="3" a="1"/>
  <c r="J657" i="3" s="1"/>
  <c r="J658" i="3" a="1"/>
  <c r="J658" i="3" s="1"/>
  <c r="J659" i="3" a="1"/>
  <c r="J659" i="3" s="1"/>
  <c r="J660" i="3" a="1"/>
  <c r="J660" i="3" s="1"/>
  <c r="J661" i="3" a="1"/>
  <c r="J661" i="3" s="1"/>
  <c r="J662" i="3" a="1"/>
  <c r="J662" i="3" s="1"/>
  <c r="J663" i="3" a="1"/>
  <c r="J663" i="3" s="1"/>
  <c r="J664" i="3" a="1"/>
  <c r="J664" i="3" s="1"/>
  <c r="J665" i="3" a="1"/>
  <c r="J665" i="3" s="1"/>
  <c r="J666" i="3" a="1"/>
  <c r="J666" i="3" s="1"/>
  <c r="J667" i="3" a="1"/>
  <c r="J667" i="3" s="1"/>
  <c r="J668" i="3" a="1"/>
  <c r="J668" i="3" s="1"/>
  <c r="J669" i="3" a="1"/>
  <c r="J669" i="3" s="1"/>
  <c r="J670" i="3" a="1"/>
  <c r="J670" i="3" s="1"/>
  <c r="J671" i="3" a="1"/>
  <c r="J671" i="3" s="1"/>
  <c r="J672" i="3" a="1"/>
  <c r="J672" i="3" s="1"/>
  <c r="J673" i="3" a="1"/>
  <c r="J673" i="3" s="1"/>
  <c r="J674" i="3" a="1"/>
  <c r="J674" i="3" s="1"/>
  <c r="J675" i="3" a="1"/>
  <c r="J675" i="3" s="1"/>
  <c r="J676" i="3" a="1"/>
  <c r="J676" i="3" s="1"/>
  <c r="J677" i="3" a="1"/>
  <c r="J677" i="3" s="1"/>
  <c r="J678" i="3" a="1"/>
  <c r="J678" i="3" s="1"/>
  <c r="J679" i="3" a="1"/>
  <c r="J679" i="3" s="1"/>
  <c r="J680" i="3" a="1"/>
  <c r="J680" i="3" s="1"/>
  <c r="J681" i="3" a="1"/>
  <c r="J681" i="3" s="1"/>
  <c r="J682" i="3" a="1"/>
  <c r="J682" i="3" s="1"/>
  <c r="J683" i="3" a="1"/>
  <c r="J683" i="3" s="1"/>
  <c r="J684" i="3" a="1"/>
  <c r="J684" i="3" s="1"/>
  <c r="J685" i="3" a="1"/>
  <c r="J685" i="3" s="1"/>
  <c r="J686" i="3" a="1"/>
  <c r="J686" i="3" s="1"/>
  <c r="J687" i="3" a="1"/>
  <c r="J687" i="3" s="1"/>
  <c r="J688" i="3" a="1"/>
  <c r="J688" i="3" s="1"/>
  <c r="J689" i="3" a="1"/>
  <c r="J689" i="3" s="1"/>
  <c r="J690" i="3" a="1"/>
  <c r="J690" i="3" s="1"/>
  <c r="J691" i="3" a="1"/>
  <c r="J691" i="3" s="1"/>
  <c r="J692" i="3" a="1"/>
  <c r="J692" i="3" s="1"/>
  <c r="J693" i="3" a="1"/>
  <c r="J693" i="3" s="1"/>
  <c r="J694" i="3" a="1"/>
  <c r="J694" i="3" s="1"/>
  <c r="J695" i="3" a="1"/>
  <c r="J695" i="3" s="1"/>
  <c r="J696" i="3" a="1"/>
  <c r="J696" i="3" s="1"/>
  <c r="J697" i="3" a="1"/>
  <c r="J697" i="3" s="1"/>
  <c r="J698" i="3" a="1"/>
  <c r="J698" i="3" s="1"/>
  <c r="J699" i="3" a="1"/>
  <c r="J699" i="3" s="1"/>
  <c r="J700" i="3" a="1"/>
  <c r="J700" i="3" s="1"/>
  <c r="J701" i="3" a="1"/>
  <c r="J701" i="3" s="1"/>
  <c r="J702" i="3" a="1"/>
  <c r="J702" i="3" s="1"/>
  <c r="J703" i="3" a="1"/>
  <c r="J703" i="3" s="1"/>
  <c r="J704" i="3" a="1"/>
  <c r="J704" i="3" s="1"/>
  <c r="J705" i="3" a="1"/>
  <c r="J705" i="3" s="1"/>
  <c r="J706" i="3" a="1"/>
  <c r="J706" i="3" s="1"/>
  <c r="J707" i="3" a="1"/>
  <c r="J707" i="3" s="1"/>
  <c r="J708" i="3" a="1"/>
  <c r="J708" i="3" s="1"/>
  <c r="J709" i="3" a="1"/>
  <c r="J709" i="3" s="1"/>
  <c r="J710" i="3" a="1"/>
  <c r="J710" i="3" s="1"/>
  <c r="J711" i="3" a="1"/>
  <c r="J711" i="3" s="1"/>
  <c r="J712" i="3" a="1"/>
  <c r="J712" i="3" s="1"/>
  <c r="J713" i="3" a="1"/>
  <c r="J713" i="3" s="1"/>
  <c r="J714" i="3" a="1"/>
  <c r="J714" i="3" s="1"/>
  <c r="J715" i="3" a="1"/>
  <c r="J715" i="3" s="1"/>
  <c r="J716" i="3" a="1"/>
  <c r="J716" i="3" s="1"/>
  <c r="J717" i="3" a="1"/>
  <c r="J717" i="3" s="1"/>
  <c r="J718" i="3" a="1"/>
  <c r="J718" i="3" s="1"/>
  <c r="J719" i="3" a="1"/>
  <c r="J719" i="3" s="1"/>
  <c r="J720" i="3" a="1"/>
  <c r="J720" i="3" s="1"/>
  <c r="J721" i="3" a="1"/>
  <c r="J721" i="3" s="1"/>
  <c r="J722" i="3" a="1"/>
  <c r="J722" i="3" s="1"/>
  <c r="J723" i="3" a="1"/>
  <c r="J723" i="3" s="1"/>
  <c r="J724" i="3" a="1"/>
  <c r="J724" i="3" s="1"/>
  <c r="J725" i="3" a="1"/>
  <c r="J725" i="3" s="1"/>
  <c r="J726" i="3" a="1"/>
  <c r="J726" i="3" s="1"/>
  <c r="J727" i="3" a="1"/>
  <c r="J727" i="3" s="1"/>
  <c r="J728" i="3" a="1"/>
  <c r="J728" i="3" s="1"/>
  <c r="J729" i="3" a="1"/>
  <c r="J729" i="3" s="1"/>
  <c r="J730" i="3" a="1"/>
  <c r="J730" i="3" s="1"/>
  <c r="J731" i="3" a="1"/>
  <c r="J731" i="3" s="1"/>
  <c r="J732" i="3" a="1"/>
  <c r="J732" i="3" s="1"/>
  <c r="J733" i="3" a="1"/>
  <c r="J733" i="3" s="1"/>
  <c r="J734" i="3" a="1"/>
  <c r="J734" i="3" s="1"/>
  <c r="J735" i="3" a="1"/>
  <c r="J735" i="3" s="1"/>
  <c r="J736" i="3" a="1"/>
  <c r="J736" i="3" s="1"/>
  <c r="J737" i="3" a="1"/>
  <c r="J737" i="3" s="1"/>
  <c r="J738" i="3" a="1"/>
  <c r="J738" i="3" s="1"/>
  <c r="J739" i="3" a="1"/>
  <c r="J739" i="3" s="1"/>
  <c r="J740" i="3" a="1"/>
  <c r="J740" i="3" s="1"/>
  <c r="J741" i="3" a="1"/>
  <c r="J741" i="3" s="1"/>
  <c r="J742" i="3" a="1"/>
  <c r="J742" i="3" s="1"/>
  <c r="J743" i="3" a="1"/>
  <c r="J743" i="3" s="1"/>
  <c r="J744" i="3" a="1"/>
  <c r="J744" i="3" s="1"/>
  <c r="J745" i="3" a="1"/>
  <c r="J745" i="3" s="1"/>
  <c r="J746" i="3" a="1"/>
  <c r="J746" i="3" s="1"/>
  <c r="J747" i="3" a="1"/>
  <c r="J747" i="3" s="1"/>
  <c r="J748" i="3" a="1"/>
  <c r="J748" i="3" s="1"/>
  <c r="J749" i="3" a="1"/>
  <c r="J749" i="3" s="1"/>
  <c r="J750" i="3" a="1"/>
  <c r="J750" i="3" s="1"/>
  <c r="J751" i="3" a="1"/>
  <c r="J751" i="3" s="1"/>
  <c r="J752" i="3" a="1"/>
  <c r="J752" i="3" s="1"/>
  <c r="J753" i="3" a="1"/>
  <c r="J753" i="3" s="1"/>
  <c r="J754" i="3" a="1"/>
  <c r="J754" i="3" s="1"/>
  <c r="J755" i="3" a="1"/>
  <c r="J755" i="3" s="1"/>
  <c r="J756" i="3" a="1"/>
  <c r="J756" i="3" s="1"/>
  <c r="J757" i="3" a="1"/>
  <c r="J757" i="3" s="1"/>
  <c r="J758" i="3" a="1"/>
  <c r="J758" i="3" s="1"/>
  <c r="J759" i="3" a="1"/>
  <c r="J759" i="3" s="1"/>
  <c r="J760" i="3" a="1"/>
  <c r="J760" i="3" s="1"/>
  <c r="J761" i="3" a="1"/>
  <c r="J761" i="3" s="1"/>
  <c r="J762" i="3" a="1"/>
  <c r="J762" i="3" s="1"/>
  <c r="J763" i="3" a="1"/>
  <c r="J763" i="3" s="1"/>
  <c r="J764" i="3" a="1"/>
  <c r="J764" i="3" s="1"/>
  <c r="J765" i="3" a="1"/>
  <c r="J765" i="3" s="1"/>
  <c r="J766" i="3" a="1"/>
  <c r="J766" i="3" s="1"/>
  <c r="J767" i="3" a="1"/>
  <c r="J767" i="3" s="1"/>
  <c r="J768" i="3" a="1"/>
  <c r="J768" i="3" s="1"/>
  <c r="J769" i="3" a="1"/>
  <c r="J769" i="3" s="1"/>
  <c r="J770" i="3" a="1"/>
  <c r="J770" i="3" s="1"/>
  <c r="J771" i="3" a="1"/>
  <c r="J771" i="3" s="1"/>
  <c r="J772" i="3" a="1"/>
  <c r="J772" i="3" s="1"/>
  <c r="J773" i="3" a="1"/>
  <c r="J773" i="3" s="1"/>
  <c r="J774" i="3" a="1"/>
  <c r="J774" i="3" s="1"/>
  <c r="J775" i="3" a="1"/>
  <c r="J775" i="3" s="1"/>
  <c r="J776" i="3" a="1"/>
  <c r="J776" i="3" s="1"/>
  <c r="J777" i="3" a="1"/>
  <c r="J777" i="3" s="1"/>
  <c r="J778" i="3" a="1"/>
  <c r="J778" i="3" s="1"/>
  <c r="J779" i="3" a="1"/>
  <c r="J779" i="3" s="1"/>
  <c r="J780" i="3" a="1"/>
  <c r="J780" i="3" s="1"/>
  <c r="J781" i="3" a="1"/>
  <c r="J781" i="3" s="1"/>
  <c r="J782" i="3" a="1"/>
  <c r="J782" i="3" s="1"/>
  <c r="J783" i="3" a="1"/>
  <c r="J783" i="3" s="1"/>
  <c r="J784" i="3" a="1"/>
  <c r="J784" i="3" s="1"/>
  <c r="J785" i="3" a="1"/>
  <c r="J785" i="3" s="1"/>
  <c r="J786" i="3" a="1"/>
  <c r="J786" i="3" s="1"/>
  <c r="J787" i="3" a="1"/>
  <c r="J787" i="3" s="1"/>
  <c r="J788" i="3" a="1"/>
  <c r="J788" i="3" s="1"/>
  <c r="J789" i="3" a="1"/>
  <c r="J789" i="3" s="1"/>
  <c r="J790" i="3" a="1"/>
  <c r="J790" i="3" s="1"/>
  <c r="J791" i="3" a="1"/>
  <c r="J791" i="3" s="1"/>
  <c r="J792" i="3" a="1"/>
  <c r="J792" i="3" s="1"/>
  <c r="J793" i="3" a="1"/>
  <c r="J793" i="3" s="1"/>
  <c r="J794" i="3" a="1"/>
  <c r="J794" i="3" s="1"/>
  <c r="J795" i="3" a="1"/>
  <c r="J795" i="3" s="1"/>
  <c r="J796" i="3" a="1"/>
  <c r="J796" i="3" s="1"/>
  <c r="J797" i="3" a="1"/>
  <c r="J797" i="3" s="1"/>
  <c r="J798" i="3" a="1"/>
  <c r="J798" i="3" s="1"/>
  <c r="J799" i="3" a="1"/>
  <c r="J799" i="3" s="1"/>
  <c r="J800" i="3" a="1"/>
  <c r="J800" i="3" s="1"/>
  <c r="J801" i="3" a="1"/>
  <c r="J801" i="3" s="1"/>
  <c r="J802" i="3" a="1"/>
  <c r="J802" i="3" s="1"/>
  <c r="J803" i="3" a="1"/>
  <c r="J803" i="3" s="1"/>
  <c r="J804" i="3" a="1"/>
  <c r="J804" i="3" s="1"/>
  <c r="J805" i="3" a="1"/>
  <c r="J805" i="3" s="1"/>
  <c r="J806" i="3" a="1"/>
  <c r="J806" i="3" s="1"/>
  <c r="J807" i="3" a="1"/>
  <c r="J807" i="3" s="1"/>
  <c r="J808" i="3" a="1"/>
  <c r="J808" i="3" s="1"/>
  <c r="J809" i="3" a="1"/>
  <c r="J809" i="3" s="1"/>
  <c r="J810" i="3" a="1"/>
  <c r="J810" i="3" s="1"/>
  <c r="J811" i="3" a="1"/>
  <c r="J811" i="3" s="1"/>
  <c r="J812" i="3" a="1"/>
  <c r="J812" i="3" s="1"/>
  <c r="J813" i="3" a="1"/>
  <c r="J813" i="3" s="1"/>
  <c r="J814" i="3" a="1"/>
  <c r="J814" i="3" s="1"/>
  <c r="J815" i="3" a="1"/>
  <c r="J815" i="3" s="1"/>
  <c r="J816" i="3" a="1"/>
  <c r="J816" i="3" s="1"/>
  <c r="J817" i="3" a="1"/>
  <c r="J817" i="3" s="1"/>
  <c r="J818" i="3" a="1"/>
  <c r="J818" i="3" s="1"/>
  <c r="J819" i="3" a="1"/>
  <c r="J819" i="3" s="1"/>
  <c r="J820" i="3" a="1"/>
  <c r="J820" i="3" s="1"/>
  <c r="J821" i="3" a="1"/>
  <c r="J821" i="3" s="1"/>
  <c r="J822" i="3" a="1"/>
  <c r="J822" i="3" s="1"/>
  <c r="J823" i="3" a="1"/>
  <c r="J823" i="3" s="1"/>
  <c r="J824" i="3" a="1"/>
  <c r="J824" i="3" s="1"/>
  <c r="J825" i="3" a="1"/>
  <c r="J825" i="3" s="1"/>
  <c r="J826" i="3" a="1"/>
  <c r="J826" i="3" s="1"/>
  <c r="J827" i="3" a="1"/>
  <c r="J827" i="3" s="1"/>
  <c r="J828" i="3" a="1"/>
  <c r="J828" i="3" s="1"/>
  <c r="J829" i="3" a="1"/>
  <c r="J829" i="3" s="1"/>
  <c r="J830" i="3" a="1"/>
  <c r="J830" i="3" s="1"/>
  <c r="J831" i="3" a="1"/>
  <c r="J831" i="3" s="1"/>
  <c r="J832" i="3" a="1"/>
  <c r="J832" i="3" s="1"/>
  <c r="J833" i="3" a="1"/>
  <c r="J833" i="3" s="1"/>
  <c r="J834" i="3" a="1"/>
  <c r="J834" i="3" s="1"/>
  <c r="J835" i="3" a="1"/>
  <c r="J835" i="3" s="1"/>
  <c r="J836" i="3" a="1"/>
  <c r="J836" i="3" s="1"/>
  <c r="J837" i="3" a="1"/>
  <c r="J837" i="3" s="1"/>
  <c r="J838" i="3" a="1"/>
  <c r="J838" i="3" s="1"/>
  <c r="J839" i="3" a="1"/>
  <c r="J839" i="3" s="1"/>
  <c r="J840" i="3" a="1"/>
  <c r="J840" i="3" s="1"/>
  <c r="J841" i="3" a="1"/>
  <c r="J841" i="3" s="1"/>
  <c r="J842" i="3" a="1"/>
  <c r="J842" i="3" s="1"/>
  <c r="J843" i="3" a="1"/>
  <c r="J843" i="3" s="1"/>
  <c r="J844" i="3" a="1"/>
  <c r="J844" i="3" s="1"/>
  <c r="J845" i="3" a="1"/>
  <c r="J845" i="3" s="1"/>
  <c r="J846" i="3" a="1"/>
  <c r="J846" i="3" s="1"/>
  <c r="J847" i="3" a="1"/>
  <c r="J847" i="3" s="1"/>
  <c r="J848" i="3" a="1"/>
  <c r="J848" i="3" s="1"/>
  <c r="J849" i="3" a="1"/>
  <c r="J849" i="3" s="1"/>
  <c r="J850" i="3" a="1"/>
  <c r="J850" i="3" s="1"/>
  <c r="J851" i="3" a="1"/>
  <c r="J851" i="3" s="1"/>
  <c r="J852" i="3" a="1"/>
  <c r="J852" i="3" s="1"/>
  <c r="J853" i="3" a="1"/>
  <c r="J853" i="3" s="1"/>
  <c r="J854" i="3" a="1"/>
  <c r="J854" i="3" s="1"/>
  <c r="J855" i="3" a="1"/>
  <c r="J855" i="3" s="1"/>
  <c r="J856" i="3" a="1"/>
  <c r="J856" i="3" s="1"/>
  <c r="J857" i="3" a="1"/>
  <c r="J857" i="3" s="1"/>
  <c r="J858" i="3" a="1"/>
  <c r="J858" i="3" s="1"/>
  <c r="J859" i="3" a="1"/>
  <c r="J859" i="3" s="1"/>
  <c r="J860" i="3" a="1"/>
  <c r="J860" i="3" s="1"/>
  <c r="J861" i="3" a="1"/>
  <c r="J861" i="3" s="1"/>
  <c r="J862" i="3" a="1"/>
  <c r="J862" i="3" s="1"/>
  <c r="J863" i="3" a="1"/>
  <c r="J863" i="3" s="1"/>
  <c r="J864" i="3" a="1"/>
  <c r="J864" i="3" s="1"/>
  <c r="J865" i="3" a="1"/>
  <c r="J865" i="3" s="1"/>
  <c r="J866" i="3" a="1"/>
  <c r="J866" i="3" s="1"/>
  <c r="J867" i="3" a="1"/>
  <c r="J867" i="3" s="1"/>
  <c r="J868" i="3" a="1"/>
  <c r="J868" i="3" s="1"/>
  <c r="J869" i="3" a="1"/>
  <c r="J869" i="3" s="1"/>
  <c r="J870" i="3" a="1"/>
  <c r="J870" i="3" s="1"/>
  <c r="J871" i="3" a="1"/>
  <c r="J871" i="3" s="1"/>
  <c r="J872" i="3" a="1"/>
  <c r="J872" i="3" s="1"/>
  <c r="J873" i="3" a="1"/>
  <c r="J873" i="3" s="1"/>
  <c r="J874" i="3" a="1"/>
  <c r="J874" i="3" s="1"/>
  <c r="J875" i="3" a="1"/>
  <c r="J875" i="3" s="1"/>
  <c r="J876" i="3" a="1"/>
  <c r="J876" i="3" s="1"/>
  <c r="J877" i="3" a="1"/>
  <c r="J877" i="3" s="1"/>
  <c r="J878" i="3" a="1"/>
  <c r="J878" i="3" s="1"/>
  <c r="J879" i="3" a="1"/>
  <c r="J879" i="3" s="1"/>
  <c r="J880" i="3" a="1"/>
  <c r="J880" i="3" s="1"/>
  <c r="J881" i="3" a="1"/>
  <c r="J881" i="3" s="1"/>
  <c r="J882" i="3" a="1"/>
  <c r="J882" i="3" s="1"/>
  <c r="J883" i="3" a="1"/>
  <c r="J883" i="3" s="1"/>
  <c r="J884" i="3" a="1"/>
  <c r="J884" i="3" s="1"/>
  <c r="J885" i="3" a="1"/>
  <c r="J885" i="3" s="1"/>
  <c r="J886" i="3" a="1"/>
  <c r="J886" i="3" s="1"/>
  <c r="J887" i="3" a="1"/>
  <c r="J887" i="3" s="1"/>
  <c r="J888" i="3" a="1"/>
  <c r="J888" i="3" s="1"/>
  <c r="J889" i="3" a="1"/>
  <c r="J889" i="3" s="1"/>
  <c r="J890" i="3" a="1"/>
  <c r="J890" i="3" s="1"/>
  <c r="J891" i="3" a="1"/>
  <c r="J891" i="3" s="1"/>
  <c r="J892" i="3" a="1"/>
  <c r="J892" i="3" s="1"/>
  <c r="J893" i="3" a="1"/>
  <c r="J893" i="3" s="1"/>
  <c r="J894" i="3" a="1"/>
  <c r="J894" i="3" s="1"/>
  <c r="J895" i="3" a="1"/>
  <c r="J895" i="3" s="1"/>
  <c r="J896" i="3" a="1"/>
  <c r="J896" i="3" s="1"/>
  <c r="J897" i="3" a="1"/>
  <c r="J897" i="3" s="1"/>
  <c r="J898" i="3" a="1"/>
  <c r="J898" i="3" s="1"/>
  <c r="J899" i="3" a="1"/>
  <c r="J899" i="3" s="1"/>
  <c r="J900" i="3" a="1"/>
  <c r="J900" i="3" s="1"/>
  <c r="J901" i="3" a="1"/>
  <c r="J901" i="3" s="1"/>
  <c r="J902" i="3" a="1"/>
  <c r="J902" i="3" s="1"/>
  <c r="J903" i="3" a="1"/>
  <c r="J903" i="3" s="1"/>
  <c r="J904" i="3" a="1"/>
  <c r="J904" i="3" s="1"/>
  <c r="J905" i="3" a="1"/>
  <c r="J905" i="3" s="1"/>
  <c r="J906" i="3" a="1"/>
  <c r="J906" i="3" s="1"/>
  <c r="J907" i="3" a="1"/>
  <c r="J907" i="3" s="1"/>
  <c r="J908" i="3" a="1"/>
  <c r="J908" i="3" s="1"/>
  <c r="J909" i="3" a="1"/>
  <c r="J909" i="3" s="1"/>
  <c r="J910" i="3" a="1"/>
  <c r="J910" i="3" s="1"/>
  <c r="J911" i="3" a="1"/>
  <c r="J911" i="3" s="1"/>
  <c r="J912" i="3" a="1"/>
  <c r="J912" i="3" s="1"/>
  <c r="J913" i="3" a="1"/>
  <c r="J913" i="3" s="1"/>
  <c r="J914" i="3" a="1"/>
  <c r="J914" i="3" s="1"/>
  <c r="J915" i="3" a="1"/>
  <c r="J915" i="3" s="1"/>
  <c r="J916" i="3" a="1"/>
  <c r="J916" i="3" s="1"/>
  <c r="J917" i="3" a="1"/>
  <c r="J917" i="3" s="1"/>
  <c r="J918" i="3" a="1"/>
  <c r="J918" i="3" s="1"/>
  <c r="J919" i="3" a="1"/>
  <c r="J919" i="3" s="1"/>
  <c r="J920" i="3" a="1"/>
  <c r="J920" i="3" s="1"/>
  <c r="J921" i="3" a="1"/>
  <c r="J921" i="3" s="1"/>
  <c r="J922" i="3" a="1"/>
  <c r="J922" i="3" s="1"/>
  <c r="J923" i="3" a="1"/>
  <c r="J923" i="3" s="1"/>
  <c r="J924" i="3" a="1"/>
  <c r="J924" i="3" s="1"/>
  <c r="J925" i="3" a="1"/>
  <c r="J925" i="3" s="1"/>
  <c r="J926" i="3" a="1"/>
  <c r="J926" i="3" s="1"/>
  <c r="J927" i="3" a="1"/>
  <c r="J927" i="3" s="1"/>
  <c r="J928" i="3" a="1"/>
  <c r="J928" i="3" s="1"/>
  <c r="J929" i="3" a="1"/>
  <c r="J929" i="3" s="1"/>
  <c r="J930" i="3" a="1"/>
  <c r="J930" i="3" s="1"/>
  <c r="J931" i="3" a="1"/>
  <c r="J931" i="3" s="1"/>
  <c r="J932" i="3" a="1"/>
  <c r="J932" i="3" s="1"/>
  <c r="J933" i="3" a="1"/>
  <c r="J933" i="3" s="1"/>
  <c r="J934" i="3" a="1"/>
  <c r="J934" i="3" s="1"/>
  <c r="J935" i="3" a="1"/>
  <c r="J935" i="3" s="1"/>
  <c r="J936" i="3" a="1"/>
  <c r="J936" i="3" s="1"/>
  <c r="J937" i="3" a="1"/>
  <c r="J937" i="3" s="1"/>
  <c r="J938" i="3" a="1"/>
  <c r="J938" i="3" s="1"/>
  <c r="J939" i="3" a="1"/>
  <c r="J939" i="3" s="1"/>
  <c r="J940" i="3" a="1"/>
  <c r="J940" i="3" s="1"/>
  <c r="J941" i="3" a="1"/>
  <c r="J941" i="3" s="1"/>
  <c r="J942" i="3" a="1"/>
  <c r="J942" i="3" s="1"/>
  <c r="J943" i="3" a="1"/>
  <c r="J943" i="3" s="1"/>
  <c r="J944" i="3" a="1"/>
  <c r="J944" i="3" s="1"/>
  <c r="J945" i="3" a="1"/>
  <c r="J945" i="3" s="1"/>
  <c r="J946" i="3" a="1"/>
  <c r="J946" i="3" s="1"/>
  <c r="J947" i="3" a="1"/>
  <c r="J947" i="3" s="1"/>
  <c r="J948" i="3" a="1"/>
  <c r="J948" i="3" s="1"/>
  <c r="J949" i="3" a="1"/>
  <c r="J949" i="3" s="1"/>
  <c r="J950" i="3" a="1"/>
  <c r="J950" i="3" s="1"/>
  <c r="J951" i="3" a="1"/>
  <c r="J951" i="3" s="1"/>
  <c r="J952" i="3" a="1"/>
  <c r="J952" i="3" s="1"/>
  <c r="J953" i="3" a="1"/>
  <c r="J953" i="3" s="1"/>
  <c r="J954" i="3" a="1"/>
  <c r="J954" i="3" s="1"/>
  <c r="J955" i="3" a="1"/>
  <c r="J955" i="3" s="1"/>
  <c r="J956" i="3" a="1"/>
  <c r="J956" i="3" s="1"/>
  <c r="J957" i="3" a="1"/>
  <c r="J957" i="3" s="1"/>
  <c r="J958" i="3" a="1"/>
  <c r="J958" i="3" s="1"/>
  <c r="J959" i="3" a="1"/>
  <c r="J959" i="3" s="1"/>
  <c r="J960" i="3" a="1"/>
  <c r="J960" i="3" s="1"/>
  <c r="J961" i="3" a="1"/>
  <c r="J961" i="3" s="1"/>
  <c r="J962" i="3" a="1"/>
  <c r="J962" i="3" s="1"/>
  <c r="J963" i="3" a="1"/>
  <c r="J963" i="3" s="1"/>
  <c r="J964" i="3" a="1"/>
  <c r="J964" i="3" s="1"/>
  <c r="J965" i="3" a="1"/>
  <c r="J965" i="3" s="1"/>
  <c r="J966" i="3" a="1"/>
  <c r="J966" i="3" s="1"/>
  <c r="J967" i="3" a="1"/>
  <c r="J967" i="3" s="1"/>
  <c r="J968" i="3" a="1"/>
  <c r="J968" i="3" s="1"/>
  <c r="J969" i="3" a="1"/>
  <c r="J969" i="3" s="1"/>
  <c r="J970" i="3" a="1"/>
  <c r="J970" i="3" s="1"/>
  <c r="J971" i="3" a="1"/>
  <c r="J971" i="3" s="1"/>
  <c r="J972" i="3" a="1"/>
  <c r="J972" i="3" s="1"/>
  <c r="J973" i="3" a="1"/>
  <c r="J973" i="3" s="1"/>
  <c r="J974" i="3" a="1"/>
  <c r="J974" i="3" s="1"/>
  <c r="J975" i="3" a="1"/>
  <c r="J975" i="3" s="1"/>
  <c r="J976" i="3" a="1"/>
  <c r="J976" i="3" s="1"/>
  <c r="J977" i="3" a="1"/>
  <c r="J977" i="3" s="1"/>
  <c r="J978" i="3" a="1"/>
  <c r="J978" i="3" s="1"/>
  <c r="J979" i="3" a="1"/>
  <c r="J979" i="3" s="1"/>
  <c r="J980" i="3" a="1"/>
  <c r="J980" i="3" s="1"/>
  <c r="J981" i="3" a="1"/>
  <c r="J981" i="3" s="1"/>
  <c r="J982" i="3" a="1"/>
  <c r="J982" i="3" s="1"/>
  <c r="J983" i="3" a="1"/>
  <c r="J983" i="3" s="1"/>
  <c r="J984" i="3" a="1"/>
  <c r="J984" i="3" s="1"/>
  <c r="J985" i="3" a="1"/>
  <c r="J985" i="3" s="1"/>
  <c r="J986" i="3" a="1"/>
  <c r="J986" i="3" s="1"/>
  <c r="J987" i="3" a="1"/>
  <c r="J987" i="3" s="1"/>
  <c r="J988" i="3" a="1"/>
  <c r="J988" i="3" s="1"/>
  <c r="J989" i="3" a="1"/>
  <c r="J989" i="3" s="1"/>
  <c r="J990" i="3" a="1"/>
  <c r="J990" i="3" s="1"/>
  <c r="J991" i="3" a="1"/>
  <c r="J991" i="3" s="1"/>
  <c r="J992" i="3" a="1"/>
  <c r="J992" i="3" s="1"/>
  <c r="J993" i="3" a="1"/>
  <c r="J993" i="3" s="1"/>
  <c r="J994" i="3" a="1"/>
  <c r="J994" i="3" s="1"/>
  <c r="J995" i="3" a="1"/>
  <c r="J995" i="3" s="1"/>
  <c r="J996" i="3" a="1"/>
  <c r="J996" i="3" s="1"/>
  <c r="J997" i="3" a="1"/>
  <c r="J997" i="3" s="1"/>
  <c r="J998" i="3" a="1"/>
  <c r="J998" i="3" s="1"/>
  <c r="J999" i="3" a="1"/>
  <c r="J999" i="3" s="1"/>
  <c r="J1000" i="3" a="1"/>
  <c r="J1000" i="3" s="1"/>
  <c r="J1001" i="3" a="1"/>
  <c r="J1001" i="3" s="1"/>
  <c r="J2" i="3" a="1"/>
  <c r="J2" i="3" s="1"/>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I2" i="3"/>
  <c r="D4" i="3"/>
  <c r="D3" i="3"/>
  <c r="D2" i="3"/>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<sst xmlns="http://schemas.openxmlformats.org/spreadsheetml/2006/main" count="17072" uniqueCount="2149">
  <si>
    <t>Order ID</t>
  </si>
  <si>
    <t>Order Date</t>
  </si>
  <si>
    <t>Customer ID</t>
  </si>
  <si>
    <t>Customer Name</t>
  </si>
  <si>
    <t>Product ID</t>
  </si>
  <si>
    <t>Product Name</t>
  </si>
  <si>
    <t>Category</t>
  </si>
  <si>
    <t>Sub Category</t>
  </si>
  <si>
    <t>Brand</t>
  </si>
  <si>
    <t>Quantity</t>
  </si>
  <si>
    <t>Unit Price</t>
  </si>
  <si>
    <t>Discount %</t>
  </si>
  <si>
    <t>Sales</t>
  </si>
  <si>
    <t>Cost</t>
  </si>
  <si>
    <t>Profit</t>
  </si>
  <si>
    <t>City</t>
  </si>
  <si>
    <t>State</t>
  </si>
  <si>
    <t>Region</t>
  </si>
  <si>
    <t>Payment Mode</t>
  </si>
  <si>
    <t>Delivery Status</t>
  </si>
  <si>
    <t>Return Status</t>
  </si>
  <si>
    <t>Rating</t>
  </si>
  <si>
    <t>ORD00001</t>
  </si>
  <si>
    <t>C1581</t>
  </si>
  <si>
    <t>Customer 305</t>
  </si>
  <si>
    <t>P1002</t>
  </si>
  <si>
    <t>Mouse</t>
  </si>
  <si>
    <t>Electronics</t>
  </si>
  <si>
    <t>Accessories</t>
  </si>
  <si>
    <t>Logitech</t>
  </si>
  <si>
    <t>Delhi</t>
  </si>
  <si>
    <t>North</t>
  </si>
  <si>
    <t>Card</t>
  </si>
  <si>
    <t>Delivered</t>
  </si>
  <si>
    <t>Yes</t>
  </si>
  <si>
    <t>ORD00002</t>
  </si>
  <si>
    <t>C1734</t>
  </si>
  <si>
    <t>Customer 165</t>
  </si>
  <si>
    <t>P1005</t>
  </si>
  <si>
    <t>Chair</t>
  </si>
  <si>
    <t>Furniture</t>
  </si>
  <si>
    <t>Office</t>
  </si>
  <si>
    <t>Nilkamal</t>
  </si>
  <si>
    <t>Ahmedabad</t>
  </si>
  <si>
    <t>Gujarat</t>
  </si>
  <si>
    <t>West</t>
  </si>
  <si>
    <t>UPI</t>
  </si>
  <si>
    <t>Cancelled</t>
  </si>
  <si>
    <t>No</t>
  </si>
  <si>
    <t>ORD00003</t>
  </si>
  <si>
    <t>C1714</t>
  </si>
  <si>
    <t>Customer 299</t>
  </si>
  <si>
    <t>P1001</t>
  </si>
  <si>
    <t>Laptop</t>
  </si>
  <si>
    <t>Computers</t>
  </si>
  <si>
    <t>Dell</t>
  </si>
  <si>
    <t>Pending</t>
  </si>
  <si>
    <t>ORD00004</t>
  </si>
  <si>
    <t>C1315</t>
  </si>
  <si>
    <t>Customer 190</t>
  </si>
  <si>
    <t>Cash</t>
  </si>
  <si>
    <t>ORD00005</t>
  </si>
  <si>
    <t>C1397</t>
  </si>
  <si>
    <t>Customer 353</t>
  </si>
  <si>
    <t>ORD00006</t>
  </si>
  <si>
    <t>C1589</t>
  </si>
  <si>
    <t>Customer 92</t>
  </si>
  <si>
    <t>P1003</t>
  </si>
  <si>
    <t>Keyboard</t>
  </si>
  <si>
    <t>HP</t>
  </si>
  <si>
    <t>ORD00007</t>
  </si>
  <si>
    <t>C1584</t>
  </si>
  <si>
    <t>Customer 91</t>
  </si>
  <si>
    <t>P1004</t>
  </si>
  <si>
    <t>Headphones</t>
  </si>
  <si>
    <t>Audio</t>
  </si>
  <si>
    <t>Sony</t>
  </si>
  <si>
    <t>ORD00008</t>
  </si>
  <si>
    <t>C1050</t>
  </si>
  <si>
    <t>Customer 169</t>
  </si>
  <si>
    <t>ORD00009</t>
  </si>
  <si>
    <t>C1766</t>
  </si>
  <si>
    <t>Customer 349</t>
  </si>
  <si>
    <t>ORD00010</t>
  </si>
  <si>
    <t>C1832</t>
  </si>
  <si>
    <t>Customer 168</t>
  </si>
  <si>
    <t>ORD00011</t>
  </si>
  <si>
    <t>C1369</t>
  </si>
  <si>
    <t>Customer 155</t>
  </si>
  <si>
    <t>ORD00012</t>
  </si>
  <si>
    <t>C1514</t>
  </si>
  <si>
    <t>Customer 71</t>
  </si>
  <si>
    <t>ORD00013</t>
  </si>
  <si>
    <t>C1828</t>
  </si>
  <si>
    <t>Customer 323</t>
  </si>
  <si>
    <t>Mumbai</t>
  </si>
  <si>
    <t>Maharashtra</t>
  </si>
  <si>
    <t>ORD00014</t>
  </si>
  <si>
    <t>C1844</t>
  </si>
  <si>
    <t>Customer 324</t>
  </si>
  <si>
    <t>ORD00015</t>
  </si>
  <si>
    <t>C1269</t>
  </si>
  <si>
    <t>Customer 167</t>
  </si>
  <si>
    <t>ORD00016</t>
  </si>
  <si>
    <t>C1147</t>
  </si>
  <si>
    <t>Customer 265</t>
  </si>
  <si>
    <t>ORD00017</t>
  </si>
  <si>
    <t>C1398</t>
  </si>
  <si>
    <t>Customer 236</t>
  </si>
  <si>
    <t>Bengaluru</t>
  </si>
  <si>
    <t>Karnataka</t>
  </si>
  <si>
    <t>South</t>
  </si>
  <si>
    <t>ORD00018</t>
  </si>
  <si>
    <t>C1248</t>
  </si>
  <si>
    <t>Customer 334</t>
  </si>
  <si>
    <t>ORD00019</t>
  </si>
  <si>
    <t>C1303</t>
  </si>
  <si>
    <t>Customer 304</t>
  </si>
  <si>
    <t>ORD00020</t>
  </si>
  <si>
    <t>C1807</t>
  </si>
  <si>
    <t>Customer 440</t>
  </si>
  <si>
    <t>ORD00021</t>
  </si>
  <si>
    <t>C1362</t>
  </si>
  <si>
    <t>Customer 223</t>
  </si>
  <si>
    <t>ORD00022</t>
  </si>
  <si>
    <t>C1680</t>
  </si>
  <si>
    <t>Customer 34</t>
  </si>
  <si>
    <t>ORD00023</t>
  </si>
  <si>
    <t>C1785</t>
  </si>
  <si>
    <t>Customer 370</t>
  </si>
  <si>
    <t>ORD00024</t>
  </si>
  <si>
    <t>C1379</t>
  </si>
  <si>
    <t>Customer 109</t>
  </si>
  <si>
    <t>ORD00025</t>
  </si>
  <si>
    <t>C1492</t>
  </si>
  <si>
    <t>Customer 441</t>
  </si>
  <si>
    <t>ORD00026</t>
  </si>
  <si>
    <t>C1616</t>
  </si>
  <si>
    <t>Customer 454</t>
  </si>
  <si>
    <t>ORD00027</t>
  </si>
  <si>
    <t>C1620</t>
  </si>
  <si>
    <t>Customer 407</t>
  </si>
  <si>
    <t>ORD00028</t>
  </si>
  <si>
    <t>C1821</t>
  </si>
  <si>
    <t>Customer 229</t>
  </si>
  <si>
    <t>ORD00029</t>
  </si>
  <si>
    <t>C1545</t>
  </si>
  <si>
    <t>Customer 267</t>
  </si>
  <si>
    <t>ORD00030</t>
  </si>
  <si>
    <t>C1662</t>
  </si>
  <si>
    <t>Customer 354</t>
  </si>
  <si>
    <t>ORD00031</t>
  </si>
  <si>
    <t>C1294</t>
  </si>
  <si>
    <t>Customer 200</t>
  </si>
  <si>
    <t>ORD00032</t>
  </si>
  <si>
    <t>C1743</t>
  </si>
  <si>
    <t>Customer 481</t>
  </si>
  <si>
    <t>ORD00033</t>
  </si>
  <si>
    <t>C1659</t>
  </si>
  <si>
    <t>Customer 383</t>
  </si>
  <si>
    <t>ORD00034</t>
  </si>
  <si>
    <t>C1855</t>
  </si>
  <si>
    <t>Customer 309</t>
  </si>
  <si>
    <t>ORD00035</t>
  </si>
  <si>
    <t>C1505</t>
  </si>
  <si>
    <t>Customer 367</t>
  </si>
  <si>
    <t>ORD00036</t>
  </si>
  <si>
    <t>C1391</t>
  </si>
  <si>
    <t>Customer 197</t>
  </si>
  <si>
    <t>ORD00037</t>
  </si>
  <si>
    <t>C1502</t>
  </si>
  <si>
    <t>Customer 142</t>
  </si>
  <si>
    <t>ORD00038</t>
  </si>
  <si>
    <t>C1703</t>
  </si>
  <si>
    <t>Customer 307</t>
  </si>
  <si>
    <t>ORD00039</t>
  </si>
  <si>
    <t>C1434</t>
  </si>
  <si>
    <t>ORD00040</t>
  </si>
  <si>
    <t>C1661</t>
  </si>
  <si>
    <t>Customer 406</t>
  </si>
  <si>
    <t>ORD00041</t>
  </si>
  <si>
    <t>C1205</t>
  </si>
  <si>
    <t>Customer 500</t>
  </si>
  <si>
    <t>ORD00042</t>
  </si>
  <si>
    <t>C1046</t>
  </si>
  <si>
    <t>Customer 279</t>
  </si>
  <si>
    <t>ORD00043</t>
  </si>
  <si>
    <t>C1510</t>
  </si>
  <si>
    <t>Customer 255</t>
  </si>
  <si>
    <t>ORD00044</t>
  </si>
  <si>
    <t>C1959</t>
  </si>
  <si>
    <t>Customer 300</t>
  </si>
  <si>
    <t>ORD00045</t>
  </si>
  <si>
    <t>C1919</t>
  </si>
  <si>
    <t>Customer 320</t>
  </si>
  <si>
    <t>ORD00046</t>
  </si>
  <si>
    <t>C1621</t>
  </si>
  <si>
    <t>Customer 86</t>
  </si>
  <si>
    <t>ORD00047</t>
  </si>
  <si>
    <t>C1938</t>
  </si>
  <si>
    <t>Customer 3</t>
  </si>
  <si>
    <t>ORD00048</t>
  </si>
  <si>
    <t>C1443</t>
  </si>
  <si>
    <t>Customer 247</t>
  </si>
  <si>
    <t>ORD00049</t>
  </si>
  <si>
    <t>C1953</t>
  </si>
  <si>
    <t>Customer 64</t>
  </si>
  <si>
    <t>ORD00050</t>
  </si>
  <si>
    <t>C1928</t>
  </si>
  <si>
    <t>Customer 183</t>
  </si>
  <si>
    <t>ORD00051</t>
  </si>
  <si>
    <t>C1699</t>
  </si>
  <si>
    <t>Customer 261</t>
  </si>
  <si>
    <t>ORD00052</t>
  </si>
  <si>
    <t>C1306</t>
  </si>
  <si>
    <t>Customer 418</t>
  </si>
  <si>
    <t>ORD00053</t>
  </si>
  <si>
    <t>C1517</t>
  </si>
  <si>
    <t>Customer 428</t>
  </si>
  <si>
    <t>ORD00054</t>
  </si>
  <si>
    <t>Customer 327</t>
  </si>
  <si>
    <t>ORD00055</t>
  </si>
  <si>
    <t>C1383</t>
  </si>
  <si>
    <t>Customer 284</t>
  </si>
  <si>
    <t>ORD00056</t>
  </si>
  <si>
    <t>C1582</t>
  </si>
  <si>
    <t>Customer 411</t>
  </si>
  <si>
    <t>ORD00057</t>
  </si>
  <si>
    <t>C1260</t>
  </si>
  <si>
    <t>ORD00058</t>
  </si>
  <si>
    <t>C1363</t>
  </si>
  <si>
    <t>Customer 123</t>
  </si>
  <si>
    <t>ORD00059</t>
  </si>
  <si>
    <t>C1802</t>
  </si>
  <si>
    <t>Customer 114</t>
  </si>
  <si>
    <t>ORD00060</t>
  </si>
  <si>
    <t>C1086</t>
  </si>
  <si>
    <t>Customer 145</t>
  </si>
  <si>
    <t>ORD00061</t>
  </si>
  <si>
    <t>C1400</t>
  </si>
  <si>
    <t>Customer 485</t>
  </si>
  <si>
    <t>ORD00062</t>
  </si>
  <si>
    <t>C1279</t>
  </si>
  <si>
    <t>Customer 228</t>
  </si>
  <si>
    <t>ORD00063</t>
  </si>
  <si>
    <t>C1395</t>
  </si>
  <si>
    <t>Customer 295</t>
  </si>
  <si>
    <t>ORD00064</t>
  </si>
  <si>
    <t>C1287</t>
  </si>
  <si>
    <t>Customer 10</t>
  </si>
  <si>
    <t>ORD00065</t>
  </si>
  <si>
    <t>C1700</t>
  </si>
  <si>
    <t>Customer 369</t>
  </si>
  <si>
    <t>ORD00066</t>
  </si>
  <si>
    <t>C1543</t>
  </si>
  <si>
    <t>ORD00067</t>
  </si>
  <si>
    <t>C1416</t>
  </si>
  <si>
    <t>Customer 82</t>
  </si>
  <si>
    <t>ORD00068</t>
  </si>
  <si>
    <t>C1853</t>
  </si>
  <si>
    <t>Customer 348</t>
  </si>
  <si>
    <t>ORD00069</t>
  </si>
  <si>
    <t>C1868</t>
  </si>
  <si>
    <t>ORD00070</t>
  </si>
  <si>
    <t>C1988</t>
  </si>
  <si>
    <t>Customer 397</t>
  </si>
  <si>
    <t>ORD00071</t>
  </si>
  <si>
    <t>C1748</t>
  </si>
  <si>
    <t>Customer 474</t>
  </si>
  <si>
    <t>ORD00072</t>
  </si>
  <si>
    <t>C1296</t>
  </si>
  <si>
    <t>Customer 306</t>
  </si>
  <si>
    <t>ORD00073</t>
  </si>
  <si>
    <t>Customer 258</t>
  </si>
  <si>
    <t>ORD00074</t>
  </si>
  <si>
    <t>C1721</t>
  </si>
  <si>
    <t>Customer 273</t>
  </si>
  <si>
    <t>ORD00075</t>
  </si>
  <si>
    <t>C1558</t>
  </si>
  <si>
    <t>Customer 98</t>
  </si>
  <si>
    <t>ORD00076</t>
  </si>
  <si>
    <t>C1708</t>
  </si>
  <si>
    <t>Customer 335</t>
  </si>
  <si>
    <t>ORD00077</t>
  </si>
  <si>
    <t>C1898</t>
  </si>
  <si>
    <t>Customer 68</t>
  </si>
  <si>
    <t>ORD00078</t>
  </si>
  <si>
    <t>C1849</t>
  </si>
  <si>
    <t>Customer 430</t>
  </si>
  <si>
    <t>ORD00079</t>
  </si>
  <si>
    <t>C1166</t>
  </si>
  <si>
    <t>Customer 270</t>
  </si>
  <si>
    <t>ORD00080</t>
  </si>
  <si>
    <t>C1347</t>
  </si>
  <si>
    <t>Customer 301</t>
  </si>
  <si>
    <t>ORD00081</t>
  </si>
  <si>
    <t>C1275</t>
  </si>
  <si>
    <t>Customer 477</t>
  </si>
  <si>
    <t>ORD00082</t>
  </si>
  <si>
    <t>C1228</t>
  </si>
  <si>
    <t>ORD00083</t>
  </si>
  <si>
    <t>C1753</t>
  </si>
  <si>
    <t>ORD00084</t>
  </si>
  <si>
    <t>C1239</t>
  </si>
  <si>
    <t>Customer 434</t>
  </si>
  <si>
    <t>ORD00085</t>
  </si>
  <si>
    <t>C1077</t>
  </si>
  <si>
    <t>Customer 139</t>
  </si>
  <si>
    <t>ORD00086</t>
  </si>
  <si>
    <t>C1372</t>
  </si>
  <si>
    <t>Customer 48</t>
  </si>
  <si>
    <t>ORD00087</t>
  </si>
  <si>
    <t>C1867</t>
  </si>
  <si>
    <t>Customer 201</t>
  </si>
  <si>
    <t>ORD00088</t>
  </si>
  <si>
    <t>C1532</t>
  </si>
  <si>
    <t>Customer 455</t>
  </si>
  <si>
    <t>ORD00089</t>
  </si>
  <si>
    <t>C1089</t>
  </si>
  <si>
    <t>Customer 4</t>
  </si>
  <si>
    <t>ORD00090</t>
  </si>
  <si>
    <t>C1711</t>
  </si>
  <si>
    <t>Customer 350</t>
  </si>
  <si>
    <t>ORD00091</t>
  </si>
  <si>
    <t>C1318</t>
  </si>
  <si>
    <t>Customer 482</t>
  </si>
  <si>
    <t>ORD00092</t>
  </si>
  <si>
    <t>C1751</t>
  </si>
  <si>
    <t>ORD00093</t>
  </si>
  <si>
    <t>C1356</t>
  </si>
  <si>
    <t>Customer 293</t>
  </si>
  <si>
    <t>ORD00094</t>
  </si>
  <si>
    <t>C1109</t>
  </si>
  <si>
    <t>Customer 253</t>
  </si>
  <si>
    <t>ORD00095</t>
  </si>
  <si>
    <t>C1744</t>
  </si>
  <si>
    <t>ORD00096</t>
  </si>
  <si>
    <t>C1478</t>
  </si>
  <si>
    <t>Customer 244</t>
  </si>
  <si>
    <t>ORD00097</t>
  </si>
  <si>
    <t>C1068</t>
  </si>
  <si>
    <t>Customer 173</t>
  </si>
  <si>
    <t>ORD00098</t>
  </si>
  <si>
    <t>C1679</t>
  </si>
  <si>
    <t>Customer 280</t>
  </si>
  <si>
    <t>ORD00099</t>
  </si>
  <si>
    <t>C1061</t>
  </si>
  <si>
    <t>ORD00100</t>
  </si>
  <si>
    <t>C1184</t>
  </si>
  <si>
    <t>Customer 153</t>
  </si>
  <si>
    <t>ORD00101</t>
  </si>
  <si>
    <t>Customer 423</t>
  </si>
  <si>
    <t>ORD00102</t>
  </si>
  <si>
    <t>C1112</t>
  </si>
  <si>
    <t>Customer 446</t>
  </si>
  <si>
    <t>ORD00103</t>
  </si>
  <si>
    <t>C1415</t>
  </si>
  <si>
    <t>Customer 37</t>
  </si>
  <si>
    <t>ORD00104</t>
  </si>
  <si>
    <t>C1215</t>
  </si>
  <si>
    <t>ORD00105</t>
  </si>
  <si>
    <t>C1918</t>
  </si>
  <si>
    <t>Customer 222</t>
  </si>
  <si>
    <t>ORD00106</t>
  </si>
  <si>
    <t>C1281</t>
  </si>
  <si>
    <t>Customer 272</t>
  </si>
  <si>
    <t>ORD00107</t>
  </si>
  <si>
    <t>C1070</t>
  </si>
  <si>
    <t>Customer 322</t>
  </si>
  <si>
    <t>ORD00108</t>
  </si>
  <si>
    <t>C1206</t>
  </si>
  <si>
    <t>Customer 150</t>
  </si>
  <si>
    <t>ORD00109</t>
  </si>
  <si>
    <t>C1087</t>
  </si>
  <si>
    <t>ORD00110</t>
  </si>
  <si>
    <t>C1236</t>
  </si>
  <si>
    <t>Customer 471</t>
  </si>
  <si>
    <t>ORD00111</t>
  </si>
  <si>
    <t>C1240</t>
  </si>
  <si>
    <t>Customer 461</t>
  </si>
  <si>
    <t>ORD00112</t>
  </si>
  <si>
    <t>C1440</t>
  </si>
  <si>
    <t>Customer 238</t>
  </si>
  <si>
    <t>ORD00113</t>
  </si>
  <si>
    <t>Customer 245</t>
  </si>
  <si>
    <t>ORD00114</t>
  </si>
  <si>
    <t>C1034</t>
  </si>
  <si>
    <t>Customer 42</t>
  </si>
  <si>
    <t>ORD00115</t>
  </si>
  <si>
    <t>Customer 437</t>
  </si>
  <si>
    <t>ORD00116</t>
  </si>
  <si>
    <t>C1955</t>
  </si>
  <si>
    <t>Customer 252</t>
  </si>
  <si>
    <t>ORD00117</t>
  </si>
  <si>
    <t>C1004</t>
  </si>
  <si>
    <t>ORD00118</t>
  </si>
  <si>
    <t>C1437</t>
  </si>
  <si>
    <t>Customer 231</t>
  </si>
  <si>
    <t>ORD00119</t>
  </si>
  <si>
    <t>C1411</t>
  </si>
  <si>
    <t>Customer 332</t>
  </si>
  <si>
    <t>ORD00120</t>
  </si>
  <si>
    <t>C1774</t>
  </si>
  <si>
    <t>ORD00121</t>
  </si>
  <si>
    <t>C1268</t>
  </si>
  <si>
    <t>ORD00122</t>
  </si>
  <si>
    <t>C1484</t>
  </si>
  <si>
    <t>Customer 108</t>
  </si>
  <si>
    <t>ORD00123</t>
  </si>
  <si>
    <t>C1876</t>
  </si>
  <si>
    <t>Customer 41</t>
  </si>
  <si>
    <t>ORD00124</t>
  </si>
  <si>
    <t>C1090</t>
  </si>
  <si>
    <t>Customer 164</t>
  </si>
  <si>
    <t>ORD00125</t>
  </si>
  <si>
    <t>Customer 198</t>
  </si>
  <si>
    <t>ORD00126</t>
  </si>
  <si>
    <t>C1810</t>
  </si>
  <si>
    <t>Customer 25</t>
  </si>
  <si>
    <t>ORD00127</t>
  </si>
  <si>
    <t>C1882</t>
  </si>
  <si>
    <t>Customer 363</t>
  </si>
  <si>
    <t>ORD00128</t>
  </si>
  <si>
    <t>C1065</t>
  </si>
  <si>
    <t>Customer 257</t>
  </si>
  <si>
    <t>ORD00129</t>
  </si>
  <si>
    <t>C1941</t>
  </si>
  <si>
    <t>ORD00130</t>
  </si>
  <si>
    <t>C1740</t>
  </si>
  <si>
    <t>Customer 53</t>
  </si>
  <si>
    <t>ORD00131</t>
  </si>
  <si>
    <t>C1920</t>
  </si>
  <si>
    <t>Customer 36</t>
  </si>
  <si>
    <t>ORD00132</t>
  </si>
  <si>
    <t>C1887</t>
  </si>
  <si>
    <t>Customer 303</t>
  </si>
  <si>
    <t>ORD00133</t>
  </si>
  <si>
    <t>C1200</t>
  </si>
  <si>
    <t>Customer 314</t>
  </si>
  <si>
    <t>ORD00134</t>
  </si>
  <si>
    <t>C1580</t>
  </si>
  <si>
    <t>Customer 179</t>
  </si>
  <si>
    <t>ORD00135</t>
  </si>
  <si>
    <t>C1332</t>
  </si>
  <si>
    <t>ORD00136</t>
  </si>
  <si>
    <t>C1122</t>
  </si>
  <si>
    <t>Customer 294</t>
  </si>
  <si>
    <t>ORD00137</t>
  </si>
  <si>
    <t>C1735</t>
  </si>
  <si>
    <t>ORD00138</t>
  </si>
  <si>
    <t>Customer 347</t>
  </si>
  <si>
    <t>ORD00139</t>
  </si>
  <si>
    <t>C1615</t>
  </si>
  <si>
    <t>ORD00140</t>
  </si>
  <si>
    <t>C1220</t>
  </si>
  <si>
    <t>Customer 241</t>
  </si>
  <si>
    <t>ORD00141</t>
  </si>
  <si>
    <t>C1720</t>
  </si>
  <si>
    <t>Customer 297</t>
  </si>
  <si>
    <t>ORD00142</t>
  </si>
  <si>
    <t>C1944</t>
  </si>
  <si>
    <t>Customer 401</t>
  </si>
  <si>
    <t>ORD00143</t>
  </si>
  <si>
    <t>C1003</t>
  </si>
  <si>
    <t>Customer 458</t>
  </si>
  <si>
    <t>ORD00144</t>
  </si>
  <si>
    <t>C1936</t>
  </si>
  <si>
    <t>ORD00145</t>
  </si>
  <si>
    <t>Customer 497</t>
  </si>
  <si>
    <t>ORD00146</t>
  </si>
  <si>
    <t>C1044</t>
  </si>
  <si>
    <t>Customer 62</t>
  </si>
  <si>
    <t>ORD00147</t>
  </si>
  <si>
    <t>C1487</t>
  </si>
  <si>
    <t>Customer 134</t>
  </si>
  <si>
    <t>ORD00148</t>
  </si>
  <si>
    <t>C1222</t>
  </si>
  <si>
    <t>ORD00149</t>
  </si>
  <si>
    <t>C1241</t>
  </si>
  <si>
    <t>Customer 135</t>
  </si>
  <si>
    <t>ORD00150</t>
  </si>
  <si>
    <t>C1757</t>
  </si>
  <si>
    <t>Customer 462</t>
  </si>
  <si>
    <t>ORD00151</t>
  </si>
  <si>
    <t>C1707</t>
  </si>
  <si>
    <t>Customer 75</t>
  </si>
  <si>
    <t>ORD00152</t>
  </si>
  <si>
    <t>Customer 385</t>
  </si>
  <si>
    <t>ORD00153</t>
  </si>
  <si>
    <t>C1421</t>
  </si>
  <si>
    <t>Customer 431</t>
  </si>
  <si>
    <t>ORD00154</t>
  </si>
  <si>
    <t>C1792</t>
  </si>
  <si>
    <t>ORD00155</t>
  </si>
  <si>
    <t>C1343</t>
  </si>
  <si>
    <t>Customer 66</t>
  </si>
  <si>
    <t>ORD00156</t>
  </si>
  <si>
    <t>Customer 389</t>
  </si>
  <si>
    <t>ORD00157</t>
  </si>
  <si>
    <t>ORD00158</t>
  </si>
  <si>
    <t>C1170</t>
  </si>
  <si>
    <t>Customer 342</t>
  </si>
  <si>
    <t>ORD00159</t>
  </si>
  <si>
    <t>C1512</t>
  </si>
  <si>
    <t>Customer 283</t>
  </si>
  <si>
    <t>ORD00160</t>
  </si>
  <si>
    <t>C1011</t>
  </si>
  <si>
    <t>Customer 110</t>
  </si>
  <si>
    <t>ORD00161</t>
  </si>
  <si>
    <t>Customer 472</t>
  </si>
  <si>
    <t>ORD00162</t>
  </si>
  <si>
    <t>C1816</t>
  </si>
  <si>
    <t>Customer 219</t>
  </si>
  <si>
    <t>ORD00163</t>
  </si>
  <si>
    <t>C1513</t>
  </si>
  <si>
    <t>Customer 457</t>
  </si>
  <si>
    <t>ORD00164</t>
  </si>
  <si>
    <t>C1572</t>
  </si>
  <si>
    <t>Customer 166</t>
  </si>
  <si>
    <t>ORD00165</t>
  </si>
  <si>
    <t>Customer 281</t>
  </si>
  <si>
    <t>ORD00166</t>
  </si>
  <si>
    <t>C1850</t>
  </si>
  <si>
    <t>Customer 43</t>
  </si>
  <si>
    <t>ORD00167</t>
  </si>
  <si>
    <t>C1986</t>
  </si>
  <si>
    <t>Customer 246</t>
  </si>
  <si>
    <t>ORD00168</t>
  </si>
  <si>
    <t>C1781</t>
  </si>
  <si>
    <t>Customer 172</t>
  </si>
  <si>
    <t>ORD00169</t>
  </si>
  <si>
    <t>C1917</t>
  </si>
  <si>
    <t>ORD00170</t>
  </si>
  <si>
    <t>C1641</t>
  </si>
  <si>
    <t>Customer 475</t>
  </si>
  <si>
    <t>ORD00171</t>
  </si>
  <si>
    <t>C1336</t>
  </si>
  <si>
    <t>ORD00172</t>
  </si>
  <si>
    <t>C1776</t>
  </si>
  <si>
    <t>ORD00173</t>
  </si>
  <si>
    <t>C1925</t>
  </si>
  <si>
    <t>Customer 226</t>
  </si>
  <si>
    <t>ORD00174</t>
  </si>
  <si>
    <t>C1799</t>
  </si>
  <si>
    <t>Customer 128</t>
  </si>
  <si>
    <t>ORD00175</t>
  </si>
  <si>
    <t>C1033</t>
  </si>
  <si>
    <t>Customer 493</t>
  </si>
  <si>
    <t>ORD00176</t>
  </si>
  <si>
    <t>C1217</t>
  </si>
  <si>
    <t>Customer 414</t>
  </si>
  <si>
    <t>ORD00177</t>
  </si>
  <si>
    <t>C1840</t>
  </si>
  <si>
    <t>ORD00178</t>
  </si>
  <si>
    <t>C1829</t>
  </si>
  <si>
    <t>ORD00179</t>
  </si>
  <si>
    <t>C1381</t>
  </si>
  <si>
    <t>Customer 289</t>
  </si>
  <si>
    <t>ORD00180</t>
  </si>
  <si>
    <t>C1351</t>
  </si>
  <si>
    <t>Customer 239</t>
  </si>
  <si>
    <t>ORD00181</t>
  </si>
  <si>
    <t>C1485</t>
  </si>
  <si>
    <t>ORD00182</t>
  </si>
  <si>
    <t>C1489</t>
  </si>
  <si>
    <t>Customer 28</t>
  </si>
  <si>
    <t>ORD00183</t>
  </si>
  <si>
    <t>C1242</t>
  </si>
  <si>
    <t>ORD00184</t>
  </si>
  <si>
    <t>C1736</t>
  </si>
  <si>
    <t>Customer 136</t>
  </si>
  <si>
    <t>ORD00185</t>
  </si>
  <si>
    <t>Customer 337</t>
  </si>
  <si>
    <t>ORD00186</t>
  </si>
  <si>
    <t>C1693</t>
  </si>
  <si>
    <t>Customer 79</t>
  </si>
  <si>
    <t>ORD00187</t>
  </si>
  <si>
    <t>Customer 17</t>
  </si>
  <si>
    <t>ORD00188</t>
  </si>
  <si>
    <t>C1247</t>
  </si>
  <si>
    <t>Customer 233</t>
  </si>
  <si>
    <t>ORD00189</t>
  </si>
  <si>
    <t>C1903</t>
  </si>
  <si>
    <t>Customer 330</t>
  </si>
  <si>
    <t>ORD00190</t>
  </si>
  <si>
    <t>C1795</t>
  </si>
  <si>
    <t>Customer 152</t>
  </si>
  <si>
    <t>ORD00191</t>
  </si>
  <si>
    <t>C1368</t>
  </si>
  <si>
    <t>Customer 256</t>
  </si>
  <si>
    <t>ORD00192</t>
  </si>
  <si>
    <t>C1146</t>
  </si>
  <si>
    <t>Customer 339</t>
  </si>
  <si>
    <t>ORD00193</t>
  </si>
  <si>
    <t>C1293</t>
  </si>
  <si>
    <t>Customer 180</t>
  </si>
  <si>
    <t>ORD00194</t>
  </si>
  <si>
    <t>C1477</t>
  </si>
  <si>
    <t>Customer 396</t>
  </si>
  <si>
    <t>ORD00195</t>
  </si>
  <si>
    <t>C1099</t>
  </si>
  <si>
    <t>Customer 88</t>
  </si>
  <si>
    <t>ORD00196</t>
  </si>
  <si>
    <t>C1104</t>
  </si>
  <si>
    <t>ORD00197</t>
  </si>
  <si>
    <t>Customer 22</t>
  </si>
  <si>
    <t>ORD00198</t>
  </si>
  <si>
    <t>C1553</t>
  </si>
  <si>
    <t>ORD00199</t>
  </si>
  <si>
    <t>C1713</t>
  </si>
  <si>
    <t>ORD00200</t>
  </si>
  <si>
    <t>C1773</t>
  </si>
  <si>
    <t>Customer 360</t>
  </si>
  <si>
    <t>ORD00201</t>
  </si>
  <si>
    <t>ORD00202</t>
  </si>
  <si>
    <t>C1604</t>
  </si>
  <si>
    <t>Customer 117</t>
  </si>
  <si>
    <t>ORD00203</t>
  </si>
  <si>
    <t>C1694</t>
  </si>
  <si>
    <t>Customer 319</t>
  </si>
  <si>
    <t>ORD00204</t>
  </si>
  <si>
    <t>C1325</t>
  </si>
  <si>
    <t>ORD00205</t>
  </si>
  <si>
    <t>C1134</t>
  </si>
  <si>
    <t>ORD00206</t>
  </si>
  <si>
    <t>C1307</t>
  </si>
  <si>
    <t>Customer 480</t>
  </si>
  <si>
    <t>ORD00207</t>
  </si>
  <si>
    <t>C1401</t>
  </si>
  <si>
    <t>Customer 131</t>
  </si>
  <si>
    <t>ORD00208</t>
  </si>
  <si>
    <t>C1453</t>
  </si>
  <si>
    <t>ORD00209</t>
  </si>
  <si>
    <t>C1896</t>
  </si>
  <si>
    <t>ORD00210</t>
  </si>
  <si>
    <t>C1028</t>
  </si>
  <si>
    <t>ORD00211</t>
  </si>
  <si>
    <t>Customer 133</t>
  </si>
  <si>
    <t>ORD00212</t>
  </si>
  <si>
    <t>C1253</t>
  </si>
  <si>
    <t>Customer 162</t>
  </si>
  <si>
    <t>ORD00213</t>
  </si>
  <si>
    <t>C1027</t>
  </si>
  <si>
    <t>Customer 156</t>
  </si>
  <si>
    <t>ORD00214</t>
  </si>
  <si>
    <t>C1985</t>
  </si>
  <si>
    <t>Customer 235</t>
  </si>
  <si>
    <t>ORD00215</t>
  </si>
  <si>
    <t>C1764</t>
  </si>
  <si>
    <t>ORD00216</t>
  </si>
  <si>
    <t>C1130</t>
  </si>
  <si>
    <t>ORD00217</t>
  </si>
  <si>
    <t>C1974</t>
  </si>
  <si>
    <t>Customer 232</t>
  </si>
  <si>
    <t>ORD00218</t>
  </si>
  <si>
    <t>Customer 61</t>
  </si>
  <si>
    <t>ORD00219</t>
  </si>
  <si>
    <t>Customer 463</t>
  </si>
  <si>
    <t>ORD00220</t>
  </si>
  <si>
    <t>C1262</t>
  </si>
  <si>
    <t>ORD00221</t>
  </si>
  <si>
    <t>C1911</t>
  </si>
  <si>
    <t>Customer 254</t>
  </si>
  <si>
    <t>ORD00222</t>
  </si>
  <si>
    <t>ORD00223</t>
  </si>
  <si>
    <t>C1656</t>
  </si>
  <si>
    <t>ORD00224</t>
  </si>
  <si>
    <t>C1765</t>
  </si>
  <si>
    <t>ORD00225</t>
  </si>
  <si>
    <t>C1691</t>
  </si>
  <si>
    <t>ORD00226</t>
  </si>
  <si>
    <t>C1696</t>
  </si>
  <si>
    <t>ORD00227</t>
  </si>
  <si>
    <t>C1967</t>
  </si>
  <si>
    <t>Customer 104</t>
  </si>
  <si>
    <t>ORD00228</t>
  </si>
  <si>
    <t>C1556</t>
  </si>
  <si>
    <t>ORD00229</t>
  </si>
  <si>
    <t>C1537</t>
  </si>
  <si>
    <t>Customer 269</t>
  </si>
  <si>
    <t>ORD00230</t>
  </si>
  <si>
    <t>Customer 218</t>
  </si>
  <si>
    <t>ORD00231</t>
  </si>
  <si>
    <t>C1823</t>
  </si>
  <si>
    <t>Customer 259</t>
  </si>
  <si>
    <t>ORD00232</t>
  </si>
  <si>
    <t>C1396</t>
  </si>
  <si>
    <t>Customer 490</t>
  </si>
  <si>
    <t>ORD00233</t>
  </si>
  <si>
    <t>C1524</t>
  </si>
  <si>
    <t>Customer 85</t>
  </si>
  <si>
    <t>ORD00234</t>
  </si>
  <si>
    <t>C1128</t>
  </si>
  <si>
    <t>ORD00235</t>
  </si>
  <si>
    <t>C1749</t>
  </si>
  <si>
    <t>Customer 115</t>
  </si>
  <si>
    <t>ORD00236</t>
  </si>
  <si>
    <t>Customer 209</t>
  </si>
  <si>
    <t>ORD00237</t>
  </si>
  <si>
    <t>C1219</t>
  </si>
  <si>
    <t>Customer 433</t>
  </si>
  <si>
    <t>ORD00238</t>
  </si>
  <si>
    <t>C1672</t>
  </si>
  <si>
    <t>ORD00239</t>
  </si>
  <si>
    <t>C1295</t>
  </si>
  <si>
    <t>Customer 435</t>
  </si>
  <si>
    <t>ORD00240</t>
  </si>
  <si>
    <t>C1350</t>
  </si>
  <si>
    <t>Customer 376</t>
  </si>
  <si>
    <t>ORD00241</t>
  </si>
  <si>
    <t>C1675</t>
  </si>
  <si>
    <t>ORD00242</t>
  </si>
  <si>
    <t>C1334</t>
  </si>
  <si>
    <t>Customer 195</t>
  </si>
  <si>
    <t>ORD00243</t>
  </si>
  <si>
    <t>C1801</t>
  </si>
  <si>
    <t>Customer 355</t>
  </si>
  <si>
    <t>ORD00244</t>
  </si>
  <si>
    <t>C1977</t>
  </si>
  <si>
    <t>Customer 171</t>
  </si>
  <si>
    <t>ORD00245</t>
  </si>
  <si>
    <t>Customer 321</t>
  </si>
  <si>
    <t>ORD00246</t>
  </si>
  <si>
    <t>C1235</t>
  </si>
  <si>
    <t>ORD00247</t>
  </si>
  <si>
    <t>C1859</t>
  </si>
  <si>
    <t>Customer 456</t>
  </si>
  <si>
    <t>ORD00248</t>
  </si>
  <si>
    <t>C1722</t>
  </si>
  <si>
    <t>Customer 81</t>
  </si>
  <si>
    <t>ORD00249</t>
  </si>
  <si>
    <t>C1628</t>
  </si>
  <si>
    <t>Customer 87</t>
  </si>
  <si>
    <t>ORD00250</t>
  </si>
  <si>
    <t>C1635</t>
  </si>
  <si>
    <t>Customer 125</t>
  </si>
  <si>
    <t>ORD00251</t>
  </si>
  <si>
    <t>Customer 356</t>
  </si>
  <si>
    <t>ORD00252</t>
  </si>
  <si>
    <t>C1464</t>
  </si>
  <si>
    <t>Customer 45</t>
  </si>
  <si>
    <t>ORD00253</t>
  </si>
  <si>
    <t>C1847</t>
  </si>
  <si>
    <t>Customer 225</t>
  </si>
  <si>
    <t>ORD00254</t>
  </si>
  <si>
    <t>C1341</t>
  </si>
  <si>
    <t>Customer 249</t>
  </si>
  <si>
    <t>ORD00255</t>
  </si>
  <si>
    <t>C1897</t>
  </si>
  <si>
    <t>ORD00256</t>
  </si>
  <si>
    <t>C1447</t>
  </si>
  <si>
    <t>Customer 336</t>
  </si>
  <si>
    <t>ORD00257</t>
  </si>
  <si>
    <t>C1830</t>
  </si>
  <si>
    <t>ORD00258</t>
  </si>
  <si>
    <t>C1126</t>
  </si>
  <si>
    <t>Customer 412</t>
  </si>
  <si>
    <t>ORD00259</t>
  </si>
  <si>
    <t>C1461</t>
  </si>
  <si>
    <t>Customer 161</t>
  </si>
  <si>
    <t>ORD00260</t>
  </si>
  <si>
    <t>C1880</t>
  </si>
  <si>
    <t>Customer 119</t>
  </si>
  <si>
    <t>ORD00261</t>
  </si>
  <si>
    <t>C1178</t>
  </si>
  <si>
    <t>ORD00262</t>
  </si>
  <si>
    <t>C1754</t>
  </si>
  <si>
    <t>ORD00263</t>
  </si>
  <si>
    <t>C1390</t>
  </si>
  <si>
    <t>ORD00264</t>
  </si>
  <si>
    <t>C1309</t>
  </si>
  <si>
    <t>ORD00265</t>
  </si>
  <si>
    <t>ORD00266</t>
  </si>
  <si>
    <t>C1841</t>
  </si>
  <si>
    <t>ORD00267</t>
  </si>
  <si>
    <t>C1418</t>
  </si>
  <si>
    <t>Customer 488</t>
  </si>
  <si>
    <t>ORD00268</t>
  </si>
  <si>
    <t>C1026</t>
  </si>
  <si>
    <t>ORD00269</t>
  </si>
  <si>
    <t>ORD00270</t>
  </si>
  <si>
    <t>Customer 106</t>
  </si>
  <si>
    <t>ORD00271</t>
  </si>
  <si>
    <t>C1605</t>
  </si>
  <si>
    <t>ORD00272</t>
  </si>
  <si>
    <t>C1931</t>
  </si>
  <si>
    <t>ORD00273</t>
  </si>
  <si>
    <t>C1968</t>
  </si>
  <si>
    <t>Customer 473</t>
  </si>
  <si>
    <t>ORD00274</t>
  </si>
  <si>
    <t>C1463</t>
  </si>
  <si>
    <t>Customer 221</t>
  </si>
  <si>
    <t>ORD00275</t>
  </si>
  <si>
    <t>C1233</t>
  </si>
  <si>
    <t>ORD00276</t>
  </si>
  <si>
    <t>C1469</t>
  </si>
  <si>
    <t>Customer 199</t>
  </si>
  <si>
    <t>ORD00277</t>
  </si>
  <si>
    <t>C1310</t>
  </si>
  <si>
    <t>ORD00278</t>
  </si>
  <si>
    <t>C1080</t>
  </si>
  <si>
    <t>ORD00279</t>
  </si>
  <si>
    <t>ORD00280</t>
  </si>
  <si>
    <t>C1797</t>
  </si>
  <si>
    <t>Customer 263</t>
  </si>
  <si>
    <t>ORD00281</t>
  </si>
  <si>
    <t>C1923</t>
  </si>
  <si>
    <t>ORD00282</t>
  </si>
  <si>
    <t>C1812</t>
  </si>
  <si>
    <t>ORD00283</t>
  </si>
  <si>
    <t>C1429</t>
  </si>
  <si>
    <t>Customer 31</t>
  </si>
  <si>
    <t>ORD00284</t>
  </si>
  <si>
    <t>Customer 275</t>
  </si>
  <si>
    <t>ORD00285</t>
  </si>
  <si>
    <t>C1535</t>
  </si>
  <si>
    <t>ORD00286</t>
  </si>
  <si>
    <t>C1135</t>
  </si>
  <si>
    <t>ORD00287</t>
  </si>
  <si>
    <t>C1149</t>
  </si>
  <si>
    <t>Customer 32</t>
  </si>
  <si>
    <t>ORD00288</t>
  </si>
  <si>
    <t>C1788</t>
  </si>
  <si>
    <t>Customer 13</t>
  </si>
  <si>
    <t>ORD00289</t>
  </si>
  <si>
    <t>Customer 148</t>
  </si>
  <si>
    <t>ORD00290</t>
  </si>
  <si>
    <t>ORD00291</t>
  </si>
  <si>
    <t>C1593</t>
  </si>
  <si>
    <t>ORD00292</t>
  </si>
  <si>
    <t>C1319</t>
  </si>
  <si>
    <t>ORD00293</t>
  </si>
  <si>
    <t>C1107</t>
  </si>
  <si>
    <t>ORD00294</t>
  </si>
  <si>
    <t>ORD00295</t>
  </si>
  <si>
    <t>C1585</t>
  </si>
  <si>
    <t>ORD00296</t>
  </si>
  <si>
    <t>C1607</t>
  </si>
  <si>
    <t>Customer 89</t>
  </si>
  <si>
    <t>ORD00297</t>
  </si>
  <si>
    <t>C1590</t>
  </si>
  <si>
    <t>Customer 310</t>
  </si>
  <si>
    <t>ORD00298</t>
  </si>
  <si>
    <t>C1012</t>
  </si>
  <si>
    <t>ORD00299</t>
  </si>
  <si>
    <t>C1956</t>
  </si>
  <si>
    <t>ORD00300</t>
  </si>
  <si>
    <t>C1798</t>
  </si>
  <si>
    <t>Customer 73</t>
  </si>
  <si>
    <t>ORD00301</t>
  </si>
  <si>
    <t>C1366</t>
  </si>
  <si>
    <t>ORD00302</t>
  </si>
  <si>
    <t>C1252</t>
  </si>
  <si>
    <t>ORD00303</t>
  </si>
  <si>
    <t>Customer 442</t>
  </si>
  <si>
    <t>ORD00304</t>
  </si>
  <si>
    <t>C1165</t>
  </si>
  <si>
    <t>ORD00305</t>
  </si>
  <si>
    <t>C1216</t>
  </si>
  <si>
    <t>Customer 26</t>
  </si>
  <si>
    <t>ORD00306</t>
  </si>
  <si>
    <t>C1842</t>
  </si>
  <si>
    <t>Customer 375</t>
  </si>
  <si>
    <t>ORD00307</t>
  </si>
  <si>
    <t>C1377</t>
  </si>
  <si>
    <t>ORD00308</t>
  </si>
  <si>
    <t>C1302</t>
  </si>
  <si>
    <t>Customer 264</t>
  </si>
  <si>
    <t>ORD00309</t>
  </si>
  <si>
    <t>C1448</t>
  </si>
  <si>
    <t>ORD00310</t>
  </si>
  <si>
    <t>ORD00311</t>
  </si>
  <si>
    <t>C1424</t>
  </si>
  <si>
    <t>Customer 160</t>
  </si>
  <si>
    <t>ORD00312</t>
  </si>
  <si>
    <t>C1863</t>
  </si>
  <si>
    <t>ORD00313</t>
  </si>
  <si>
    <t>C1143</t>
  </si>
  <si>
    <t>ORD00314</t>
  </si>
  <si>
    <t>C1652</t>
  </si>
  <si>
    <t>ORD00315</t>
  </si>
  <si>
    <t>C1613</t>
  </si>
  <si>
    <t>ORD00316</t>
  </si>
  <si>
    <t>Customer 15</t>
  </si>
  <si>
    <t>ORD00317</t>
  </si>
  <si>
    <t>ORD00318</t>
  </si>
  <si>
    <t>ORD00319</t>
  </si>
  <si>
    <t>C1595</t>
  </si>
  <si>
    <t>Customer 194</t>
  </si>
  <si>
    <t>ORD00320</t>
  </si>
  <si>
    <t>C1460</t>
  </si>
  <si>
    <t>ORD00321</t>
  </si>
  <si>
    <t>C1243</t>
  </si>
  <si>
    <t>ORD00322</t>
  </si>
  <si>
    <t>C1049</t>
  </si>
  <si>
    <t>Customer 495</t>
  </si>
  <si>
    <t>ORD00323</t>
  </si>
  <si>
    <t>C1203</t>
  </si>
  <si>
    <t>ORD00324</t>
  </si>
  <si>
    <t>C1975</t>
  </si>
  <si>
    <t>ORD00325</t>
  </si>
  <si>
    <t>C1873</t>
  </si>
  <si>
    <t>ORD00326</t>
  </si>
  <si>
    <t>C1750</t>
  </si>
  <si>
    <t>Customer 47</t>
  </si>
  <si>
    <t>ORD00327</t>
  </si>
  <si>
    <t>Customer 212</t>
  </si>
  <si>
    <t>ORD00328</t>
  </si>
  <si>
    <t>C1048</t>
  </si>
  <si>
    <t>Customer 38</t>
  </si>
  <si>
    <t>ORD00329</t>
  </si>
  <si>
    <t>C1837</t>
  </si>
  <si>
    <t>ORD00330</t>
  </si>
  <si>
    <t>C1144</t>
  </si>
  <si>
    <t>Customer 216</t>
  </si>
  <si>
    <t>ORD00331</t>
  </si>
  <si>
    <t>C1031</t>
  </si>
  <si>
    <t>Customer 469</t>
  </si>
  <si>
    <t>ORD00332</t>
  </si>
  <si>
    <t>C1984</t>
  </si>
  <si>
    <t>Customer 447</t>
  </si>
  <si>
    <t>ORD00333</t>
  </si>
  <si>
    <t>C1686</t>
  </si>
  <si>
    <t>ORD00334</t>
  </si>
  <si>
    <t>ORD00335</t>
  </si>
  <si>
    <t>Customer 154</t>
  </si>
  <si>
    <t>ORD00336</t>
  </si>
  <si>
    <t>Customer 224</t>
  </si>
  <si>
    <t>ORD00337</t>
  </si>
  <si>
    <t>C1249</t>
  </si>
  <si>
    <t>ORD00338</t>
  </si>
  <si>
    <t>C1692</t>
  </si>
  <si>
    <t>ORD00339</t>
  </si>
  <si>
    <t>Customer 181</t>
  </si>
  <si>
    <t>ORD00340</t>
  </si>
  <si>
    <t>C1780</t>
  </si>
  <si>
    <t>ORD00341</t>
  </si>
  <si>
    <t>C1981</t>
  </si>
  <si>
    <t>Customer 487</t>
  </si>
  <si>
    <t>ORD00342</t>
  </si>
  <si>
    <t>C1375</t>
  </si>
  <si>
    <t>ORD00343</t>
  </si>
  <si>
    <t>C1817</t>
  </si>
  <si>
    <t>ORD00344</t>
  </si>
  <si>
    <t>C1355</t>
  </si>
  <si>
    <t>ORD00345</t>
  </si>
  <si>
    <t>Customer 103</t>
  </si>
  <si>
    <t>ORD00346</t>
  </si>
  <si>
    <t>C1875</t>
  </si>
  <si>
    <t>Customer 77</t>
  </si>
  <si>
    <t>ORD00347</t>
  </si>
  <si>
    <t>ORD00348</t>
  </si>
  <si>
    <t>Customer 83</t>
  </si>
  <si>
    <t>ORD00349</t>
  </si>
  <si>
    <t>C1997</t>
  </si>
  <si>
    <t>ORD00350</t>
  </si>
  <si>
    <t>C1602</t>
  </si>
  <si>
    <t>Customer 176</t>
  </si>
  <si>
    <t>ORD00351</t>
  </si>
  <si>
    <t>C1843</t>
  </si>
  <si>
    <t>ORD00352</t>
  </si>
  <si>
    <t>Customer 107</t>
  </si>
  <si>
    <t>ORD00353</t>
  </si>
  <si>
    <t>C1935</t>
  </si>
  <si>
    <t>Customer 331</t>
  </si>
  <si>
    <t>ORD00354</t>
  </si>
  <si>
    <t>C1371</t>
  </si>
  <si>
    <t>ORD00355</t>
  </si>
  <si>
    <t>C1370</t>
  </si>
  <si>
    <t>Customer 93</t>
  </si>
  <si>
    <t>ORD00356</t>
  </si>
  <si>
    <t>C1115</t>
  </si>
  <si>
    <t>ORD00357</t>
  </si>
  <si>
    <t>Customer 424</t>
  </si>
  <si>
    <t>ORD00358</t>
  </si>
  <si>
    <t>C1163</t>
  </si>
  <si>
    <t>Customer 489</t>
  </si>
  <si>
    <t>ORD00359</t>
  </si>
  <si>
    <t>C1140</t>
  </si>
  <si>
    <t>Customer 55</t>
  </si>
  <si>
    <t>ORD00360</t>
  </si>
  <si>
    <t>C1364</t>
  </si>
  <si>
    <t>ORD00361</t>
  </si>
  <si>
    <t>Customer 445</t>
  </si>
  <si>
    <t>ORD00362</t>
  </si>
  <si>
    <t>C1808</t>
  </si>
  <si>
    <t>ORD00363</t>
  </si>
  <si>
    <t>C1207</t>
  </si>
  <si>
    <t>ORD00364</t>
  </si>
  <si>
    <t>C1610</t>
  </si>
  <si>
    <t>Customer 90</t>
  </si>
  <si>
    <t>ORD00365</t>
  </si>
  <si>
    <t>C1211</t>
  </si>
  <si>
    <t>Customer 343</t>
  </si>
  <si>
    <t>ORD00366</t>
  </si>
  <si>
    <t>C1539</t>
  </si>
  <si>
    <t>Customer 451</t>
  </si>
  <si>
    <t>ORD00367</t>
  </si>
  <si>
    <t>C1188</t>
  </si>
  <si>
    <t>Customer 124</t>
  </si>
  <si>
    <t>ORD00368</t>
  </si>
  <si>
    <t>ORD00369</t>
  </si>
  <si>
    <t>C1419</t>
  </si>
  <si>
    <t>ORD00370</t>
  </si>
  <si>
    <t>C1746</t>
  </si>
  <si>
    <t>Customer 405</t>
  </si>
  <si>
    <t>ORD00371</t>
  </si>
  <si>
    <t>Customer 147</t>
  </si>
  <si>
    <t>ORD00372</t>
  </si>
  <si>
    <t>C1592</t>
  </si>
  <si>
    <t>ORD00373</t>
  </si>
  <si>
    <t>C1916</t>
  </si>
  <si>
    <t>Customer 65</t>
  </si>
  <si>
    <t>ORD00374</t>
  </si>
  <si>
    <t>ORD00375</t>
  </si>
  <si>
    <t>C1096</t>
  </si>
  <si>
    <t>Customer 421</t>
  </si>
  <si>
    <t>ORD00376</t>
  </si>
  <si>
    <t>Customer 378</t>
  </si>
  <si>
    <t>ORD00377</t>
  </si>
  <si>
    <t>C1010</t>
  </si>
  <si>
    <t>ORD00378</t>
  </si>
  <si>
    <t>C1474</t>
  </si>
  <si>
    <t>Customer 288</t>
  </si>
  <si>
    <t>ORD00379</t>
  </si>
  <si>
    <t>C1344</t>
  </si>
  <si>
    <t>ORD00380</t>
  </si>
  <si>
    <t>C1320</t>
  </si>
  <si>
    <t>Customer 416</t>
  </si>
  <si>
    <t>ORD00381</t>
  </si>
  <si>
    <t>C1038</t>
  </si>
  <si>
    <t>Customer 203</t>
  </si>
  <si>
    <t>ORD00382</t>
  </si>
  <si>
    <t>Customer 84</t>
  </si>
  <si>
    <t>ORD00383</t>
  </si>
  <si>
    <t>C1727</t>
  </si>
  <si>
    <t>Customer 175</t>
  </si>
  <si>
    <t>ORD00384</t>
  </si>
  <si>
    <t>C1946</t>
  </si>
  <si>
    <t>Customer 415</t>
  </si>
  <si>
    <t>ORD00385</t>
  </si>
  <si>
    <t>ORD00386</t>
  </si>
  <si>
    <t>C1739</t>
  </si>
  <si>
    <t>Customer 105</t>
  </si>
  <si>
    <t>ORD00387</t>
  </si>
  <si>
    <t>C1665</t>
  </si>
  <si>
    <t>ORD00388</t>
  </si>
  <si>
    <t>ORD00389</t>
  </si>
  <si>
    <t>C1825</t>
  </si>
  <si>
    <t>ORD00390</t>
  </si>
  <si>
    <t>C1561</t>
  </si>
  <si>
    <t>ORD00391</t>
  </si>
  <si>
    <t>C1608</t>
  </si>
  <si>
    <t>ORD00392</t>
  </si>
  <si>
    <t>C1432</t>
  </si>
  <si>
    <t>ORD00393</t>
  </si>
  <si>
    <t>ORD00394</t>
  </si>
  <si>
    <t>C1499</t>
  </si>
  <si>
    <t>Customer 419</t>
  </si>
  <si>
    <t>ORD00395</t>
  </si>
  <si>
    <t>C1522</t>
  </si>
  <si>
    <t>Customer 215</t>
  </si>
  <si>
    <t>ORD00396</t>
  </si>
  <si>
    <t>Customer 399</t>
  </si>
  <si>
    <t>ORD00397</t>
  </si>
  <si>
    <t>ORD00398</t>
  </si>
  <si>
    <t>C1895</t>
  </si>
  <si>
    <t>ORD00399</t>
  </si>
  <si>
    <t>C1905</t>
  </si>
  <si>
    <t>Customer 318</t>
  </si>
  <si>
    <t>ORD00400</t>
  </si>
  <si>
    <t>C1462</t>
  </si>
  <si>
    <t>ORD00401</t>
  </si>
  <si>
    <t>C1814</t>
  </si>
  <si>
    <t>ORD00402</t>
  </si>
  <si>
    <t>C1980</t>
  </si>
  <si>
    <t>Customer 386</t>
  </si>
  <si>
    <t>ORD00403</t>
  </si>
  <si>
    <t>C1164</t>
  </si>
  <si>
    <t>Customer 243</t>
  </si>
  <si>
    <t>ORD00404</t>
  </si>
  <si>
    <t>ORD00405</t>
  </si>
  <si>
    <t>Customer 466</t>
  </si>
  <si>
    <t>ORD00406</t>
  </si>
  <si>
    <t>C1074</t>
  </si>
  <si>
    <t>ORD00407</t>
  </si>
  <si>
    <t>C1685</t>
  </si>
  <si>
    <t>ORD00408</t>
  </si>
  <si>
    <t>C1358</t>
  </si>
  <si>
    <t>ORD00409</t>
  </si>
  <si>
    <t>C1385</t>
  </si>
  <si>
    <t>ORD00410</t>
  </si>
  <si>
    <t>C1479</t>
  </si>
  <si>
    <t>Customer 30</t>
  </si>
  <si>
    <t>ORD00411</t>
  </si>
  <si>
    <t>C1805</t>
  </si>
  <si>
    <t>ORD00412</t>
  </si>
  <si>
    <t>C1227</t>
  </si>
  <si>
    <t>Customer 5</t>
  </si>
  <si>
    <t>ORD00413</t>
  </si>
  <si>
    <t>C1274</t>
  </si>
  <si>
    <t>Customer 478</t>
  </si>
  <si>
    <t>ORD00414</t>
  </si>
  <si>
    <t>C1155</t>
  </si>
  <si>
    <t>ORD00415</t>
  </si>
  <si>
    <t>C1865</t>
  </si>
  <si>
    <t>ORD00416</t>
  </si>
  <si>
    <t>C1278</t>
  </si>
  <si>
    <t>Customer 394</t>
  </si>
  <si>
    <t>ORD00417</t>
  </si>
  <si>
    <t>C1054</t>
  </si>
  <si>
    <t>Customer 398</t>
  </si>
  <si>
    <t>ORD00418</t>
  </si>
  <si>
    <t>Customer 9</t>
  </si>
  <si>
    <t>ORD00419</t>
  </si>
  <si>
    <t>C1541</t>
  </si>
  <si>
    <t>ORD00420</t>
  </si>
  <si>
    <t>C1618</t>
  </si>
  <si>
    <t>Customer 286</t>
  </si>
  <si>
    <t>ORD00421</t>
  </si>
  <si>
    <t>C1342</t>
  </si>
  <si>
    <t>Customer 459</t>
  </si>
  <si>
    <t>ORD00422</t>
  </si>
  <si>
    <t>C1157</t>
  </si>
  <si>
    <t>ORD00423</t>
  </si>
  <si>
    <t>ORD00424</t>
  </si>
  <si>
    <t>ORD00425</t>
  </si>
  <si>
    <t>C1747</t>
  </si>
  <si>
    <t>Customer 163</t>
  </si>
  <si>
    <t>ORD00426</t>
  </si>
  <si>
    <t>C1417</t>
  </si>
  <si>
    <t>ORD00427</t>
  </si>
  <si>
    <t>Customer 368</t>
  </si>
  <si>
    <t>ORD00428</t>
  </si>
  <si>
    <t>ORD00429</t>
  </si>
  <si>
    <t>C1811</t>
  </si>
  <si>
    <t>Customer 35</t>
  </si>
  <si>
    <t>ORD00430</t>
  </si>
  <si>
    <t>ORD00431</t>
  </si>
  <si>
    <t>Customer 329</t>
  </si>
  <si>
    <t>ORD00432</t>
  </si>
  <si>
    <t>ORD00433</t>
  </si>
  <si>
    <t>C1172</t>
  </si>
  <si>
    <t>Customer 313</t>
  </si>
  <si>
    <t>ORD00434</t>
  </si>
  <si>
    <t>C1733</t>
  </si>
  <si>
    <t>Customer 220</t>
  </si>
  <si>
    <t>ORD00435</t>
  </si>
  <si>
    <t>C1214</t>
  </si>
  <si>
    <t>Customer 96</t>
  </si>
  <si>
    <t>ORD00436</t>
  </si>
  <si>
    <t>C1745</t>
  </si>
  <si>
    <t>ORD00437</t>
  </si>
  <si>
    <t>Customer 382</t>
  </si>
  <si>
    <t>ORD00438</t>
  </si>
  <si>
    <t>Customer 248</t>
  </si>
  <si>
    <t>ORD00439</t>
  </si>
  <si>
    <t>C1019</t>
  </si>
  <si>
    <t>Customer 137</t>
  </si>
  <si>
    <t>ORD00440</t>
  </si>
  <si>
    <t>C1787</t>
  </si>
  <si>
    <t>ORD00441</t>
  </si>
  <si>
    <t>ORD00442</t>
  </si>
  <si>
    <t>Customer 372</t>
  </si>
  <si>
    <t>ORD00443</t>
  </si>
  <si>
    <t>C1373</t>
  </si>
  <si>
    <t>ORD00444</t>
  </si>
  <si>
    <t>C1329</t>
  </si>
  <si>
    <t>ORD00445</t>
  </si>
  <si>
    <t>ORD00446</t>
  </si>
  <si>
    <t>C1881</t>
  </si>
  <si>
    <t>ORD00447</t>
  </si>
  <si>
    <t>Customer 151</t>
  </si>
  <si>
    <t>ORD00448</t>
  </si>
  <si>
    <t>C1839</t>
  </si>
  <si>
    <t>ORD00449</t>
  </si>
  <si>
    <t>ORD00450</t>
  </si>
  <si>
    <t>ORD00451</t>
  </si>
  <si>
    <t>C1601</t>
  </si>
  <si>
    <t>ORD00452</t>
  </si>
  <si>
    <t>C1346</t>
  </si>
  <si>
    <t>ORD00453</t>
  </si>
  <si>
    <t>C1824</t>
  </si>
  <si>
    <t>ORD00454</t>
  </si>
  <si>
    <t>C1085</t>
  </si>
  <si>
    <t>ORD00455</t>
  </si>
  <si>
    <t>C1169</t>
  </si>
  <si>
    <t>ORD00456</t>
  </si>
  <si>
    <t>C1298</t>
  </si>
  <si>
    <t>Customer 149</t>
  </si>
  <si>
    <t>ORD00457</t>
  </si>
  <si>
    <t>ORD00458</t>
  </si>
  <si>
    <t>Customer 95</t>
  </si>
  <si>
    <t>ORD00459</t>
  </si>
  <si>
    <t>C1428</t>
  </si>
  <si>
    <t>Customer 208</t>
  </si>
  <si>
    <t>ORD00460</t>
  </si>
  <si>
    <t>ORD00461</t>
  </si>
  <si>
    <t>C1475</t>
  </si>
  <si>
    <t>ORD00462</t>
  </si>
  <si>
    <t>C1854</t>
  </si>
  <si>
    <t>ORD00463</t>
  </si>
  <si>
    <t>C1020</t>
  </si>
  <si>
    <t>ORD00464</t>
  </si>
  <si>
    <t>ORD00465</t>
  </si>
  <si>
    <t>C1066</t>
  </si>
  <si>
    <t>ORD00466</t>
  </si>
  <si>
    <t>ORD00467</t>
  </si>
  <si>
    <t>Customer 1</t>
  </si>
  <si>
    <t>ORD00468</t>
  </si>
  <si>
    <t>C1317</t>
  </si>
  <si>
    <t>ORD00469</t>
  </si>
  <si>
    <t>ORD00470</t>
  </si>
  <si>
    <t>C1534</t>
  </si>
  <si>
    <t>ORD00471</t>
  </si>
  <si>
    <t>C1929</t>
  </si>
  <si>
    <t>Customer 404</t>
  </si>
  <si>
    <t>ORD00472</t>
  </si>
  <si>
    <t>Customer 188</t>
  </si>
  <si>
    <t>ORD00473</t>
  </si>
  <si>
    <t>C1439</t>
  </si>
  <si>
    <t>ORD00474</t>
  </si>
  <si>
    <t>ORD00475</t>
  </si>
  <si>
    <t>C1706</t>
  </si>
  <si>
    <t>ORD00476</t>
  </si>
  <si>
    <t>C1041</t>
  </si>
  <si>
    <t>ORD00477</t>
  </si>
  <si>
    <t>C1888</t>
  </si>
  <si>
    <t>Customer 174</t>
  </si>
  <si>
    <t>ORD00478</t>
  </si>
  <si>
    <t>C1084</t>
  </si>
  <si>
    <t>ORD00479</t>
  </si>
  <si>
    <t>C1577</t>
  </si>
  <si>
    <t>ORD00480</t>
  </si>
  <si>
    <t>C1257</t>
  </si>
  <si>
    <t>ORD00481</t>
  </si>
  <si>
    <t>C1353</t>
  </si>
  <si>
    <t>Customer 138</t>
  </si>
  <si>
    <t>ORD00482</t>
  </si>
  <si>
    <t>ORD00483</t>
  </si>
  <si>
    <t>C1671</t>
  </si>
  <si>
    <t>ORD00484</t>
  </si>
  <si>
    <t>C1879</t>
  </si>
  <si>
    <t>Customer 157</t>
  </si>
  <si>
    <t>ORD00485</t>
  </si>
  <si>
    <t>C1014</t>
  </si>
  <si>
    <t>ORD00486</t>
  </si>
  <si>
    <t>C1973</t>
  </si>
  <si>
    <t>ORD00487</t>
  </si>
  <si>
    <t>C1913</t>
  </si>
  <si>
    <t>Customer 204</t>
  </si>
  <si>
    <t>ORD00488</t>
  </si>
  <si>
    <t>C1339</t>
  </si>
  <si>
    <t>ORD00489</t>
  </si>
  <si>
    <t>Customer 7</t>
  </si>
  <si>
    <t>ORD00490</t>
  </si>
  <si>
    <t>Customer 217</t>
  </si>
  <si>
    <t>ORD00491</t>
  </si>
  <si>
    <t>Customer 340</t>
  </si>
  <si>
    <t>ORD00492</t>
  </si>
  <si>
    <t>ORD00493</t>
  </si>
  <si>
    <t>C1308</t>
  </si>
  <si>
    <t>Customer 237</t>
  </si>
  <si>
    <t>ORD00494</t>
  </si>
  <si>
    <t>C1503</t>
  </si>
  <si>
    <t>ORD00495</t>
  </si>
  <si>
    <t>C1177</t>
  </si>
  <si>
    <t>Customer 262</t>
  </si>
  <si>
    <t>ORD00496</t>
  </si>
  <si>
    <t>ORD00497</t>
  </si>
  <si>
    <t>C1060</t>
  </si>
  <si>
    <t>ORD00498</t>
  </si>
  <si>
    <t>C1653</t>
  </si>
  <si>
    <t>Customer 70</t>
  </si>
  <si>
    <t>ORD00499</t>
  </si>
  <si>
    <t>Customer 211</t>
  </si>
  <si>
    <t>ORD00500</t>
  </si>
  <si>
    <t>ORD00501</t>
  </si>
  <si>
    <t>C1495</t>
  </si>
  <si>
    <t>ORD00502</t>
  </si>
  <si>
    <t>C1043</t>
  </si>
  <si>
    <t>ORD00503</t>
  </si>
  <si>
    <t>C1836</t>
  </si>
  <si>
    <t>ORD00504</t>
  </si>
  <si>
    <t>C1035</t>
  </si>
  <si>
    <t>Customer 230</t>
  </si>
  <si>
    <t>ORD00505</t>
  </si>
  <si>
    <t>ORD00506</t>
  </si>
  <si>
    <t>C1113</t>
  </si>
  <si>
    <t>ORD00507</t>
  </si>
  <si>
    <t>Customer 483</t>
  </si>
  <si>
    <t>ORD00508</t>
  </si>
  <si>
    <t>C1942</t>
  </si>
  <si>
    <t>ORD00509</t>
  </si>
  <si>
    <t>ORD00510</t>
  </si>
  <si>
    <t>C1899</t>
  </si>
  <si>
    <t>Customer 384</t>
  </si>
  <si>
    <t>ORD00511</t>
  </si>
  <si>
    <t>C1884</t>
  </si>
  <si>
    <t>Customer 296</t>
  </si>
  <si>
    <t>ORD00512</t>
  </si>
  <si>
    <t>ORD00513</t>
  </si>
  <si>
    <t>Customer 278</t>
  </si>
  <si>
    <t>ORD00514</t>
  </si>
  <si>
    <t>C1633</t>
  </si>
  <si>
    <t>Customer 393</t>
  </si>
  <si>
    <t>ORD00515</t>
  </si>
  <si>
    <t>C1909</t>
  </si>
  <si>
    <t>Customer 54</t>
  </si>
  <si>
    <t>ORD00516</t>
  </si>
  <si>
    <t>ORD00517</t>
  </si>
  <si>
    <t>Customer 357</t>
  </si>
  <si>
    <t>ORD00518</t>
  </si>
  <si>
    <t>C1948</t>
  </si>
  <si>
    <t>ORD00519</t>
  </si>
  <si>
    <t>C1698</t>
  </si>
  <si>
    <t>ORD00520</t>
  </si>
  <si>
    <t>ORD00521</t>
  </si>
  <si>
    <t>C1291</t>
  </si>
  <si>
    <t>ORD00522</t>
  </si>
  <si>
    <t>C1189</t>
  </si>
  <si>
    <t>Customer 121</t>
  </si>
  <si>
    <t>ORD00523</t>
  </si>
  <si>
    <t>C1450</t>
  </si>
  <si>
    <t>ORD00524</t>
  </si>
  <si>
    <t>C1139</t>
  </si>
  <si>
    <t>ORD00525</t>
  </si>
  <si>
    <t>Customer 380</t>
  </si>
  <si>
    <t>ORD00526</t>
  </si>
  <si>
    <t>ORD00527</t>
  </si>
  <si>
    <t>Customer 312</t>
  </si>
  <si>
    <t>ORD00528</t>
  </si>
  <si>
    <t>C1118</t>
  </si>
  <si>
    <t>ORD00529</t>
  </si>
  <si>
    <t>ORD00530</t>
  </si>
  <si>
    <t>C1715</t>
  </si>
  <si>
    <t>ORD00531</t>
  </si>
  <si>
    <t>C1624</t>
  </si>
  <si>
    <t>Customer 186</t>
  </si>
  <si>
    <t>ORD00532</t>
  </si>
  <si>
    <t>ORD00533</t>
  </si>
  <si>
    <t>ORD00534</t>
  </si>
  <si>
    <t>C1187</t>
  </si>
  <si>
    <t>ORD00535</t>
  </si>
  <si>
    <t>C1598</t>
  </si>
  <si>
    <t>ORD00536</t>
  </si>
  <si>
    <t>C1892</t>
  </si>
  <si>
    <t>ORD00537</t>
  </si>
  <si>
    <t>C1566</t>
  </si>
  <si>
    <t>Customer 12</t>
  </si>
  <si>
    <t>ORD00538</t>
  </si>
  <si>
    <t>C1292</t>
  </si>
  <si>
    <t>ORD00539</t>
  </si>
  <si>
    <t>ORD00540</t>
  </si>
  <si>
    <t>ORD00541</t>
  </si>
  <si>
    <t>C1885</t>
  </si>
  <si>
    <t>Customer 403</t>
  </si>
  <si>
    <t>ORD00542</t>
  </si>
  <si>
    <t>C1932</t>
  </si>
  <si>
    <t>ORD00543</t>
  </si>
  <si>
    <t>Customer 432</t>
  </si>
  <si>
    <t>ORD00544</t>
  </si>
  <si>
    <t>Customer 498</t>
  </si>
  <si>
    <t>ORD00545</t>
  </si>
  <si>
    <t>C1101</t>
  </si>
  <si>
    <t>ORD00546</t>
  </si>
  <si>
    <t>C1947</t>
  </si>
  <si>
    <t>ORD00547</t>
  </si>
  <si>
    <t>C1612</t>
  </si>
  <si>
    <t>Customer 464</t>
  </si>
  <si>
    <t>ORD00548</t>
  </si>
  <si>
    <t>C1058</t>
  </si>
  <si>
    <t>Customer 206</t>
  </si>
  <si>
    <t>ORD00549</t>
  </si>
  <si>
    <t>C1701</t>
  </si>
  <si>
    <t>ORD00550</t>
  </si>
  <si>
    <t>Customer 285</t>
  </si>
  <si>
    <t>ORD00551</t>
  </si>
  <si>
    <t>ORD00552</t>
  </si>
  <si>
    <t>C1636</t>
  </si>
  <si>
    <t>ORD00553</t>
  </si>
  <si>
    <t>Customer 328</t>
  </si>
  <si>
    <t>ORD00554</t>
  </si>
  <si>
    <t>C1521</t>
  </si>
  <si>
    <t>ORD00555</t>
  </si>
  <si>
    <t>C1978</t>
  </si>
  <si>
    <t>ORD00556</t>
  </si>
  <si>
    <t>C1677</t>
  </si>
  <si>
    <t>ORD00557</t>
  </si>
  <si>
    <t>C1725</t>
  </si>
  <si>
    <t>ORD00558</t>
  </si>
  <si>
    <t>C1791</t>
  </si>
  <si>
    <t>Customer 51</t>
  </si>
  <si>
    <t>ORD00559</t>
  </si>
  <si>
    <t>C1933</t>
  </si>
  <si>
    <t>ORD00560</t>
  </si>
  <si>
    <t>C1158</t>
  </si>
  <si>
    <t>ORD00561</t>
  </si>
  <si>
    <t>C1889</t>
  </si>
  <si>
    <t>ORD00562</t>
  </si>
  <si>
    <t>ORD00563</t>
  </si>
  <si>
    <t>ORD00564</t>
  </si>
  <si>
    <t>ORD00565</t>
  </si>
  <si>
    <t>C1018</t>
  </si>
  <si>
    <t>ORD00566</t>
  </si>
  <si>
    <t>ORD00567</t>
  </si>
  <si>
    <t>C1097</t>
  </si>
  <si>
    <t>Customer 127</t>
  </si>
  <si>
    <t>ORD00568</t>
  </si>
  <si>
    <t>ORD00569</t>
  </si>
  <si>
    <t>ORD00570</t>
  </si>
  <si>
    <t>ORD00571</t>
  </si>
  <si>
    <t>ORD00572</t>
  </si>
  <si>
    <t>C1718</t>
  </si>
  <si>
    <t>ORD00573</t>
  </si>
  <si>
    <t>C1603</t>
  </si>
  <si>
    <t>ORD00574</t>
  </si>
  <si>
    <t>C1494</t>
  </si>
  <si>
    <t>ORD00575</t>
  </si>
  <si>
    <t>C1153</t>
  </si>
  <si>
    <t>ORD00576</t>
  </si>
  <si>
    <t>C1617</t>
  </si>
  <si>
    <t>ORD00577</t>
  </si>
  <si>
    <t>C1092</t>
  </si>
  <si>
    <t>Customer 388</t>
  </si>
  <si>
    <t>ORD00578</t>
  </si>
  <si>
    <t>C1649</t>
  </si>
  <si>
    <t>ORD00579</t>
  </si>
  <si>
    <t>Customer 438</t>
  </si>
  <si>
    <t>ORD00580</t>
  </si>
  <si>
    <t>C1185</t>
  </si>
  <si>
    <t>ORD00581</t>
  </si>
  <si>
    <t>C1542</t>
  </si>
  <si>
    <t>ORD00582</t>
  </si>
  <si>
    <t>C1639</t>
  </si>
  <si>
    <t>ORD00583</t>
  </si>
  <si>
    <t>Customer 72</t>
  </si>
  <si>
    <t>ORD00584</t>
  </si>
  <si>
    <t>C1904</t>
  </si>
  <si>
    <t>ORD00585</t>
  </si>
  <si>
    <t>C1136</t>
  </si>
  <si>
    <t>ORD00586</t>
  </si>
  <si>
    <t>ORD00587</t>
  </si>
  <si>
    <t>C1852</t>
  </si>
  <si>
    <t>ORD00588</t>
  </si>
  <si>
    <t>C1007</t>
  </si>
  <si>
    <t>Customer 276</t>
  </si>
  <si>
    <t>ORD00589</t>
  </si>
  <si>
    <t>C1819</t>
  </si>
  <si>
    <t>ORD00590</t>
  </si>
  <si>
    <t>ORD00591</t>
  </si>
  <si>
    <t>C1237</t>
  </si>
  <si>
    <t>ORD00592</t>
  </si>
  <si>
    <t>C1551</t>
  </si>
  <si>
    <t>Customer 282</t>
  </si>
  <si>
    <t>ORD00593</t>
  </si>
  <si>
    <t>ORD00594</t>
  </si>
  <si>
    <t>C1000</t>
  </si>
  <si>
    <t>Customer 268</t>
  </si>
  <si>
    <t>ORD00595</t>
  </si>
  <si>
    <t>ORD00596</t>
  </si>
  <si>
    <t>ORD00597</t>
  </si>
  <si>
    <t>C1803</t>
  </si>
  <si>
    <t>ORD00598</t>
  </si>
  <si>
    <t>ORD00599</t>
  </si>
  <si>
    <t>C1809</t>
  </si>
  <si>
    <t>ORD00600</t>
  </si>
  <si>
    <t>C1550</t>
  </si>
  <si>
    <t>ORD00601</t>
  </si>
  <si>
    <t>ORD00602</t>
  </si>
  <si>
    <t>C1490</t>
  </si>
  <si>
    <t>Customer 266</t>
  </si>
  <si>
    <t>ORD00603</t>
  </si>
  <si>
    <t>ORD00604</t>
  </si>
  <si>
    <t>ORD00605</t>
  </si>
  <si>
    <t>C1670</t>
  </si>
  <si>
    <t>ORD00606</t>
  </si>
  <si>
    <t>C1197</t>
  </si>
  <si>
    <t>Customer 29</t>
  </si>
  <si>
    <t>ORD00607</t>
  </si>
  <si>
    <t>Customer 344</t>
  </si>
  <si>
    <t>ORD00608</t>
  </si>
  <si>
    <t>Customer 6</t>
  </si>
  <si>
    <t>ORD00609</t>
  </si>
  <si>
    <t>C1548</t>
  </si>
  <si>
    <t>ORD00610</t>
  </si>
  <si>
    <t>C1357</t>
  </si>
  <si>
    <t>Customer 292</t>
  </si>
  <si>
    <t>ORD00611</t>
  </si>
  <si>
    <t>Customer 2</t>
  </si>
  <si>
    <t>ORD00612</t>
  </si>
  <si>
    <t>C1760</t>
  </si>
  <si>
    <t>ORD00613</t>
  </si>
  <si>
    <t>C1063</t>
  </si>
  <si>
    <t>Customer 346</t>
  </si>
  <si>
    <t>ORD00614</t>
  </si>
  <si>
    <t>ORD00615</t>
  </si>
  <si>
    <t>C1273</t>
  </si>
  <si>
    <t>ORD00616</t>
  </si>
  <si>
    <t>C1511</t>
  </si>
  <si>
    <t>ORD00617</t>
  </si>
  <si>
    <t>Customer 338</t>
  </si>
  <si>
    <t>ORD00618</t>
  </si>
  <si>
    <t>ORD00619</t>
  </si>
  <si>
    <t>C1820</t>
  </si>
  <si>
    <t>ORD00620</t>
  </si>
  <si>
    <t>C1623</t>
  </si>
  <si>
    <t>ORD00621</t>
  </si>
  <si>
    <t>C1221</t>
  </si>
  <si>
    <t>ORD00622</t>
  </si>
  <si>
    <t>C1480</t>
  </si>
  <si>
    <t>ORD00623</t>
  </si>
  <si>
    <t>ORD00624</t>
  </si>
  <si>
    <t>ORD00625</t>
  </si>
  <si>
    <t>ORD00626</t>
  </si>
  <si>
    <t>Customer 78</t>
  </si>
  <si>
    <t>ORD00627</t>
  </si>
  <si>
    <t>C1951</t>
  </si>
  <si>
    <t>Customer 111</t>
  </si>
  <si>
    <t>ORD00628</t>
  </si>
  <si>
    <t>ORD00629</t>
  </si>
  <si>
    <t>ORD00630</t>
  </si>
  <si>
    <t>C1586</t>
  </si>
  <si>
    <t>ORD00631</t>
  </si>
  <si>
    <t>ORD00632</t>
  </si>
  <si>
    <t>Customer 76</t>
  </si>
  <si>
    <t>ORD00633</t>
  </si>
  <si>
    <t>ORD00634</t>
  </si>
  <si>
    <t>C1001</t>
  </si>
  <si>
    <t>ORD00635</t>
  </si>
  <si>
    <t>Customer 365</t>
  </si>
  <si>
    <t>ORD00636</t>
  </si>
  <si>
    <t>C1877</t>
  </si>
  <si>
    <t>Customer 80</t>
  </si>
  <si>
    <t>ORD00637</t>
  </si>
  <si>
    <t>ORD00638</t>
  </si>
  <si>
    <t>ORD00639</t>
  </si>
  <si>
    <t>ORD00640</t>
  </si>
  <si>
    <t>ORD00641</t>
  </si>
  <si>
    <t>C1024</t>
  </si>
  <si>
    <t>ORD00642</t>
  </si>
  <si>
    <t>ORD00643</t>
  </si>
  <si>
    <t>ORD00644</t>
  </si>
  <si>
    <t>ORD00645</t>
  </si>
  <si>
    <t>C1062</t>
  </si>
  <si>
    <t>ORD00646</t>
  </si>
  <si>
    <t>ORD00647</t>
  </si>
  <si>
    <t>C1138</t>
  </si>
  <si>
    <t>Customer 24</t>
  </si>
  <si>
    <t>ORD00648</t>
  </si>
  <si>
    <t>C1498</t>
  </si>
  <si>
    <t>ORD00649</t>
  </si>
  <si>
    <t>ORD00650</t>
  </si>
  <si>
    <t>ORD00651</t>
  </si>
  <si>
    <t>ORD00652</t>
  </si>
  <si>
    <t>C1201</t>
  </si>
  <si>
    <t>Customer 444</t>
  </si>
  <si>
    <t>ORD00653</t>
  </si>
  <si>
    <t>C1013</t>
  </si>
  <si>
    <t>Customer 140</t>
  </si>
  <si>
    <t>ORD00654</t>
  </si>
  <si>
    <t>C1900</t>
  </si>
  <si>
    <t>Customer 102</t>
  </si>
  <si>
    <t>ORD00655</t>
  </si>
  <si>
    <t>ORD00656</t>
  </si>
  <si>
    <t>C1552</t>
  </si>
  <si>
    <t>ORD00657</t>
  </si>
  <si>
    <t>C1142</t>
  </si>
  <si>
    <t>Customer 316</t>
  </si>
  <si>
    <t>ORD00658</t>
  </si>
  <si>
    <t>ORD00659</t>
  </si>
  <si>
    <t>C1352</t>
  </si>
  <si>
    <t>ORD00660</t>
  </si>
  <si>
    <t>Customer 112</t>
  </si>
  <si>
    <t>ORD00661</t>
  </si>
  <si>
    <t>C1555</t>
  </si>
  <si>
    <t>ORD00662</t>
  </si>
  <si>
    <t>ORD00663</t>
  </si>
  <si>
    <t>C1025</t>
  </si>
  <si>
    <t>Customer 351</t>
  </si>
  <si>
    <t>ORD00664</t>
  </si>
  <si>
    <t>ORD00665</t>
  </si>
  <si>
    <t>C1458</t>
  </si>
  <si>
    <t>ORD00666</t>
  </si>
  <si>
    <t>ORD00667</t>
  </si>
  <si>
    <t>Customer 420</t>
  </si>
  <si>
    <t>ORD00668</t>
  </si>
  <si>
    <t>C1316</t>
  </si>
  <si>
    <t>Customer 122</t>
  </si>
  <si>
    <t>ORD00669</t>
  </si>
  <si>
    <t>Customer 196</t>
  </si>
  <si>
    <t>ORD00670</t>
  </si>
  <si>
    <t>ORD00671</t>
  </si>
  <si>
    <t>ORD00672</t>
  </si>
  <si>
    <t>Customer 40</t>
  </si>
  <si>
    <t>ORD00673</t>
  </si>
  <si>
    <t>ORD00674</t>
  </si>
  <si>
    <t>ORD00675</t>
  </si>
  <si>
    <t>C1226</t>
  </si>
  <si>
    <t>ORD00676</t>
  </si>
  <si>
    <t>C1508</t>
  </si>
  <si>
    <t>ORD00677</t>
  </si>
  <si>
    <t>ORD00678</t>
  </si>
  <si>
    <t>C1924</t>
  </si>
  <si>
    <t>ORD00679</t>
  </si>
  <si>
    <t>C1627</t>
  </si>
  <si>
    <t>ORD00680</t>
  </si>
  <si>
    <t>ORD00681</t>
  </si>
  <si>
    <t>C1772</t>
  </si>
  <si>
    <t>ORD00682</t>
  </si>
  <si>
    <t>ORD00683</t>
  </si>
  <si>
    <t>C1927</t>
  </si>
  <si>
    <t>ORD00684</t>
  </si>
  <si>
    <t>C1874</t>
  </si>
  <si>
    <t>ORD00685</t>
  </si>
  <si>
    <t>Customer 129</t>
  </si>
  <si>
    <t>ORD00686</t>
  </si>
  <si>
    <t>C1862</t>
  </si>
  <si>
    <t>ORD00687</t>
  </si>
  <si>
    <t>ORD00688</t>
  </si>
  <si>
    <t>C1148</t>
  </si>
  <si>
    <t>ORD00689</t>
  </si>
  <si>
    <t>C1053</t>
  </si>
  <si>
    <t>ORD00690</t>
  </si>
  <si>
    <t>C1180</t>
  </si>
  <si>
    <t>ORD00691</t>
  </si>
  <si>
    <t>ORD00692</t>
  </si>
  <si>
    <t>ORD00693</t>
  </si>
  <si>
    <t>C1658</t>
  </si>
  <si>
    <t>ORD00694</t>
  </si>
  <si>
    <t>C1835</t>
  </si>
  <si>
    <t>ORD00695</t>
  </si>
  <si>
    <t>C1793</t>
  </si>
  <si>
    <t>ORD00696</t>
  </si>
  <si>
    <t>C1826</t>
  </si>
  <si>
    <t>ORD00697</t>
  </si>
  <si>
    <t>C1045</t>
  </si>
  <si>
    <t>ORD00698</t>
  </si>
  <si>
    <t>Customer 213</t>
  </si>
  <si>
    <t>ORD00699</t>
  </si>
  <si>
    <t>Customer 240</t>
  </si>
  <si>
    <t>ORD00700</t>
  </si>
  <si>
    <t>ORD00701</t>
  </si>
  <si>
    <t>ORD00702</t>
  </si>
  <si>
    <t>C1961</t>
  </si>
  <si>
    <t>Customer 436</t>
  </si>
  <si>
    <t>ORD00703</t>
  </si>
  <si>
    <t>Customer 20</t>
  </si>
  <si>
    <t>ORD00704</t>
  </si>
  <si>
    <t>C1314</t>
  </si>
  <si>
    <t>Customer 63</t>
  </si>
  <si>
    <t>ORD00705</t>
  </si>
  <si>
    <t>C1866</t>
  </si>
  <si>
    <t>Customer 57</t>
  </si>
  <si>
    <t>ORD00706</t>
  </si>
  <si>
    <t>ORD00707</t>
  </si>
  <si>
    <t>C1256</t>
  </si>
  <si>
    <t>Customer 317</t>
  </si>
  <si>
    <t>ORD00708</t>
  </si>
  <si>
    <t>C1756</t>
  </si>
  <si>
    <t>Customer 468</t>
  </si>
  <si>
    <t>ORD00709</t>
  </si>
  <si>
    <t>C1518</t>
  </si>
  <si>
    <t>ORD00710</t>
  </si>
  <si>
    <t>C1409</t>
  </si>
  <si>
    <t>ORD00711</t>
  </si>
  <si>
    <t>ORD00712</t>
  </si>
  <si>
    <t>C1175</t>
  </si>
  <si>
    <t>ORD00713</t>
  </si>
  <si>
    <t>ORD00714</t>
  </si>
  <si>
    <t>ORD00715</t>
  </si>
  <si>
    <t>ORD00716</t>
  </si>
  <si>
    <t>C1609</t>
  </si>
  <si>
    <t>ORD00717</t>
  </si>
  <si>
    <t>C1473</t>
  </si>
  <si>
    <t>ORD00718</t>
  </si>
  <si>
    <t>Customer 358</t>
  </si>
  <si>
    <t>ORD00719</t>
  </si>
  <si>
    <t>Customer 291</t>
  </si>
  <si>
    <t>ORD00720</t>
  </si>
  <si>
    <t>C1388</t>
  </si>
  <si>
    <t>ORD00721</t>
  </si>
  <si>
    <t>C1430</t>
  </si>
  <si>
    <t>ORD00722</t>
  </si>
  <si>
    <t>C1289</t>
  </si>
  <si>
    <t>ORD00723</t>
  </si>
  <si>
    <t>ORD00724</t>
  </si>
  <si>
    <t>C1869</t>
  </si>
  <si>
    <t>ORD00725</t>
  </si>
  <si>
    <t>ORD00726</t>
  </si>
  <si>
    <t>ORD00727</t>
  </si>
  <si>
    <t>C1160</t>
  </si>
  <si>
    <t>Customer 143</t>
  </si>
  <si>
    <t>ORD00728</t>
  </si>
  <si>
    <t>Customer 242</t>
  </si>
  <si>
    <t>ORD00729</t>
  </si>
  <si>
    <t>C1121</t>
  </si>
  <si>
    <t>ORD00730</t>
  </si>
  <si>
    <t>ORD00731</t>
  </si>
  <si>
    <t>C1557</t>
  </si>
  <si>
    <t>ORD00732</t>
  </si>
  <si>
    <t>C1622</t>
  </si>
  <si>
    <t>ORD00733</t>
  </si>
  <si>
    <t>C1619</t>
  </si>
  <si>
    <t>Customer 8</t>
  </si>
  <si>
    <t>ORD00734</t>
  </si>
  <si>
    <t>C1987</t>
  </si>
  <si>
    <t>Customer 395</t>
  </si>
  <si>
    <t>ORD00735</t>
  </si>
  <si>
    <t>C1606</t>
  </si>
  <si>
    <t>ORD00736</t>
  </si>
  <si>
    <t>ORD00737</t>
  </si>
  <si>
    <t>ORD00738</t>
  </si>
  <si>
    <t>C1282</t>
  </si>
  <si>
    <t>ORD00739</t>
  </si>
  <si>
    <t>C1930</t>
  </si>
  <si>
    <t>ORD00740</t>
  </si>
  <si>
    <t>ORD00741</t>
  </si>
  <si>
    <t>ORD00742</t>
  </si>
  <si>
    <t>C1064</t>
  </si>
  <si>
    <t>ORD00743</t>
  </si>
  <si>
    <t>ORD00744</t>
  </si>
  <si>
    <t>ORD00745</t>
  </si>
  <si>
    <t>ORD00746</t>
  </si>
  <si>
    <t>ORD00747</t>
  </si>
  <si>
    <t>C1297</t>
  </si>
  <si>
    <t>ORD00748</t>
  </si>
  <si>
    <t>C1277</t>
  </si>
  <si>
    <t>ORD00749</t>
  </si>
  <si>
    <t>C1969</t>
  </si>
  <si>
    <t>ORD00750</t>
  </si>
  <si>
    <t>C1190</t>
  </si>
  <si>
    <t>ORD00751</t>
  </si>
  <si>
    <t>C1575</t>
  </si>
  <si>
    <t>Customer 99</t>
  </si>
  <si>
    <t>ORD00752</t>
  </si>
  <si>
    <t>ORD00753</t>
  </si>
  <si>
    <t>ORD00754</t>
  </si>
  <si>
    <t>C1529</t>
  </si>
  <si>
    <t>ORD00755</t>
  </si>
  <si>
    <t>C1538</t>
  </si>
  <si>
    <t>ORD00756</t>
  </si>
  <si>
    <t>ORD00757</t>
  </si>
  <si>
    <t>C1689</t>
  </si>
  <si>
    <t>Customer 452</t>
  </si>
  <si>
    <t>ORD00758</t>
  </si>
  <si>
    <t>ORD00759</t>
  </si>
  <si>
    <t>ORD00760</t>
  </si>
  <si>
    <t>Customer 492</t>
  </si>
  <si>
    <t>ORD00761</t>
  </si>
  <si>
    <t>Customer 251</t>
  </si>
  <si>
    <t>ORD00762</t>
  </si>
  <si>
    <t>C1231</t>
  </si>
  <si>
    <t>ORD00763</t>
  </si>
  <si>
    <t>ORD00764</t>
  </si>
  <si>
    <t>ORD00765</t>
  </si>
  <si>
    <t>Customer 101</t>
  </si>
  <si>
    <t>ORD00766</t>
  </si>
  <si>
    <t>ORD00767</t>
  </si>
  <si>
    <t>ORD00768</t>
  </si>
  <si>
    <t>ORD00769</t>
  </si>
  <si>
    <t>C1762</t>
  </si>
  <si>
    <t>ORD00770</t>
  </si>
  <si>
    <t>ORD00771</t>
  </si>
  <si>
    <t>C1949</t>
  </si>
  <si>
    <t>ORD00772</t>
  </si>
  <si>
    <t>ORD00773</t>
  </si>
  <si>
    <t>ORD00774</t>
  </si>
  <si>
    <t>Customer 361</t>
  </si>
  <si>
    <t>ORD00775</t>
  </si>
  <si>
    <t>ORD00776</t>
  </si>
  <si>
    <t>C1181</t>
  </si>
  <si>
    <t>Customer 182</t>
  </si>
  <si>
    <t>ORD00777</t>
  </si>
  <si>
    <t>ORD00778</t>
  </si>
  <si>
    <t>ORD00779</t>
  </si>
  <si>
    <t>ORD00780</t>
  </si>
  <si>
    <t>C1528</t>
  </si>
  <si>
    <t>ORD00781</t>
  </si>
  <si>
    <t>ORD00782</t>
  </si>
  <si>
    <t>C1914</t>
  </si>
  <si>
    <t>ORD00783</t>
  </si>
  <si>
    <t>C1272</t>
  </si>
  <si>
    <t>ORD00784</t>
  </si>
  <si>
    <t>C1459</t>
  </si>
  <si>
    <t>ORD00785</t>
  </si>
  <si>
    <t>C1162</t>
  </si>
  <si>
    <t>Customer 387</t>
  </si>
  <si>
    <t>ORD00786</t>
  </si>
  <si>
    <t>ORD00787</t>
  </si>
  <si>
    <t>Customer 400</t>
  </si>
  <si>
    <t>ORD00788</t>
  </si>
  <si>
    <t>ORD00789</t>
  </si>
  <si>
    <t>C1568</t>
  </si>
  <si>
    <t>ORD00790</t>
  </si>
  <si>
    <t>ORD00791</t>
  </si>
  <si>
    <t>C1194</t>
  </si>
  <si>
    <t>ORD00792</t>
  </si>
  <si>
    <t>C1983</t>
  </si>
  <si>
    <t>ORD00793</t>
  </si>
  <si>
    <t>ORD00794</t>
  </si>
  <si>
    <t>ORD00795</t>
  </si>
  <si>
    <t>ORD00796</t>
  </si>
  <si>
    <t>ORD00797</t>
  </si>
  <si>
    <t>ORD00798</t>
  </si>
  <si>
    <t>Customer 453</t>
  </si>
  <si>
    <t>ORD00799</t>
  </si>
  <si>
    <t>Customer 39</t>
  </si>
  <si>
    <t>ORD00800</t>
  </si>
  <si>
    <t>C1073</t>
  </si>
  <si>
    <t>ORD00801</t>
  </si>
  <si>
    <t>C1915</t>
  </si>
  <si>
    <t>ORD00802</t>
  </si>
  <si>
    <t>C1717</t>
  </si>
  <si>
    <t>ORD00803</t>
  </si>
  <si>
    <t>C1392</t>
  </si>
  <si>
    <t>Customer 287</t>
  </si>
  <si>
    <t>ORD00804</t>
  </si>
  <si>
    <t>Customer 429</t>
  </si>
  <si>
    <t>ORD00805</t>
  </si>
  <si>
    <t>ORD00806</t>
  </si>
  <si>
    <t>Customer 467</t>
  </si>
  <si>
    <t>ORD00807</t>
  </si>
  <si>
    <t>Customer 144</t>
  </si>
  <si>
    <t>ORD00808</t>
  </si>
  <si>
    <t>Customer 470</t>
  </si>
  <si>
    <t>ORD00809</t>
  </si>
  <si>
    <t>ORD00810</t>
  </si>
  <si>
    <t>Customer 373</t>
  </si>
  <si>
    <t>ORD00811</t>
  </si>
  <si>
    <t>ORD00812</t>
  </si>
  <si>
    <t>C1338</t>
  </si>
  <si>
    <t>ORD00813</t>
  </si>
  <si>
    <t>Customer 302</t>
  </si>
  <si>
    <t>ORD00814</t>
  </si>
  <si>
    <t>C1483</t>
  </si>
  <si>
    <t>ORD00815</t>
  </si>
  <si>
    <t>ORD00816</t>
  </si>
  <si>
    <t>C1640</t>
  </si>
  <si>
    <t>ORD00817</t>
  </si>
  <si>
    <t>Customer 214</t>
  </si>
  <si>
    <t>ORD00818</t>
  </si>
  <si>
    <t>C1359</t>
  </si>
  <si>
    <t>ORD00819</t>
  </si>
  <si>
    <t>Customer 46</t>
  </si>
  <si>
    <t>ORD00820</t>
  </si>
  <si>
    <t>ORD00821</t>
  </si>
  <si>
    <t>C1682</t>
  </si>
  <si>
    <t>ORD00822</t>
  </si>
  <si>
    <t>Customer 19</t>
  </si>
  <si>
    <t>ORD00823</t>
  </si>
  <si>
    <t>C1651</t>
  </si>
  <si>
    <t>ORD00824</t>
  </si>
  <si>
    <t>Customer 427</t>
  </si>
  <si>
    <t>ORD00825</t>
  </si>
  <si>
    <t>ORD00826</t>
  </si>
  <si>
    <t>ORD00827</t>
  </si>
  <si>
    <t>C1667</t>
  </si>
  <si>
    <t>ORD00828</t>
  </si>
  <si>
    <t>C1161</t>
  </si>
  <si>
    <t>ORD00829</t>
  </si>
  <si>
    <t>ORD00830</t>
  </si>
  <si>
    <t>C1075</t>
  </si>
  <si>
    <t>ORD00831</t>
  </si>
  <si>
    <t>C1454</t>
  </si>
  <si>
    <t>Customer 460</t>
  </si>
  <si>
    <t>ORD00832</t>
  </si>
  <si>
    <t>C1906</t>
  </si>
  <si>
    <t>ORD00833</t>
  </si>
  <si>
    <t>Customer 159</t>
  </si>
  <si>
    <t>ORD00834</t>
  </si>
  <si>
    <t>C1016</t>
  </si>
  <si>
    <t>ORD00835</t>
  </si>
  <si>
    <t>C1261</t>
  </si>
  <si>
    <t>ORD00836</t>
  </si>
  <si>
    <t>C1083</t>
  </si>
  <si>
    <t>ORD00837</t>
  </si>
  <si>
    <t>C1531</t>
  </si>
  <si>
    <t>ORD00838</t>
  </si>
  <si>
    <t>ORD00839</t>
  </si>
  <si>
    <t>ORD00840</t>
  </si>
  <si>
    <t>ORD00841</t>
  </si>
  <si>
    <t>C1095</t>
  </si>
  <si>
    <t>ORD00842</t>
  </si>
  <si>
    <t>ORD00843</t>
  </si>
  <si>
    <t>C1426</t>
  </si>
  <si>
    <t>ORD00844</t>
  </si>
  <si>
    <t>ORD00845</t>
  </si>
  <si>
    <t>ORD00846</t>
  </si>
  <si>
    <t>C1952</t>
  </si>
  <si>
    <t>Customer 50</t>
  </si>
  <si>
    <t>ORD00847</t>
  </si>
  <si>
    <t>C1431</t>
  </si>
  <si>
    <t>ORD00848</t>
  </si>
  <si>
    <t>Customer 193</t>
  </si>
  <si>
    <t>ORD00849</t>
  </si>
  <si>
    <t>C1643</t>
  </si>
  <si>
    <t>Customer 97</t>
  </si>
  <si>
    <t>ORD00850</t>
  </si>
  <si>
    <t>ORD00851</t>
  </si>
  <si>
    <t>C1688</t>
  </si>
  <si>
    <t>ORD00852</t>
  </si>
  <si>
    <t>C1506</t>
  </si>
  <si>
    <t>Customer 227</t>
  </si>
  <si>
    <t>ORD00853</t>
  </si>
  <si>
    <t>C1017</t>
  </si>
  <si>
    <t>Customer 60</t>
  </si>
  <si>
    <t>ORD00854</t>
  </si>
  <si>
    <t>C1902</t>
  </si>
  <si>
    <t>Customer 141</t>
  </si>
  <si>
    <t>ORD00855</t>
  </si>
  <si>
    <t>ORD00856</t>
  </si>
  <si>
    <t>ORD00857</t>
  </si>
  <si>
    <t>ORD00858</t>
  </si>
  <si>
    <t>C1901</t>
  </si>
  <si>
    <t>Customer 326</t>
  </si>
  <si>
    <t>ORD00859</t>
  </si>
  <si>
    <t>Customer 187</t>
  </si>
  <si>
    <t>ORD00860</t>
  </si>
  <si>
    <t>ORD00861</t>
  </si>
  <si>
    <t>ORD00862</t>
  </si>
  <si>
    <t>ORD00863</t>
  </si>
  <si>
    <t>C1124</t>
  </si>
  <si>
    <t>ORD00864</t>
  </si>
  <si>
    <t>ORD00865</t>
  </si>
  <si>
    <t>ORD00866</t>
  </si>
  <si>
    <t>ORD00867</t>
  </si>
  <si>
    <t>C1594</t>
  </si>
  <si>
    <t>ORD00868</t>
  </si>
  <si>
    <t>C1103</t>
  </si>
  <si>
    <t>ORD00869</t>
  </si>
  <si>
    <t>ORD00870</t>
  </si>
  <si>
    <t>ORD00871</t>
  </si>
  <si>
    <t>ORD00872</t>
  </si>
  <si>
    <t>ORD00873</t>
  </si>
  <si>
    <t>C1768</t>
  </si>
  <si>
    <t>Customer 260</t>
  </si>
  <si>
    <t>ORD00874</t>
  </si>
  <si>
    <t>Customer 308</t>
  </si>
  <si>
    <t>ORD00875</t>
  </si>
  <si>
    <t>Customer 425</t>
  </si>
  <si>
    <t>ORD00876</t>
  </si>
  <si>
    <t>C1114</t>
  </si>
  <si>
    <t>ORD00877</t>
  </si>
  <si>
    <t>ORD00878</t>
  </si>
  <si>
    <t>Customer 192</t>
  </si>
  <si>
    <t>ORD00879</t>
  </si>
  <si>
    <t>C1259</t>
  </si>
  <si>
    <t>ORD00880</t>
  </si>
  <si>
    <t>ORD00881</t>
  </si>
  <si>
    <t>Customer 23</t>
  </si>
  <si>
    <t>ORD00882</t>
  </si>
  <si>
    <t>ORD00883</t>
  </si>
  <si>
    <t>C1912</t>
  </si>
  <si>
    <t>ORD00884</t>
  </si>
  <si>
    <t>C1238</t>
  </si>
  <si>
    <t>ORD00885</t>
  </si>
  <si>
    <t>Customer 345</t>
  </si>
  <si>
    <t>ORD00886</t>
  </si>
  <si>
    <t>C1831</t>
  </si>
  <si>
    <t>Customer 170</t>
  </si>
  <si>
    <t>ORD00887</t>
  </si>
  <si>
    <t>ORD00888</t>
  </si>
  <si>
    <t>ORD00889</t>
  </si>
  <si>
    <t>C1637</t>
  </si>
  <si>
    <t>ORD00890</t>
  </si>
  <si>
    <t>C1468</t>
  </si>
  <si>
    <t>ORD00891</t>
  </si>
  <si>
    <t>C1380</t>
  </si>
  <si>
    <t>ORD00892</t>
  </si>
  <si>
    <t>Customer 494</t>
  </si>
  <si>
    <t>ORD00893</t>
  </si>
  <si>
    <t>C1738</t>
  </si>
  <si>
    <t>ORD00894</t>
  </si>
  <si>
    <t>ORD00895</t>
  </si>
  <si>
    <t>ORD00896</t>
  </si>
  <si>
    <t>C1042</t>
  </si>
  <si>
    <t>Customer 390</t>
  </si>
  <si>
    <t>ORD00897</t>
  </si>
  <si>
    <t>C1476</t>
  </si>
  <si>
    <t>ORD00898</t>
  </si>
  <si>
    <t>Customer 52</t>
  </si>
  <si>
    <t>ORD00899</t>
  </si>
  <si>
    <t>C1116</t>
  </si>
  <si>
    <t>ORD00900</t>
  </si>
  <si>
    <t>Customer 392</t>
  </si>
  <si>
    <t>ORD00901</t>
  </si>
  <si>
    <t>C1729</t>
  </si>
  <si>
    <t>ORD00902</t>
  </si>
  <si>
    <t>ORD00903</t>
  </si>
  <si>
    <t>C1796</t>
  </si>
  <si>
    <t>ORD00904</t>
  </si>
  <si>
    <t>C1950</t>
  </si>
  <si>
    <t>ORD00905</t>
  </si>
  <si>
    <t>ORD00906</t>
  </si>
  <si>
    <t>ORD00907</t>
  </si>
  <si>
    <t>ORD00908</t>
  </si>
  <si>
    <t>ORD00909</t>
  </si>
  <si>
    <t>C1626</t>
  </si>
  <si>
    <t>ORD00910</t>
  </si>
  <si>
    <t>ORD00911</t>
  </si>
  <si>
    <t>C1465</t>
  </si>
  <si>
    <t>ORD00912</t>
  </si>
  <si>
    <t>ORD00913</t>
  </si>
  <si>
    <t>C1709</t>
  </si>
  <si>
    <t>ORD00914</t>
  </si>
  <si>
    <t>C1321</t>
  </si>
  <si>
    <t>ORD00915</t>
  </si>
  <si>
    <t>ORD00916</t>
  </si>
  <si>
    <t>C1893</t>
  </si>
  <si>
    <t>ORD00917</t>
  </si>
  <si>
    <t>ORD00918</t>
  </si>
  <si>
    <t>C1631</t>
  </si>
  <si>
    <t>Customer 33</t>
  </si>
  <si>
    <t>ORD00919</t>
  </si>
  <si>
    <t>C1198</t>
  </si>
  <si>
    <t>ORD00920</t>
  </si>
  <si>
    <t>Customer 366</t>
  </si>
  <si>
    <t>ORD00921</t>
  </si>
  <si>
    <t>ORD00922</t>
  </si>
  <si>
    <t>ORD00923</t>
  </si>
  <si>
    <t>ORD00924</t>
  </si>
  <si>
    <t>ORD00925</t>
  </si>
  <si>
    <t>ORD00926</t>
  </si>
  <si>
    <t>ORD00927</t>
  </si>
  <si>
    <t>ORD00928</t>
  </si>
  <si>
    <t>ORD00929</t>
  </si>
  <si>
    <t>ORD00930</t>
  </si>
  <si>
    <t>ORD00931</t>
  </si>
  <si>
    <t>ORD00932</t>
  </si>
  <si>
    <t>ORD00933</t>
  </si>
  <si>
    <t>C1666</t>
  </si>
  <si>
    <t>ORD00934</t>
  </si>
  <si>
    <t>ORD00935</t>
  </si>
  <si>
    <t>C1266</t>
  </si>
  <si>
    <t>ORD00936</t>
  </si>
  <si>
    <t>ORD00937</t>
  </si>
  <si>
    <t>C1280</t>
  </si>
  <si>
    <t>ORD00938</t>
  </si>
  <si>
    <t>ORD00939</t>
  </si>
  <si>
    <t>ORD00940</t>
  </si>
  <si>
    <t>ORD00941</t>
  </si>
  <si>
    <t>ORD00942</t>
  </si>
  <si>
    <t>ORD00943</t>
  </si>
  <si>
    <t>Customer 325</t>
  </si>
  <si>
    <t>ORD00944</t>
  </si>
  <si>
    <t>ORD00945</t>
  </si>
  <si>
    <t>ORD00946</t>
  </si>
  <si>
    <t>Customer 315</t>
  </si>
  <si>
    <t>ORD00947</t>
  </si>
  <si>
    <t>C1284</t>
  </si>
  <si>
    <t>Customer 202</t>
  </si>
  <si>
    <t>ORD00948</t>
  </si>
  <si>
    <t>ORD00949</t>
  </si>
  <si>
    <t>ORD00950</t>
  </si>
  <si>
    <t>Customer 290</t>
  </si>
  <si>
    <t>ORD00951</t>
  </si>
  <si>
    <t>ORD00952</t>
  </si>
  <si>
    <t>Customer 391</t>
  </si>
  <si>
    <t>ORD00953</t>
  </si>
  <si>
    <t>C1312</t>
  </si>
  <si>
    <t>ORD00954</t>
  </si>
  <si>
    <t>ORD00955</t>
  </si>
  <si>
    <t>C1611</t>
  </si>
  <si>
    <t>ORD00956</t>
  </si>
  <si>
    <t>ORD00957</t>
  </si>
  <si>
    <t>ORD00958</t>
  </si>
  <si>
    <t>ORD00959</t>
  </si>
  <si>
    <t>C1246</t>
  </si>
  <si>
    <t>ORD00960</t>
  </si>
  <si>
    <t>ORD00961</t>
  </si>
  <si>
    <t>ORD00962</t>
  </si>
  <si>
    <t>C1182</t>
  </si>
  <si>
    <t>ORD00963</t>
  </si>
  <si>
    <t>Customer 191</t>
  </si>
  <si>
    <t>ORD00964</t>
  </si>
  <si>
    <t>ORD00965</t>
  </si>
  <si>
    <t>C1283</t>
  </si>
  <si>
    <t>ORD00966</t>
  </si>
  <si>
    <t>ORD00967</t>
  </si>
  <si>
    <t>ORD00968</t>
  </si>
  <si>
    <t>C1771</t>
  </si>
  <si>
    <t>ORD00969</t>
  </si>
  <si>
    <t>ORD00970</t>
  </si>
  <si>
    <t>ORD00971</t>
  </si>
  <si>
    <t>ORD00972</t>
  </si>
  <si>
    <t>ORD00973</t>
  </si>
  <si>
    <t>C1648</t>
  </si>
  <si>
    <t>ORD00974</t>
  </si>
  <si>
    <t>Customer 189</t>
  </si>
  <si>
    <t>ORD00975</t>
  </si>
  <si>
    <t>C1777</t>
  </si>
  <si>
    <t>ORD00976</t>
  </si>
  <si>
    <t>ORD00977</t>
  </si>
  <si>
    <t>Customer 113</t>
  </si>
  <si>
    <t>ORD00978</t>
  </si>
  <si>
    <t>ORD00979</t>
  </si>
  <si>
    <t>ORD00980</t>
  </si>
  <si>
    <t>C1547</t>
  </si>
  <si>
    <t>ORD00981</t>
  </si>
  <si>
    <t>ORD00982</t>
  </si>
  <si>
    <t>C1730</t>
  </si>
  <si>
    <t>Customer 359</t>
  </si>
  <si>
    <t>ORD00983</t>
  </si>
  <si>
    <t>ORD00984</t>
  </si>
  <si>
    <t>C1445</t>
  </si>
  <si>
    <t>ORD00985</t>
  </si>
  <si>
    <t>Customer 426</t>
  </si>
  <si>
    <t>ORD00986</t>
  </si>
  <si>
    <t>ORD00987</t>
  </si>
  <si>
    <t>ORD00988</t>
  </si>
  <si>
    <t>ORD00989</t>
  </si>
  <si>
    <t>ORD00990</t>
  </si>
  <si>
    <t>C1117</t>
  </si>
  <si>
    <t>ORD00991</t>
  </si>
  <si>
    <t>ORD00992</t>
  </si>
  <si>
    <t>C1614</t>
  </si>
  <si>
    <t>ORD00993</t>
  </si>
  <si>
    <t>C1644</t>
  </si>
  <si>
    <t>ORD00994</t>
  </si>
  <si>
    <t>ORD00995</t>
  </si>
  <si>
    <t>ORD00996</t>
  </si>
  <si>
    <t>C1168</t>
  </si>
  <si>
    <t>ORD00997</t>
  </si>
  <si>
    <t>ORD00998</t>
  </si>
  <si>
    <t>C1472</t>
  </si>
  <si>
    <t>ORD00999</t>
  </si>
  <si>
    <t>ORD01000</t>
  </si>
  <si>
    <t>C1173</t>
  </si>
  <si>
    <t>Row Labels</t>
  </si>
  <si>
    <t>Grand Total</t>
  </si>
  <si>
    <t>Sum of Sales</t>
  </si>
  <si>
    <t>Sum of Quantity</t>
  </si>
  <si>
    <t>PRODUCT VS SALES</t>
  </si>
  <si>
    <t>CITY VS SALES</t>
  </si>
  <si>
    <t>BRAND VS QUANTITY</t>
  </si>
  <si>
    <t>SUB CATEGORY VS SALES</t>
  </si>
  <si>
    <t>profit%</t>
  </si>
  <si>
    <t>sum of sales</t>
  </si>
  <si>
    <t>sale of electronics</t>
  </si>
  <si>
    <t>sale of mouse in eletronics</t>
  </si>
  <si>
    <t>subcategory</t>
  </si>
  <si>
    <t>brand</t>
  </si>
  <si>
    <t>product name</t>
  </si>
  <si>
    <t>category</t>
  </si>
  <si>
    <t>10,000&gt;values</t>
  </si>
  <si>
    <t>total quantity</t>
  </si>
  <si>
    <t>quntity of mouse</t>
  </si>
  <si>
    <t>quntity of laptops that are electrics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</si>
</sst>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b/>
      <sz val="11"/>
      <color theme="0"/>
      <name val="Aharoni"/>
      <charset val="177"/>
    </font>
  </fonts>
  <fills count="6">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
      <patternFill patternType="solid">
        <fgColor theme="4"/>
        <bgColor theme="4"/>
      </patternFill>
    </fill>
    <fill>
      <patternFill patternType="solid">
        <fgColor theme="4" tint="0.59999389629810485"/>
        <bgColor theme="4" tint="0.59999389629810485"/>
      </patternFill>
    </fill>
  </fills>
  <borders count="4">
    <border>
      <left/>
      <right/>
      <top/>
      <bottom/>
      <diagonal/>
    </border>
    <border>
      <left style="thin">
        <color theme="0"/>
      </left>
      <right style="thin">
        <color theme="0"/>
      </right>
      <top/>
      <bottom style="thick">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s>
  <cellStyleXfs count="1">
    <xf numFmtId="0" fontId="0" fillId="0" borderId="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4" borderId="1" xfId="0" applyFont="1" applyFill="1" applyBorder="1"/>
    <xf numFmtId="0" fontId="0" fillId="5" borderId="2" xfId="0" applyFill="1" applyBorder="1"/>
    <xf numFmtId="0" fontId="0" fillId="2" borderId="2" xfId="0" applyFill="1" applyBorder="1"/>
    <xf numFmtId="0" fontId="0" fillId="2" borderId="3" xfId="0" applyFill="1" applyBorder="1"/>
    <xf numFmtId="0" fontId="2" fillId="0" borderId="0" xfId="0" applyFont="1" applyAlignment="1">
      <alignment vertical="center"/>
    </xf>
    <xf numFmtId="0" fontId="0" fillId="3" borderId="0" xfId="0" applyFill="1" applyAlignment="1">
      <alignment horizontal="center" vertical="center"/>
    </xf>
    <xf numFmtId="0" fontId="0" fillId="0" borderId="0" xfId="0" applyNumberFormat="1"/>
  </cellXfs>
  <cellStyles count="1">
    <cellStyle name="Normal" xfId="0" builtinId="0"/>
  </cellStyles>
  <dxfs count="2">
    <dxf>
      <numFmt numFmtId="0" formatCode="General"/>
    </dxf>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[Amazon_Sales_Data_Practice.xlsx]deshboard!product vs sales</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21745557667361"/>
          <c:y val="0.26995151647710702"/>
          <c:w val="0.73375267746704076"/>
          <c:h val="0.52644757946923304"/>
        </c:manualLayout>
      </c:layout>
      <c:barChart>
        <c:barDir val="col"/>
        <c:grouping val="clustered"/>
        <c:varyColors val="0"/>
        <c:ser>
          <c:idx val="0"/>
          <c:order val="0"/>
          <c:tx>
            <c:strRef>
              <c:f>deshboard!$B$3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deshboard!$A$4:$A$9</c:f>
              <c:strCache>
                <c:ptCount val="5"/>
                <c:pt idx="0">
                  <c:v>Chair</c:v>
                </c:pt>
                <c:pt idx="1">
                  <c:v>Headphones</c:v>
                </c:pt>
                <c:pt idx="2">
                  <c:v>Keyboard</c:v>
                </c:pt>
                <c:pt idx="3">
                  <c:v>Laptop</c:v>
                </c:pt>
                <c:pt idx="4">
                  <c:v>Mouse</c:v>
                </c:pt>
              </c:strCache>
            </c:strRef>
          </c:cat>
          <c:val>
            <c:numRef>
              <c:f>deshboard!$B$4:$B$9</c:f>
              <c:numCache>
                <c:formatCode>General</c:formatCode>
                <c:ptCount val="5"/>
                <c:pt idx="0">
                  <c:v>2495925</c:v>
                </c:pt>
                <c:pt idx="1">
                  <c:v>2171575</c:v>
                </c:pt>
                <c:pt idx="2">
                  <c:v>832050</c:v>
                </c:pt>
                <c:pt idx="3">
                  <c:v>27164500</c:v>
                </c:pt>
                <c:pt idx="4">
                  <c:v>427640</c:v>
                </c:pt>
              </c:numCache>
            </c:numRef>
          </c:val>
          <c:extLst>
            <c:ext xmlns:c16="http://schemas.microsoft.com/office/drawing/2014/chart" uri="{C3380CC4-5D6E-409C-BE32-E72D297353CC}">
              <c16:uniqueId val="{00000000-8B8A-40BC-8BD3-8B2BF600EBDA}"/>
            </c:ext>
          </c:extLst>
        </c:ser>
        <c:dLbls>
          <c:dLblPos val="outEnd"/>
          <c:showLegendKey val="0"/>
          <c:showVal val="1"/>
          <c:showCatName val="0"/>
          <c:showSerName val="0"/>
          <c:showPercent val="0"/>
          <c:showBubbleSize val="0"/>
        </c:dLbls>
        <c:gapWidth val="100"/>
        <c:overlap val="-24"/>
        <c:axId val="432448320"/>
        <c:axId val="432449760"/>
      </c:barChart>
      <c:catAx>
        <c:axId val="4324483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2449760"/>
        <c:crosses val="autoZero"/>
        <c:auto val="1"/>
        <c:lblAlgn val="ctr"/>
        <c:lblOffset val="100"/>
        <c:noMultiLvlLbl val="0"/>
      </c:catAx>
      <c:valAx>
        <c:axId val="4324497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244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[Amazon_Sales_Data_Practice.xlsx]deshboard!CITY VS SALES</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deshboard!$B$12</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EE8D-4892-B9BC-97B9D98556C5}"/>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E8D-4892-B9BC-97B9D98556C5}"/>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EE8D-4892-B9BC-97B9D98556C5}"/>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EE8D-4892-B9BC-97B9D98556C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deshboard!$A$13:$A$17</c:f>
              <c:strCache>
                <c:ptCount val="4"/>
                <c:pt idx="0">
                  <c:v>Ahmedabad</c:v>
                </c:pt>
                <c:pt idx="1">
                  <c:v>Bengaluru</c:v>
                </c:pt>
                <c:pt idx="2">
                  <c:v>Delhi</c:v>
                </c:pt>
                <c:pt idx="3">
                  <c:v>Mumbai</c:v>
                </c:pt>
              </c:strCache>
            </c:strRef>
          </c:cat>
          <c:val>
            <c:numRef>
              <c:f>deshboard!$B$13:$B$17</c:f>
              <c:numCache>
                <c:formatCode>General</c:formatCode>
                <c:ptCount val="4"/>
                <c:pt idx="0">
                  <c:v>7491755</c:v>
                </c:pt>
                <c:pt idx="1">
                  <c:v>8818200</c:v>
                </c:pt>
                <c:pt idx="2">
                  <c:v>9930040</c:v>
                </c:pt>
                <c:pt idx="3">
                  <c:v>6851695</c:v>
                </c:pt>
              </c:numCache>
            </c:numRef>
          </c:val>
          <c:extLst>
            <c:ext xmlns:c16="http://schemas.microsoft.com/office/drawing/2014/chart" uri="{C3380CC4-5D6E-409C-BE32-E72D297353CC}">
              <c16:uniqueId val="{00000000-EE8D-4892-B9BC-97B9D98556C5}"/>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[Amazon_Sales_Data_Practice.xlsx]deshboard!BRAND VS QUANTITY</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deshboard!$B$20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deshboard!$A$21:$A$26</c:f>
              <c:strCache>
                <c:ptCount val="5"/>
                <c:pt idx="0">
                  <c:v>HP</c:v>
                </c:pt>
                <c:pt idx="1">
                  <c:v>Logitech</c:v>
                </c:pt>
                <c:pt idx="2">
                  <c:v>Nilkamal</c:v>
                </c:pt>
                <c:pt idx="3">
                  <c:v>Dell</c:v>
                </c:pt>
                <c:pt idx="4">
                  <c:v>Sony</c:v>
                </c:pt>
              </c:strCache>
            </c:strRef>
          </c:cat>
          <c:val>
            <c:numRef>
              <c:f>deshboard!$B$21:$B$26</c:f>
              <c:numCache>
                <c:formatCode>General</c:formatCode>
                <c:ptCount val="5"/>
                <c:pt idx="0">
                  <c:v>602</c:v>
                </c:pt>
                <c:pt idx="1">
                  <c:v>583</c:v>
                </c:pt>
                <c:pt idx="2">
                  <c:v>604</c:v>
                </c:pt>
                <c:pt idx="3">
                  <c:v>541</c:v>
                </c:pt>
                <c:pt idx="4">
                  <c:v>675</c:v>
                </c:pt>
              </c:numCache>
            </c:numRef>
          </c:val>
          <c:extLst>
            <c:ext xmlns:c16="http://schemas.microsoft.com/office/drawing/2014/chart" uri="{C3380CC4-5D6E-409C-BE32-E72D297353CC}">
              <c16:uniqueId val="{00000000-B9E9-4CDC-AE4E-C08DCABB4461}"/>
            </c:ext>
          </c:extLst>
        </c:ser>
        <c:dLbls>
          <c:dLblPos val="outEnd"/>
          <c:showLegendKey val="0"/>
          <c:showVal val="1"/>
          <c:showCatName val="0"/>
          <c:showSerName val="0"/>
          <c:showPercent val="0"/>
          <c:showBubbleSize val="0"/>
        </c:dLbls>
        <c:gapWidth val="100"/>
        <c:overlap val="-24"/>
        <c:axId val="633311648"/>
        <c:axId val="633312608"/>
      </c:barChart>
      <c:catAx>
        <c:axId val="6333116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3312608"/>
        <c:crosses val="autoZero"/>
        <c:auto val="1"/>
        <c:lblAlgn val="ctr"/>
        <c:lblOffset val="100"/>
        <c:noMultiLvlLbl val="0"/>
      </c:catAx>
      <c:valAx>
        <c:axId val="6333126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3311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[Amazon_Sales_Data_Practice.xlsx]deshboard!SUBCATEGORY VS SALES</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061284948077144"/>
          <c:y val="0.23500552078006642"/>
          <c:w val="0.53904699303891357"/>
          <c:h val="0.67307466110147907"/>
        </c:manualLayout>
      </c:layout>
      <c:barChart>
        <c:barDir val="bar"/>
        <c:grouping val="clustered"/>
        <c:varyColors val="0"/>
        <c:ser>
          <c:idx val="0"/>
          <c:order val="0"/>
          <c:tx>
            <c:strRef>
              <c:f>deshboard!$B$29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deshboard!$A$30:$A$34</c:f>
              <c:strCache>
                <c:ptCount val="4"/>
                <c:pt idx="0">
                  <c:v>Accessories</c:v>
                </c:pt>
                <c:pt idx="1">
                  <c:v>Audio</c:v>
                </c:pt>
                <c:pt idx="2">
                  <c:v>Computers</c:v>
                </c:pt>
                <c:pt idx="3">
                  <c:v>Office</c:v>
                </c:pt>
              </c:strCache>
            </c:strRef>
          </c:cat>
          <c:val>
            <c:numRef>
              <c:f>deshboard!$B$30:$B$34</c:f>
              <c:numCache>
                <c:formatCode>General</c:formatCode>
                <c:ptCount val="4"/>
                <c:pt idx="0">
                  <c:v>1259690</c:v>
                </c:pt>
                <c:pt idx="1">
                  <c:v>2171575</c:v>
                </c:pt>
                <c:pt idx="2">
                  <c:v>27164500</c:v>
                </c:pt>
                <c:pt idx="3">
                  <c:v>2495925</c:v>
                </c:pt>
              </c:numCache>
            </c:numRef>
          </c:val>
          <c:extLst>
            <c:ext xmlns:c16="http://schemas.microsoft.com/office/drawing/2014/chart" uri="{C3380CC4-5D6E-409C-BE32-E72D297353CC}">
              <c16:uniqueId val="{00000000-8209-4EC1-B968-8577EB04D019}"/>
            </c:ext>
          </c:extLst>
        </c:ser>
        <c:dLbls>
          <c:dLblPos val="outEnd"/>
          <c:showLegendKey val="0"/>
          <c:showVal val="1"/>
          <c:showCatName val="0"/>
          <c:showSerName val="0"/>
          <c:showPercent val="0"/>
          <c:showBubbleSize val="0"/>
        </c:dLbls>
        <c:gapWidth val="115"/>
        <c:overlap val="-20"/>
        <c:axId val="633251840"/>
        <c:axId val="633254240"/>
      </c:barChart>
      <c:catAx>
        <c:axId val="63325184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3254240"/>
        <c:crosses val="autoZero"/>
        <c:auto val="1"/>
        <c:lblAlgn val="ctr"/>
        <c:lblOffset val="100"/>
        <c:noMultiLvlLbl val="0"/>
      </c:catAx>
      <c:valAx>
        <c:axId val="63325424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3251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180975</xdr:rowOff>
    </xdr:from>
    <xdr:to>
      <xdr:col>10</xdr:col>
      <xdr:colOff>47625</xdr:colOff>
      <xdr:row>16</xdr:row>
      <xdr:rowOff>14287</xdr:rowOff>
    </xdr:to>
    <xdr:graphicFrame macro="">
      <xdr:nvGraphicFramePr>
        <xdr:cNvPr id="2" name="Chart 1">
          <a:extLst>
            <a:ext uri="{FF2B5EF4-FFF2-40B4-BE49-F238E27FC236}">
              <a16:creationId xmlns:a16="http://schemas.microsoft.com/office/drawing/2014/main" id="{92F6025E-6114-13D6-78B6-19D964FF20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xdr:row>
      <xdr:rowOff>0</xdr:rowOff>
    </xdr:from>
    <xdr:to>
      <xdr:col>19</xdr:col>
      <xdr:colOff>247650</xdr:colOff>
      <xdr:row>16</xdr:row>
      <xdr:rowOff>4762</xdr:rowOff>
    </xdr:to>
    <xdr:graphicFrame macro="">
      <xdr:nvGraphicFramePr>
        <xdr:cNvPr id="3" name="Chart 2">
          <a:extLst>
            <a:ext uri="{FF2B5EF4-FFF2-40B4-BE49-F238E27FC236}">
              <a16:creationId xmlns:a16="http://schemas.microsoft.com/office/drawing/2014/main" id="{6904CE01-AC07-0DAA-2785-9139096CE0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19049</xdr:colOff>
      <xdr:row>18</xdr:row>
      <xdr:rowOff>185736</xdr:rowOff>
    </xdr:from>
    <xdr:to>
      <xdr:col>10</xdr:col>
      <xdr:colOff>9524</xdr:colOff>
      <xdr:row>34</xdr:row>
      <xdr:rowOff>190499</xdr:rowOff>
    </xdr:to>
    <xdr:graphicFrame macro="">
      <xdr:nvGraphicFramePr>
        <xdr:cNvPr id="4" name="Chart 3">
          <a:extLst>
            <a:ext uri="{FF2B5EF4-FFF2-40B4-BE49-F238E27FC236}">
              <a16:creationId xmlns:a16="http://schemas.microsoft.com/office/drawing/2014/main" id="{91E7DA0F-9E33-ADC8-6226-9FC905F0FD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609599</xdr:colOff>
      <xdr:row>19</xdr:row>
      <xdr:rowOff>19050</xdr:rowOff>
    </xdr:from>
    <xdr:to>
      <xdr:col>19</xdr:col>
      <xdr:colOff>266700</xdr:colOff>
      <xdr:row>34</xdr:row>
      <xdr:rowOff>190499</xdr:rowOff>
    </xdr:to>
    <xdr:graphicFrame macro="">
      <xdr:nvGraphicFramePr>
        <xdr:cNvPr id="5" name="Chart 4">
          <a:extLst>
            <a:ext uri="{FF2B5EF4-FFF2-40B4-BE49-F238E27FC236}">
              <a16:creationId xmlns:a16="http://schemas.microsoft.com/office/drawing/2014/main" id="{E05968DB-9FB2-0408-844C-83806FF4B2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19050</xdr:colOff>
      <xdr:row>0</xdr:row>
      <xdr:rowOff>171450</xdr:rowOff>
    </xdr:from>
    <xdr:to>
      <xdr:col>23</xdr:col>
      <xdr:colOff>19050</xdr:colOff>
      <xdr:row>14</xdr:row>
      <xdr:rowOff>28575</xdr:rowOff>
    </xdr:to>
    <mc:AlternateContent xmlns:mc="http://schemas.openxmlformats.org/markup-compatibility/2006">
      <mc:Choice xmlns:a14="http://schemas.microsoft.com/office/drawing/2010/main" Requires="a14">
        <xdr:graphicFrame macro="">
          <xdr:nvGraphicFramePr>
            <xdr:cNvPr id="6" name="Product Name">
              <a:extLst>
                <a:ext uri="{FF2B5EF4-FFF2-40B4-BE49-F238E27FC236}">
                  <a16:creationId xmlns:a16="http://schemas.microsoft.com/office/drawing/2014/main" id="{E85384BD-DACD-AE57-D04D-556571959592}"/>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dr:sp macro="" textlink="">
          <xdr:nvSpPr>
            <xdr:cNvPr id="0" name=""/>
            <xdr:cNvSpPr>
              <a:spLocks noTextEdit="1"/>
            </xdr:cNvSpPr>
          </xdr:nvSpPr>
          <xdr:spPr>
            <a:xfrm>
              <a:off x="13277850" y="171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142875</xdr:colOff>
      <xdr:row>0</xdr:row>
      <xdr:rowOff>171450</xdr:rowOff>
    </xdr:from>
    <xdr:to>
      <xdr:col>26</xdr:col>
      <xdr:colOff>142875</xdr:colOff>
      <xdr:row>14</xdr:row>
      <xdr:rowOff>28575</xdr:rowOff>
    </xdr:to>
    <mc:AlternateContent xmlns:mc="http://schemas.openxmlformats.org/markup-compatibility/2006">
      <mc:Choice xmlns:a14="http://schemas.microsoft.com/office/drawing/2010/main" Requires="a14">
        <xdr:graphicFrame macro="">
          <xdr:nvGraphicFramePr>
            <xdr:cNvPr id="7" name="City">
              <a:extLst>
                <a:ext uri="{FF2B5EF4-FFF2-40B4-BE49-F238E27FC236}">
                  <a16:creationId xmlns:a16="http://schemas.microsoft.com/office/drawing/2014/main" id="{F736F2C0-280D-0149-A04B-3CBFFCF48FD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5230475" y="171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9525</xdr:colOff>
      <xdr:row>18</xdr:row>
      <xdr:rowOff>180975</xdr:rowOff>
    </xdr:from>
    <xdr:to>
      <xdr:col>23</xdr:col>
      <xdr:colOff>9525</xdr:colOff>
      <xdr:row>32</xdr:row>
      <xdr:rowOff>38100</xdr:rowOff>
    </xdr:to>
    <mc:AlternateContent xmlns:mc="http://schemas.openxmlformats.org/markup-compatibility/2006">
      <mc:Choice xmlns:a14="http://schemas.microsoft.com/office/drawing/2010/main" Requires="a14">
        <xdr:graphicFrame macro="">
          <xdr:nvGraphicFramePr>
            <xdr:cNvPr id="8" name="Brand">
              <a:extLst>
                <a:ext uri="{FF2B5EF4-FFF2-40B4-BE49-F238E27FC236}">
                  <a16:creationId xmlns:a16="http://schemas.microsoft.com/office/drawing/2014/main" id="{1770881A-75D0-2E36-5DAF-DDE00819F5D1}"/>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13268325" y="36099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123825</xdr:colOff>
      <xdr:row>18</xdr:row>
      <xdr:rowOff>161925</xdr:rowOff>
    </xdr:from>
    <xdr:to>
      <xdr:col>26</xdr:col>
      <xdr:colOff>123825</xdr:colOff>
      <xdr:row>32</xdr:row>
      <xdr:rowOff>19050</xdr:rowOff>
    </xdr:to>
    <mc:AlternateContent xmlns:mc="http://schemas.openxmlformats.org/markup-compatibility/2006">
      <mc:Choice xmlns:a14="http://schemas.microsoft.com/office/drawing/2010/main" Requires="a14">
        <xdr:graphicFrame macro="">
          <xdr:nvGraphicFramePr>
            <xdr:cNvPr id="9" name="Sub Category">
              <a:extLst>
                <a:ext uri="{FF2B5EF4-FFF2-40B4-BE49-F238E27FC236}">
                  <a16:creationId xmlns:a16="http://schemas.microsoft.com/office/drawing/2014/main" id="{7DC36D1B-528B-8BD3-C4FE-74B50F0119F4}"/>
                </a:ext>
              </a:extLst>
            </xdr:cNvPr>
            <xdr:cNvGraphicFramePr/>
          </xdr:nvGraphicFramePr>
          <xdr:xfrm>
            <a:off x="0" y="0"/>
            <a:ext cx="0" cy="0"/>
          </xdr:xfrm>
          <a:graphic>
            <a:graphicData uri="http://schemas.microsoft.com/office/drawing/2010/slicer">
              <sle:slicer xmlns:sle="http://schemas.microsoft.com/office/drawing/2010/slicer" name="Sub Category"/>
            </a:graphicData>
          </a:graphic>
        </xdr:graphicFrame>
      </mc:Choice>
      <mc:Fallback>
        <xdr:sp macro="" textlink="">
          <xdr:nvSpPr>
            <xdr:cNvPr id="0" name=""/>
            <xdr:cNvSpPr>
              <a:spLocks noTextEdit="1"/>
            </xdr:cNvSpPr>
          </xdr:nvSpPr>
          <xdr:spPr>
            <a:xfrm>
              <a:off x="15211425" y="35909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204" refreshedDate="46231.422812731478" createdVersion="8" refreshedVersion="8" minRefreshableVersion="3" recordCount="1000" xr:uid="{DFB3441A-DD7C-4BEA-A485-794119F50BCE}">
  <cacheSource type="worksheet">
    <worksheetSource ref="A1:V1001" sheet="Amazon_Sales_Data"/>
  </cacheSource>
  <cacheFields count="22">
    <cacheField name="Order ID" numFmtId="0">
      <sharedItems/>
    </cacheField>
    <cacheField name="Order Date" numFmtId="14">
      <sharedItems containsSemiMixedTypes="0" containsNonDate="0" containsDate="1" containsString="0" minDate="2025-01-01T00:00:00" maxDate="2026-01-01T00:00:00"/>
    </cacheField>
    <cacheField name="Customer ID" numFmtId="0">
      <sharedItems/>
    </cacheField>
    <cacheField name="Customer Name" numFmtId="0">
      <sharedItems count="432">
        <s v="Customer 305"/>
        <s v="Customer 165"/>
        <s v="Customer 299"/>
        <s v="Customer 190"/>
        <s v="Customer 353"/>
        <s v="Customer 92"/>
        <s v="Customer 91"/>
        <s v="Customer 169"/>
        <s v="Customer 349"/>
        <s v="Customer 168"/>
        <s v="Customer 155"/>
        <s v="Customer 71"/>
        <s v="Customer 323"/>
        <s v="Customer 324"/>
        <s v="Customer 167"/>
        <s v="Customer 265"/>
        <s v="Customer 236"/>
        <s v="Customer 334"/>
        <s v="Customer 304"/>
        <s v="Customer 440"/>
        <s v="Customer 223"/>
        <s v="Customer 34"/>
        <s v="Customer 370"/>
        <s v="Customer 109"/>
        <s v="Customer 441"/>
        <s v="Customer 454"/>
        <s v="Customer 407"/>
        <s v="Customer 229"/>
        <s v="Customer 267"/>
        <s v="Customer 354"/>
        <s v="Customer 200"/>
        <s v="Customer 481"/>
        <s v="Customer 383"/>
        <s v="Customer 309"/>
        <s v="Customer 367"/>
        <s v="Customer 197"/>
        <s v="Customer 142"/>
        <s v="Customer 307"/>
        <s v="Customer 406"/>
        <s v="Customer 500"/>
        <s v="Customer 279"/>
        <s v="Customer 255"/>
        <s v="Customer 300"/>
        <s v="Customer 320"/>
        <s v="Customer 86"/>
        <s v="Customer 3"/>
        <s v="Customer 247"/>
        <s v="Customer 64"/>
        <s v="Customer 183"/>
        <s v="Customer 261"/>
        <s v="Customer 418"/>
        <s v="Customer 428"/>
        <s v="Customer 327"/>
        <s v="Customer 284"/>
        <s v="Customer 411"/>
        <s v="Customer 123"/>
        <s v="Customer 114"/>
        <s v="Customer 145"/>
        <s v="Customer 485"/>
        <s v="Customer 228"/>
        <s v="Customer 295"/>
        <s v="Customer 10"/>
        <s v="Customer 369"/>
        <s v="Customer 82"/>
        <s v="Customer 348"/>
        <s v="Customer 397"/>
        <s v="Customer 474"/>
        <s v="Customer 306"/>
        <s v="Customer 258"/>
        <s v="Customer 273"/>
        <s v="Customer 98"/>
        <s v="Customer 335"/>
        <s v="Customer 68"/>
        <s v="Customer 430"/>
        <s v="Customer 270"/>
        <s v="Customer 301"/>
        <s v="Customer 477"/>
        <s v="Customer 434"/>
        <s v="Customer 139"/>
        <s v="Customer 48"/>
        <s v="Customer 201"/>
        <s v="Customer 455"/>
        <s v="Customer 4"/>
        <s v="Customer 350"/>
        <s v="Customer 482"/>
        <s v="Customer 293"/>
        <s v="Customer 253"/>
        <s v="Customer 244"/>
        <s v="Customer 173"/>
        <s v="Customer 280"/>
        <s v="Customer 153"/>
        <s v="Customer 423"/>
        <s v="Customer 446"/>
        <s v="Customer 37"/>
        <s v="Customer 222"/>
        <s v="Customer 272"/>
        <s v="Customer 322"/>
        <s v="Customer 150"/>
        <s v="Customer 471"/>
        <s v="Customer 461"/>
        <s v="Customer 238"/>
        <s v="Customer 245"/>
        <s v="Customer 42"/>
        <s v="Customer 437"/>
        <s v="Customer 252"/>
        <s v="Customer 231"/>
        <s v="Customer 332"/>
        <s v="Customer 108"/>
        <s v="Customer 41"/>
        <s v="Customer 164"/>
        <s v="Customer 198"/>
        <s v="Customer 25"/>
        <s v="Customer 363"/>
        <s v="Customer 257"/>
        <s v="Customer 53"/>
        <s v="Customer 36"/>
        <s v="Customer 303"/>
        <s v="Customer 314"/>
        <s v="Customer 179"/>
        <s v="Customer 294"/>
        <s v="Customer 347"/>
        <s v="Customer 241"/>
        <s v="Customer 297"/>
        <s v="Customer 401"/>
        <s v="Customer 458"/>
        <s v="Customer 497"/>
        <s v="Customer 62"/>
        <s v="Customer 134"/>
        <s v="Customer 135"/>
        <s v="Customer 462"/>
        <s v="Customer 75"/>
        <s v="Customer 385"/>
        <s v="Customer 431"/>
        <s v="Customer 66"/>
        <s v="Customer 389"/>
        <s v="Customer 342"/>
        <s v="Customer 283"/>
        <s v="Customer 110"/>
        <s v="Customer 472"/>
        <s v="Customer 219"/>
        <s v="Customer 457"/>
        <s v="Customer 166"/>
        <s v="Customer 281"/>
        <s v="Customer 43"/>
        <s v="Customer 246"/>
        <s v="Customer 172"/>
        <s v="Customer 475"/>
        <s v="Customer 226"/>
        <s v="Customer 128"/>
        <s v="Customer 493"/>
        <s v="Customer 414"/>
        <s v="Customer 289"/>
        <s v="Customer 239"/>
        <s v="Customer 28"/>
        <s v="Customer 136"/>
        <s v="Customer 337"/>
        <s v="Customer 79"/>
        <s v="Customer 17"/>
        <s v="Customer 233"/>
        <s v="Customer 330"/>
        <s v="Customer 152"/>
        <s v="Customer 256"/>
        <s v="Customer 339"/>
        <s v="Customer 180"/>
        <s v="Customer 396"/>
        <s v="Customer 88"/>
        <s v="Customer 22"/>
        <s v="Customer 360"/>
        <s v="Customer 117"/>
        <s v="Customer 319"/>
        <s v="Customer 480"/>
        <s v="Customer 131"/>
        <s v="Customer 133"/>
        <s v="Customer 162"/>
        <s v="Customer 156"/>
        <s v="Customer 235"/>
        <s v="Customer 232"/>
        <s v="Customer 61"/>
        <s v="Customer 463"/>
        <s v="Customer 254"/>
        <s v="Customer 104"/>
        <s v="Customer 269"/>
        <s v="Customer 218"/>
        <s v="Customer 259"/>
        <s v="Customer 490"/>
        <s v="Customer 85"/>
        <s v="Customer 115"/>
        <s v="Customer 209"/>
        <s v="Customer 433"/>
        <s v="Customer 435"/>
        <s v="Customer 376"/>
        <s v="Customer 195"/>
        <s v="Customer 355"/>
        <s v="Customer 171"/>
        <s v="Customer 321"/>
        <s v="Customer 456"/>
        <s v="Customer 81"/>
        <s v="Customer 87"/>
        <s v="Customer 125"/>
        <s v="Customer 356"/>
        <s v="Customer 45"/>
        <s v="Customer 225"/>
        <s v="Customer 249"/>
        <s v="Customer 336"/>
        <s v="Customer 412"/>
        <s v="Customer 161"/>
        <s v="Customer 119"/>
        <s v="Customer 488"/>
        <s v="Customer 106"/>
        <s v="Customer 473"/>
        <s v="Customer 221"/>
        <s v="Customer 199"/>
        <s v="Customer 263"/>
        <s v="Customer 31"/>
        <s v="Customer 275"/>
        <s v="Customer 32"/>
        <s v="Customer 13"/>
        <s v="Customer 148"/>
        <s v="Customer 89"/>
        <s v="Customer 310"/>
        <s v="Customer 73"/>
        <s v="Customer 442"/>
        <s v="Customer 26"/>
        <s v="Customer 375"/>
        <s v="Customer 264"/>
        <s v="Customer 160"/>
        <s v="Customer 15"/>
        <s v="Customer 194"/>
        <s v="Customer 495"/>
        <s v="Customer 47"/>
        <s v="Customer 212"/>
        <s v="Customer 38"/>
        <s v="Customer 216"/>
        <s v="Customer 469"/>
        <s v="Customer 447"/>
        <s v="Customer 154"/>
        <s v="Customer 224"/>
        <s v="Customer 181"/>
        <s v="Customer 487"/>
        <s v="Customer 103"/>
        <s v="Customer 77"/>
        <s v="Customer 83"/>
        <s v="Customer 176"/>
        <s v="Customer 107"/>
        <s v="Customer 331"/>
        <s v="Customer 93"/>
        <s v="Customer 424"/>
        <s v="Customer 489"/>
        <s v="Customer 55"/>
        <s v="Customer 445"/>
        <s v="Customer 90"/>
        <s v="Customer 343"/>
        <s v="Customer 451"/>
        <s v="Customer 124"/>
        <s v="Customer 405"/>
        <s v="Customer 147"/>
        <s v="Customer 65"/>
        <s v="Customer 421"/>
        <s v="Customer 378"/>
        <s v="Customer 288"/>
        <s v="Customer 416"/>
        <s v="Customer 203"/>
        <s v="Customer 84"/>
        <s v="Customer 175"/>
        <s v="Customer 415"/>
        <s v="Customer 105"/>
        <s v="Customer 419"/>
        <s v="Customer 215"/>
        <s v="Customer 399"/>
        <s v="Customer 318"/>
        <s v="Customer 386"/>
        <s v="Customer 243"/>
        <s v="Customer 466"/>
        <s v="Customer 30"/>
        <s v="Customer 5"/>
        <s v="Customer 478"/>
        <s v="Customer 394"/>
        <s v="Customer 398"/>
        <s v="Customer 9"/>
        <s v="Customer 286"/>
        <s v="Customer 459"/>
        <s v="Customer 163"/>
        <s v="Customer 368"/>
        <s v="Customer 35"/>
        <s v="Customer 329"/>
        <s v="Customer 313"/>
        <s v="Customer 220"/>
        <s v="Customer 96"/>
        <s v="Customer 382"/>
        <s v="Customer 248"/>
        <s v="Customer 137"/>
        <s v="Customer 372"/>
        <s v="Customer 151"/>
        <s v="Customer 149"/>
        <s v="Customer 95"/>
        <s v="Customer 208"/>
        <s v="Customer 1"/>
        <s v="Customer 404"/>
        <s v="Customer 188"/>
        <s v="Customer 174"/>
        <s v="Customer 138"/>
        <s v="Customer 157"/>
        <s v="Customer 204"/>
        <s v="Customer 7"/>
        <s v="Customer 217"/>
        <s v="Customer 340"/>
        <s v="Customer 237"/>
        <s v="Customer 262"/>
        <s v="Customer 70"/>
        <s v="Customer 211"/>
        <s v="Customer 230"/>
        <s v="Customer 483"/>
        <s v="Customer 384"/>
        <s v="Customer 296"/>
        <s v="Customer 278"/>
        <s v="Customer 393"/>
        <s v="Customer 54"/>
        <s v="Customer 357"/>
        <s v="Customer 121"/>
        <s v="Customer 380"/>
        <s v="Customer 312"/>
        <s v="Customer 186"/>
        <s v="Customer 12"/>
        <s v="Customer 403"/>
        <s v="Customer 432"/>
        <s v="Customer 498"/>
        <s v="Customer 464"/>
        <s v="Customer 206"/>
        <s v="Customer 285"/>
        <s v="Customer 328"/>
        <s v="Customer 51"/>
        <s v="Customer 127"/>
        <s v="Customer 388"/>
        <s v="Customer 438"/>
        <s v="Customer 72"/>
        <s v="Customer 276"/>
        <s v="Customer 282"/>
        <s v="Customer 268"/>
        <s v="Customer 266"/>
        <s v="Customer 29"/>
        <s v="Customer 344"/>
        <s v="Customer 6"/>
        <s v="Customer 292"/>
        <s v="Customer 2"/>
        <s v="Customer 346"/>
        <s v="Customer 338"/>
        <s v="Customer 78"/>
        <s v="Customer 111"/>
        <s v="Customer 76"/>
        <s v="Customer 365"/>
        <s v="Customer 80"/>
        <s v="Customer 24"/>
        <s v="Customer 444"/>
        <s v="Customer 140"/>
        <s v="Customer 102"/>
        <s v="Customer 316"/>
        <s v="Customer 112"/>
        <s v="Customer 351"/>
        <s v="Customer 420"/>
        <s v="Customer 122"/>
        <s v="Customer 196"/>
        <s v="Customer 40"/>
        <s v="Customer 129"/>
        <s v="Customer 213"/>
        <s v="Customer 240"/>
        <s v="Customer 436"/>
        <s v="Customer 20"/>
        <s v="Customer 63"/>
        <s v="Customer 57"/>
        <s v="Customer 317"/>
        <s v="Customer 468"/>
        <s v="Customer 358"/>
        <s v="Customer 291"/>
        <s v="Customer 143"/>
        <s v="Customer 242"/>
        <s v="Customer 8"/>
        <s v="Customer 395"/>
        <s v="Customer 99"/>
        <s v="Customer 452"/>
        <s v="Customer 492"/>
        <s v="Customer 251"/>
        <s v="Customer 101"/>
        <s v="Customer 361"/>
        <s v="Customer 182"/>
        <s v="Customer 387"/>
        <s v="Customer 400"/>
        <s v="Customer 453"/>
        <s v="Customer 39"/>
        <s v="Customer 287"/>
        <s v="Customer 429"/>
        <s v="Customer 467"/>
        <s v="Customer 144"/>
        <s v="Customer 470"/>
        <s v="Customer 373"/>
        <s v="Customer 302"/>
        <s v="Customer 214"/>
        <s v="Customer 46"/>
        <s v="Customer 19"/>
        <s v="Customer 427"/>
        <s v="Customer 460"/>
        <s v="Customer 159"/>
        <s v="Customer 50"/>
        <s v="Customer 193"/>
        <s v="Customer 97"/>
        <s v="Customer 227"/>
        <s v="Customer 60"/>
        <s v="Customer 141"/>
        <s v="Customer 326"/>
        <s v="Customer 187"/>
        <s v="Customer 260"/>
        <s v="Customer 308"/>
        <s v="Customer 425"/>
        <s v="Customer 192"/>
        <s v="Customer 23"/>
        <s v="Customer 345"/>
        <s v="Customer 170"/>
        <s v="Customer 494"/>
        <s v="Customer 390"/>
        <s v="Customer 52"/>
        <s v="Customer 392"/>
        <s v="Customer 33"/>
        <s v="Customer 366"/>
        <s v="Customer 325"/>
        <s v="Customer 315"/>
        <s v="Customer 202"/>
        <s v="Customer 290"/>
        <s v="Customer 391"/>
        <s v="Customer 191"/>
        <s v="Customer 189"/>
        <s v="Customer 113"/>
        <s v="Customer 359"/>
        <s v="Customer 426"/>
      </sharedItems>
    </cacheField>
    <cacheField name="Product ID" numFmtId="0">
      <sharedItems/>
    </cacheField>
    <cacheField name="Product Name" numFmtId="0">
      <sharedItems count="5">
        <s v="Mouse"/>
        <s v="Chair"/>
        <s v="Laptop"/>
        <s v="Keyboard"/>
        <s v="Headphones"/>
      </sharedItems>
    </cacheField>
    <cacheField name="Category" numFmtId="0">
      <sharedItems count="2">
        <s v="Electronics"/>
        <s v="Furniture"/>
      </sharedItems>
    </cacheField>
    <cacheField name="Sub Category" numFmtId="0">
      <sharedItems count="4">
        <s v="Accessories"/>
        <s v="Office"/>
        <s v="Computers"/>
        <s v="Audio"/>
      </sharedItems>
    </cacheField>
    <cacheField name="Brand" numFmtId="0">
      <sharedItems count="5">
        <s v="Logitech"/>
        <s v="Nilkamal"/>
        <s v="Dell"/>
        <s v="HP"/>
        <s v="Sony"/>
      </sharedItems>
    </cacheField>
    <cacheField name="Quantity" numFmtId="0">
      <sharedItems containsSemiMixedTypes="0" containsString="0" containsNumber="1" containsInteger="1" minValue="1" maxValue="5"/>
    </cacheField>
    <cacheField name="Unit Price" numFmtId="0">
      <sharedItems containsSemiMixedTypes="0" containsString="0" containsNumber="1" containsInteger="1" minValue="800" maxValue="55000"/>
    </cacheField>
    <cacheField name="Discount %" numFmtId="0">
      <sharedItems containsSemiMixedTypes="0" containsString="0" containsNumber="1" containsInteger="1" minValue="0" maxValue="15"/>
    </cacheField>
    <cacheField name="Sales" numFmtId="0">
      <sharedItems containsSemiMixedTypes="0" containsString="0" containsNumber="1" containsInteger="1" minValue="680" maxValue="275000"/>
    </cacheField>
    <cacheField name="Cost" numFmtId="0">
      <sharedItems containsSemiMixedTypes="0" containsString="0" containsNumber="1" minValue="560" maxValue="192500"/>
    </cacheField>
    <cacheField name="Profit" numFmtId="0">
      <sharedItems containsSemiMixedTypes="0" containsString="0" containsNumber="1" minValue="120" maxValue="82500"/>
    </cacheField>
    <cacheField name="City" numFmtId="0">
      <sharedItems count="4">
        <s v="Delhi"/>
        <s v="Ahmedabad"/>
        <s v="Mumbai"/>
        <s v="Bengaluru"/>
      </sharedItems>
    </cacheField>
    <cacheField name="State" numFmtId="0">
      <sharedItems/>
    </cacheField>
    <cacheField name="Region" numFmtId="0">
      <sharedItems/>
    </cacheField>
    <cacheField name="Payment Mode" numFmtId="0">
      <sharedItems/>
    </cacheField>
    <cacheField name="Delivery Status" numFmtId="0">
      <sharedItems/>
    </cacheField>
    <cacheField name="Return Status" numFmtId="0">
      <sharedItems/>
    </cacheField>
    <cacheField name="Rating"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5071480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001"/>
    <d v="2025-04-24T00:00:00"/>
    <s v="C1581"/>
    <x v="0"/>
    <s v="P1002"/>
    <x v="0"/>
    <x v="0"/>
    <x v="0"/>
    <x v="0"/>
    <n v="2"/>
    <n v="800"/>
    <n v="0"/>
    <n v="1600"/>
    <n v="1120"/>
    <n v="480"/>
    <x v="0"/>
    <s v="Delhi"/>
    <s v="North"/>
    <s v="Card"/>
    <s v="Delivered"/>
    <s v="Yes"/>
    <n v="4"/>
  </r>
  <r>
    <s v="ORD00002"/>
    <d v="2025-10-25T00:00:00"/>
    <s v="C1734"/>
    <x v="1"/>
    <s v="P1005"/>
    <x v="1"/>
    <x v="1"/>
    <x v="1"/>
    <x v="1"/>
    <n v="5"/>
    <n v="4500"/>
    <n v="0"/>
    <n v="22500"/>
    <n v="15750"/>
    <n v="6750.0000000000018"/>
    <x v="1"/>
    <s v="Gujarat"/>
    <s v="West"/>
    <s v="UPI"/>
    <s v="Cancelled"/>
    <s v="No"/>
    <n v="5"/>
  </r>
  <r>
    <s v="ORD00003"/>
    <d v="2025-03-18T00:00:00"/>
    <s v="C1714"/>
    <x v="2"/>
    <s v="P1001"/>
    <x v="2"/>
    <x v="0"/>
    <x v="2"/>
    <x v="2"/>
    <n v="5"/>
    <n v="55000"/>
    <n v="10"/>
    <n v="247500"/>
    <n v="192500"/>
    <n v="55000"/>
    <x v="0"/>
    <s v="Delhi"/>
    <s v="North"/>
    <s v="Card"/>
    <s v="Pending"/>
    <s v="No"/>
    <n v="5"/>
  </r>
  <r>
    <s v="ORD00004"/>
    <d v="2025-04-06T00:00:00"/>
    <s v="C1315"/>
    <x v="3"/>
    <s v="P1005"/>
    <x v="1"/>
    <x v="1"/>
    <x v="1"/>
    <x v="1"/>
    <n v="2"/>
    <n v="4500"/>
    <n v="0"/>
    <n v="9000"/>
    <n v="6300"/>
    <n v="2700"/>
    <x v="0"/>
    <s v="Delhi"/>
    <s v="North"/>
    <s v="Cash"/>
    <s v="Delivered"/>
    <s v="Yes"/>
    <n v="2"/>
  </r>
  <r>
    <s v="ORD00005"/>
    <d v="2025-11-17T00:00:00"/>
    <s v="C1397"/>
    <x v="4"/>
    <s v="P1001"/>
    <x v="2"/>
    <x v="0"/>
    <x v="2"/>
    <x v="2"/>
    <n v="3"/>
    <n v="55000"/>
    <n v="15"/>
    <n v="140250"/>
    <n v="115500"/>
    <n v="24750.000000000011"/>
    <x v="1"/>
    <s v="Gujarat"/>
    <s v="West"/>
    <s v="Cash"/>
    <s v="Delivered"/>
    <s v="No"/>
    <n v="2"/>
  </r>
  <r>
    <s v="ORD00006"/>
    <d v="2025-12-01T00:00:00"/>
    <s v="C1589"/>
    <x v="5"/>
    <s v="P1003"/>
    <x v="3"/>
    <x v="0"/>
    <x v="0"/>
    <x v="3"/>
    <n v="4"/>
    <n v="1500"/>
    <n v="10"/>
    <n v="5400"/>
    <n v="4200"/>
    <n v="1200"/>
    <x v="1"/>
    <s v="Gujarat"/>
    <s v="West"/>
    <s v="Card"/>
    <s v="Pending"/>
    <s v="Yes"/>
    <n v="5"/>
  </r>
  <r>
    <s v="ORD00007"/>
    <d v="2025-09-14T00:00:00"/>
    <s v="C1584"/>
    <x v="6"/>
    <s v="P1004"/>
    <x v="4"/>
    <x v="0"/>
    <x v="3"/>
    <x v="4"/>
    <n v="5"/>
    <n v="3500"/>
    <n v="0"/>
    <n v="17500"/>
    <n v="12250"/>
    <n v="5250"/>
    <x v="0"/>
    <s v="Delhi"/>
    <s v="North"/>
    <s v="UPI"/>
    <s v="Cancelled"/>
    <s v="Yes"/>
    <n v="4"/>
  </r>
  <r>
    <s v="ORD00008"/>
    <d v="2025-05-02T00:00:00"/>
    <s v="C1050"/>
    <x v="7"/>
    <s v="P1004"/>
    <x v="4"/>
    <x v="0"/>
    <x v="3"/>
    <x v="4"/>
    <n v="4"/>
    <n v="3500"/>
    <n v="0"/>
    <n v="14000"/>
    <n v="9800"/>
    <n v="4200"/>
    <x v="1"/>
    <s v="Gujarat"/>
    <s v="West"/>
    <s v="Card"/>
    <s v="Delivered"/>
    <s v="Yes"/>
    <n v="3"/>
  </r>
  <r>
    <s v="ORD00009"/>
    <d v="2025-08-06T00:00:00"/>
    <s v="C1766"/>
    <x v="8"/>
    <s v="P1004"/>
    <x v="4"/>
    <x v="0"/>
    <x v="3"/>
    <x v="4"/>
    <n v="2"/>
    <n v="3500"/>
    <n v="15"/>
    <n v="5950"/>
    <n v="4900"/>
    <n v="1050"/>
    <x v="0"/>
    <s v="Delhi"/>
    <s v="North"/>
    <s v="Card"/>
    <s v="Delivered"/>
    <s v="No"/>
    <n v="3"/>
  </r>
  <r>
    <s v="ORD00010"/>
    <d v="2025-10-04T00:00:00"/>
    <s v="C1832"/>
    <x v="9"/>
    <s v="P1005"/>
    <x v="1"/>
    <x v="1"/>
    <x v="1"/>
    <x v="1"/>
    <n v="2"/>
    <n v="4500"/>
    <n v="10"/>
    <n v="8100"/>
    <n v="6300"/>
    <n v="1800"/>
    <x v="1"/>
    <s v="Gujarat"/>
    <s v="West"/>
    <s v="Card"/>
    <s v="Delivered"/>
    <s v="No"/>
    <n v="5"/>
  </r>
  <r>
    <s v="ORD00011"/>
    <d v="2025-06-30T00:00:00"/>
    <s v="C1369"/>
    <x v="10"/>
    <s v="P1003"/>
    <x v="3"/>
    <x v="0"/>
    <x v="0"/>
    <x v="3"/>
    <n v="5"/>
    <n v="1500"/>
    <n v="10"/>
    <n v="6750"/>
    <n v="5250"/>
    <n v="1500"/>
    <x v="0"/>
    <s v="Delhi"/>
    <s v="North"/>
    <s v="UPI"/>
    <s v="Pending"/>
    <s v="Yes"/>
    <n v="1"/>
  </r>
  <r>
    <s v="ORD00012"/>
    <d v="2025-09-11T00:00:00"/>
    <s v="C1514"/>
    <x v="11"/>
    <s v="P1002"/>
    <x v="0"/>
    <x v="0"/>
    <x v="0"/>
    <x v="0"/>
    <n v="5"/>
    <n v="800"/>
    <n v="10"/>
    <n v="3600"/>
    <n v="2800"/>
    <n v="800"/>
    <x v="1"/>
    <s v="Gujarat"/>
    <s v="West"/>
    <s v="Card"/>
    <s v="Pending"/>
    <s v="No"/>
    <n v="1"/>
  </r>
  <r>
    <s v="ORD00013"/>
    <d v="2025-12-16T00:00:00"/>
    <s v="C1828"/>
    <x v="12"/>
    <s v="P1005"/>
    <x v="1"/>
    <x v="1"/>
    <x v="1"/>
    <x v="1"/>
    <n v="2"/>
    <n v="4500"/>
    <n v="15"/>
    <n v="7650"/>
    <n v="6300"/>
    <n v="1350"/>
    <x v="2"/>
    <s v="Maharashtra"/>
    <s v="West"/>
    <s v="Cash"/>
    <s v="Cancelled"/>
    <s v="Yes"/>
    <n v="5"/>
  </r>
  <r>
    <s v="ORD00014"/>
    <d v="2025-09-08T00:00:00"/>
    <s v="C1844"/>
    <x v="13"/>
    <s v="P1003"/>
    <x v="3"/>
    <x v="0"/>
    <x v="0"/>
    <x v="3"/>
    <n v="2"/>
    <n v="1500"/>
    <n v="5"/>
    <n v="2850"/>
    <n v="2100"/>
    <n v="750"/>
    <x v="1"/>
    <s v="Gujarat"/>
    <s v="West"/>
    <s v="UPI"/>
    <s v="Cancelled"/>
    <s v="Yes"/>
    <n v="5"/>
  </r>
  <r>
    <s v="ORD00015"/>
    <d v="2025-02-27T00:00:00"/>
    <s v="C1269"/>
    <x v="14"/>
    <s v="P1003"/>
    <x v="3"/>
    <x v="0"/>
    <x v="0"/>
    <x v="3"/>
    <n v="4"/>
    <n v="1500"/>
    <n v="10"/>
    <n v="5400"/>
    <n v="4200"/>
    <n v="1200"/>
    <x v="2"/>
    <s v="Maharashtra"/>
    <s v="West"/>
    <s v="Card"/>
    <s v="Pending"/>
    <s v="Yes"/>
    <n v="1"/>
  </r>
  <r>
    <s v="ORD00016"/>
    <d v="2025-06-26T00:00:00"/>
    <s v="C1147"/>
    <x v="15"/>
    <s v="P1001"/>
    <x v="2"/>
    <x v="0"/>
    <x v="2"/>
    <x v="2"/>
    <n v="2"/>
    <n v="55000"/>
    <n v="15"/>
    <n v="93500"/>
    <n v="77000"/>
    <n v="16500"/>
    <x v="2"/>
    <s v="Maharashtra"/>
    <s v="West"/>
    <s v="Cash"/>
    <s v="Pending"/>
    <s v="No"/>
    <n v="5"/>
  </r>
  <r>
    <s v="ORD00017"/>
    <d v="2025-05-05T00:00:00"/>
    <s v="C1398"/>
    <x v="16"/>
    <s v="P1004"/>
    <x v="4"/>
    <x v="0"/>
    <x v="3"/>
    <x v="4"/>
    <n v="5"/>
    <n v="3500"/>
    <n v="15"/>
    <n v="14875"/>
    <n v="12250"/>
    <n v="2625"/>
    <x v="3"/>
    <s v="Karnataka"/>
    <s v="South"/>
    <s v="Card"/>
    <s v="Cancelled"/>
    <s v="Yes"/>
    <n v="5"/>
  </r>
  <r>
    <s v="ORD00018"/>
    <d v="2025-12-15T00:00:00"/>
    <s v="C1248"/>
    <x v="17"/>
    <s v="P1001"/>
    <x v="2"/>
    <x v="0"/>
    <x v="2"/>
    <x v="2"/>
    <n v="3"/>
    <n v="55000"/>
    <n v="10"/>
    <n v="148500"/>
    <n v="115500"/>
    <n v="33000.000000000007"/>
    <x v="1"/>
    <s v="Gujarat"/>
    <s v="West"/>
    <s v="Cash"/>
    <s v="Delivered"/>
    <s v="No"/>
    <n v="1"/>
  </r>
  <r>
    <s v="ORD00019"/>
    <d v="2025-07-29T00:00:00"/>
    <s v="C1303"/>
    <x v="18"/>
    <s v="P1001"/>
    <x v="2"/>
    <x v="0"/>
    <x v="2"/>
    <x v="2"/>
    <n v="4"/>
    <n v="55000"/>
    <n v="10"/>
    <n v="198000"/>
    <n v="154000"/>
    <n v="44000"/>
    <x v="0"/>
    <s v="Delhi"/>
    <s v="North"/>
    <s v="Card"/>
    <s v="Pending"/>
    <s v="No"/>
    <n v="4"/>
  </r>
  <r>
    <s v="ORD00020"/>
    <d v="2025-07-02T00:00:00"/>
    <s v="C1807"/>
    <x v="19"/>
    <s v="P1001"/>
    <x v="2"/>
    <x v="0"/>
    <x v="2"/>
    <x v="2"/>
    <n v="1"/>
    <n v="55000"/>
    <n v="5"/>
    <n v="52250"/>
    <n v="38500"/>
    <n v="13750"/>
    <x v="3"/>
    <s v="Karnataka"/>
    <s v="South"/>
    <s v="Cash"/>
    <s v="Cancelled"/>
    <s v="No"/>
    <n v="1"/>
  </r>
  <r>
    <s v="ORD00021"/>
    <d v="2025-01-30T00:00:00"/>
    <s v="C1362"/>
    <x v="20"/>
    <s v="P1002"/>
    <x v="0"/>
    <x v="0"/>
    <x v="0"/>
    <x v="0"/>
    <n v="1"/>
    <n v="800"/>
    <n v="15"/>
    <n v="680"/>
    <n v="560"/>
    <n v="120"/>
    <x v="3"/>
    <s v="Karnataka"/>
    <s v="South"/>
    <s v="Card"/>
    <s v="Cancelled"/>
    <s v="No"/>
    <n v="5"/>
  </r>
  <r>
    <s v="ORD00022"/>
    <d v="2025-11-17T00:00:00"/>
    <s v="C1680"/>
    <x v="21"/>
    <s v="P1005"/>
    <x v="1"/>
    <x v="1"/>
    <x v="1"/>
    <x v="1"/>
    <n v="3"/>
    <n v="4500"/>
    <n v="10"/>
    <n v="12150"/>
    <n v="9450"/>
    <n v="2700"/>
    <x v="3"/>
    <s v="Karnataka"/>
    <s v="South"/>
    <s v="Cash"/>
    <s v="Pending"/>
    <s v="Yes"/>
    <n v="3"/>
  </r>
  <r>
    <s v="ORD00023"/>
    <d v="2025-08-26T00:00:00"/>
    <s v="C1785"/>
    <x v="22"/>
    <s v="P1005"/>
    <x v="1"/>
    <x v="1"/>
    <x v="1"/>
    <x v="1"/>
    <n v="1"/>
    <n v="4500"/>
    <n v="15"/>
    <n v="3825"/>
    <n v="3150"/>
    <n v="675"/>
    <x v="1"/>
    <s v="Gujarat"/>
    <s v="West"/>
    <s v="UPI"/>
    <s v="Cancelled"/>
    <s v="Yes"/>
    <n v="2"/>
  </r>
  <r>
    <s v="ORD00024"/>
    <d v="2025-06-15T00:00:00"/>
    <s v="C1379"/>
    <x v="23"/>
    <s v="P1005"/>
    <x v="1"/>
    <x v="1"/>
    <x v="1"/>
    <x v="1"/>
    <n v="5"/>
    <n v="4500"/>
    <n v="0"/>
    <n v="22500"/>
    <n v="15750"/>
    <n v="6750.0000000000018"/>
    <x v="3"/>
    <s v="Karnataka"/>
    <s v="South"/>
    <s v="Cash"/>
    <s v="Cancelled"/>
    <s v="Yes"/>
    <n v="2"/>
  </r>
  <r>
    <s v="ORD00025"/>
    <d v="2025-01-25T00:00:00"/>
    <s v="C1492"/>
    <x v="24"/>
    <s v="P1005"/>
    <x v="1"/>
    <x v="1"/>
    <x v="1"/>
    <x v="1"/>
    <n v="5"/>
    <n v="4500"/>
    <n v="0"/>
    <n v="22500"/>
    <n v="15750"/>
    <n v="6750.0000000000018"/>
    <x v="3"/>
    <s v="Karnataka"/>
    <s v="South"/>
    <s v="Card"/>
    <s v="Pending"/>
    <s v="No"/>
    <n v="5"/>
  </r>
  <r>
    <s v="ORD00026"/>
    <d v="2025-08-28T00:00:00"/>
    <s v="C1616"/>
    <x v="25"/>
    <s v="P1004"/>
    <x v="4"/>
    <x v="0"/>
    <x v="3"/>
    <x v="4"/>
    <n v="3"/>
    <n v="3500"/>
    <n v="10"/>
    <n v="9450"/>
    <n v="7349.9999999999991"/>
    <n v="2100.0000000000009"/>
    <x v="2"/>
    <s v="Maharashtra"/>
    <s v="West"/>
    <s v="Card"/>
    <s v="Delivered"/>
    <s v="No"/>
    <n v="3"/>
  </r>
  <r>
    <s v="ORD00027"/>
    <d v="2025-07-11T00:00:00"/>
    <s v="C1620"/>
    <x v="26"/>
    <s v="P1003"/>
    <x v="3"/>
    <x v="0"/>
    <x v="0"/>
    <x v="3"/>
    <n v="4"/>
    <n v="1500"/>
    <n v="10"/>
    <n v="5400"/>
    <n v="4200"/>
    <n v="1200"/>
    <x v="3"/>
    <s v="Karnataka"/>
    <s v="South"/>
    <s v="UPI"/>
    <s v="Pending"/>
    <s v="No"/>
    <n v="3"/>
  </r>
  <r>
    <s v="ORD00028"/>
    <d v="2025-11-13T00:00:00"/>
    <s v="C1821"/>
    <x v="27"/>
    <s v="P1004"/>
    <x v="4"/>
    <x v="0"/>
    <x v="3"/>
    <x v="4"/>
    <n v="3"/>
    <n v="3500"/>
    <n v="0"/>
    <n v="10500"/>
    <n v="7349.9999999999991"/>
    <n v="3150.0000000000009"/>
    <x v="3"/>
    <s v="Karnataka"/>
    <s v="South"/>
    <s v="Cash"/>
    <s v="Cancelled"/>
    <s v="No"/>
    <n v="3"/>
  </r>
  <r>
    <s v="ORD00029"/>
    <d v="2025-02-24T00:00:00"/>
    <s v="C1545"/>
    <x v="28"/>
    <s v="P1002"/>
    <x v="0"/>
    <x v="0"/>
    <x v="0"/>
    <x v="0"/>
    <n v="5"/>
    <n v="800"/>
    <n v="10"/>
    <n v="3600"/>
    <n v="2800"/>
    <n v="800"/>
    <x v="1"/>
    <s v="Gujarat"/>
    <s v="West"/>
    <s v="Cash"/>
    <s v="Cancelled"/>
    <s v="No"/>
    <n v="2"/>
  </r>
  <r>
    <s v="ORD00030"/>
    <d v="2025-05-04T00:00:00"/>
    <s v="C1662"/>
    <x v="29"/>
    <s v="P1005"/>
    <x v="1"/>
    <x v="1"/>
    <x v="1"/>
    <x v="1"/>
    <n v="1"/>
    <n v="4500"/>
    <n v="5"/>
    <n v="4275"/>
    <n v="3150"/>
    <n v="1125"/>
    <x v="0"/>
    <s v="Delhi"/>
    <s v="North"/>
    <s v="Card"/>
    <s v="Delivered"/>
    <s v="Yes"/>
    <n v="3"/>
  </r>
  <r>
    <s v="ORD00031"/>
    <d v="2025-06-09T00:00:00"/>
    <s v="C1294"/>
    <x v="30"/>
    <s v="P1002"/>
    <x v="0"/>
    <x v="0"/>
    <x v="0"/>
    <x v="0"/>
    <n v="4"/>
    <n v="800"/>
    <n v="15"/>
    <n v="2720"/>
    <n v="2240"/>
    <n v="480"/>
    <x v="0"/>
    <s v="Delhi"/>
    <s v="North"/>
    <s v="Cash"/>
    <s v="Delivered"/>
    <s v="No"/>
    <n v="3"/>
  </r>
  <r>
    <s v="ORD00032"/>
    <d v="2025-10-03T00:00:00"/>
    <s v="C1743"/>
    <x v="31"/>
    <s v="P1002"/>
    <x v="0"/>
    <x v="0"/>
    <x v="0"/>
    <x v="0"/>
    <n v="4"/>
    <n v="800"/>
    <n v="15"/>
    <n v="2720"/>
    <n v="2240"/>
    <n v="480"/>
    <x v="2"/>
    <s v="Maharashtra"/>
    <s v="West"/>
    <s v="Card"/>
    <s v="Pending"/>
    <s v="Yes"/>
    <n v="4"/>
  </r>
  <r>
    <s v="ORD00033"/>
    <d v="2025-03-15T00:00:00"/>
    <s v="C1659"/>
    <x v="32"/>
    <s v="P1003"/>
    <x v="3"/>
    <x v="0"/>
    <x v="0"/>
    <x v="3"/>
    <n v="3"/>
    <n v="1500"/>
    <n v="15"/>
    <n v="3825"/>
    <n v="3150"/>
    <n v="675"/>
    <x v="3"/>
    <s v="Karnataka"/>
    <s v="South"/>
    <s v="UPI"/>
    <s v="Cancelled"/>
    <s v="Yes"/>
    <n v="3"/>
  </r>
  <r>
    <s v="ORD00034"/>
    <d v="2025-06-29T00:00:00"/>
    <s v="C1855"/>
    <x v="33"/>
    <s v="P1004"/>
    <x v="4"/>
    <x v="0"/>
    <x v="3"/>
    <x v="4"/>
    <n v="1"/>
    <n v="3500"/>
    <n v="15"/>
    <n v="2975"/>
    <n v="2450"/>
    <n v="525"/>
    <x v="1"/>
    <s v="Gujarat"/>
    <s v="West"/>
    <s v="Card"/>
    <s v="Pending"/>
    <s v="No"/>
    <n v="4"/>
  </r>
  <r>
    <s v="ORD00035"/>
    <d v="2025-04-18T00:00:00"/>
    <s v="C1505"/>
    <x v="34"/>
    <s v="P1005"/>
    <x v="1"/>
    <x v="1"/>
    <x v="1"/>
    <x v="1"/>
    <n v="1"/>
    <n v="4500"/>
    <n v="5"/>
    <n v="4275"/>
    <n v="3150"/>
    <n v="1125"/>
    <x v="3"/>
    <s v="Karnataka"/>
    <s v="South"/>
    <s v="Cash"/>
    <s v="Pending"/>
    <s v="No"/>
    <n v="4"/>
  </r>
  <r>
    <s v="ORD00036"/>
    <d v="2025-09-22T00:00:00"/>
    <s v="C1391"/>
    <x v="35"/>
    <s v="P1001"/>
    <x v="2"/>
    <x v="0"/>
    <x v="2"/>
    <x v="2"/>
    <n v="3"/>
    <n v="55000"/>
    <n v="0"/>
    <n v="165000"/>
    <n v="115500"/>
    <n v="49500.000000000007"/>
    <x v="2"/>
    <s v="Maharashtra"/>
    <s v="West"/>
    <s v="Card"/>
    <s v="Pending"/>
    <s v="No"/>
    <n v="3"/>
  </r>
  <r>
    <s v="ORD00037"/>
    <d v="2025-05-16T00:00:00"/>
    <s v="C1502"/>
    <x v="36"/>
    <s v="P1003"/>
    <x v="3"/>
    <x v="0"/>
    <x v="0"/>
    <x v="3"/>
    <n v="2"/>
    <n v="1500"/>
    <n v="5"/>
    <n v="2850"/>
    <n v="2100"/>
    <n v="750"/>
    <x v="0"/>
    <s v="Delhi"/>
    <s v="North"/>
    <s v="Card"/>
    <s v="Cancelled"/>
    <s v="Yes"/>
    <n v="2"/>
  </r>
  <r>
    <s v="ORD00038"/>
    <d v="2025-07-05T00:00:00"/>
    <s v="C1703"/>
    <x v="37"/>
    <s v="P1003"/>
    <x v="3"/>
    <x v="0"/>
    <x v="0"/>
    <x v="3"/>
    <n v="1"/>
    <n v="1500"/>
    <n v="15"/>
    <n v="1275"/>
    <n v="1050"/>
    <n v="225"/>
    <x v="3"/>
    <s v="Karnataka"/>
    <s v="South"/>
    <s v="Cash"/>
    <s v="Cancelled"/>
    <s v="No"/>
    <n v="2"/>
  </r>
  <r>
    <s v="ORD00039"/>
    <d v="2025-09-16T00:00:00"/>
    <s v="C1434"/>
    <x v="0"/>
    <s v="P1005"/>
    <x v="1"/>
    <x v="1"/>
    <x v="1"/>
    <x v="1"/>
    <n v="4"/>
    <n v="4500"/>
    <n v="10"/>
    <n v="16200"/>
    <n v="12600"/>
    <n v="3600"/>
    <x v="0"/>
    <s v="Delhi"/>
    <s v="North"/>
    <s v="Cash"/>
    <s v="Delivered"/>
    <s v="Yes"/>
    <n v="1"/>
  </r>
  <r>
    <s v="ORD00040"/>
    <d v="2025-12-04T00:00:00"/>
    <s v="C1661"/>
    <x v="38"/>
    <s v="P1001"/>
    <x v="2"/>
    <x v="0"/>
    <x v="2"/>
    <x v="2"/>
    <n v="5"/>
    <n v="55000"/>
    <n v="10"/>
    <n v="247500"/>
    <n v="192500"/>
    <n v="55000"/>
    <x v="0"/>
    <s v="Delhi"/>
    <s v="North"/>
    <s v="Card"/>
    <s v="Pending"/>
    <s v="No"/>
    <n v="1"/>
  </r>
  <r>
    <s v="ORD00041"/>
    <d v="2025-08-06T00:00:00"/>
    <s v="C1205"/>
    <x v="39"/>
    <s v="P1002"/>
    <x v="0"/>
    <x v="0"/>
    <x v="0"/>
    <x v="0"/>
    <n v="4"/>
    <n v="800"/>
    <n v="0"/>
    <n v="3200"/>
    <n v="2240"/>
    <n v="960"/>
    <x v="0"/>
    <s v="Delhi"/>
    <s v="North"/>
    <s v="UPI"/>
    <s v="Pending"/>
    <s v="Yes"/>
    <n v="4"/>
  </r>
  <r>
    <s v="ORD00042"/>
    <d v="2025-03-19T00:00:00"/>
    <s v="C1046"/>
    <x v="40"/>
    <s v="P1004"/>
    <x v="4"/>
    <x v="0"/>
    <x v="3"/>
    <x v="4"/>
    <n v="5"/>
    <n v="3500"/>
    <n v="10"/>
    <n v="15750"/>
    <n v="12250"/>
    <n v="3500"/>
    <x v="0"/>
    <s v="Delhi"/>
    <s v="North"/>
    <s v="Card"/>
    <s v="Pending"/>
    <s v="Yes"/>
    <n v="2"/>
  </r>
  <r>
    <s v="ORD00043"/>
    <d v="2025-07-29T00:00:00"/>
    <s v="C1510"/>
    <x v="41"/>
    <s v="P1003"/>
    <x v="3"/>
    <x v="0"/>
    <x v="0"/>
    <x v="3"/>
    <n v="3"/>
    <n v="1500"/>
    <n v="5"/>
    <n v="4275"/>
    <n v="3150"/>
    <n v="1125"/>
    <x v="3"/>
    <s v="Karnataka"/>
    <s v="South"/>
    <s v="Cash"/>
    <s v="Pending"/>
    <s v="No"/>
    <n v="1"/>
  </r>
  <r>
    <s v="ORD00044"/>
    <d v="2025-09-23T00:00:00"/>
    <s v="C1959"/>
    <x v="42"/>
    <s v="P1004"/>
    <x v="4"/>
    <x v="0"/>
    <x v="3"/>
    <x v="4"/>
    <n v="3"/>
    <n v="3500"/>
    <n v="0"/>
    <n v="10500"/>
    <n v="7349.9999999999991"/>
    <n v="3150.0000000000009"/>
    <x v="2"/>
    <s v="Maharashtra"/>
    <s v="West"/>
    <s v="Cash"/>
    <s v="Pending"/>
    <s v="Yes"/>
    <n v="1"/>
  </r>
  <r>
    <s v="ORD00045"/>
    <d v="2025-08-26T00:00:00"/>
    <s v="C1919"/>
    <x v="43"/>
    <s v="P1002"/>
    <x v="0"/>
    <x v="0"/>
    <x v="0"/>
    <x v="0"/>
    <n v="4"/>
    <n v="800"/>
    <n v="10"/>
    <n v="2880"/>
    <n v="2240"/>
    <n v="640"/>
    <x v="1"/>
    <s v="Gujarat"/>
    <s v="West"/>
    <s v="Cash"/>
    <s v="Delivered"/>
    <s v="Yes"/>
    <n v="4"/>
  </r>
  <r>
    <s v="ORD00046"/>
    <d v="2025-01-26T00:00:00"/>
    <s v="C1621"/>
    <x v="44"/>
    <s v="P1002"/>
    <x v="0"/>
    <x v="0"/>
    <x v="0"/>
    <x v="0"/>
    <n v="2"/>
    <n v="800"/>
    <n v="10"/>
    <n v="1440"/>
    <n v="1120"/>
    <n v="320"/>
    <x v="2"/>
    <s v="Maharashtra"/>
    <s v="West"/>
    <s v="UPI"/>
    <s v="Delivered"/>
    <s v="No"/>
    <n v="2"/>
  </r>
  <r>
    <s v="ORD00047"/>
    <d v="2025-04-15T00:00:00"/>
    <s v="C1938"/>
    <x v="45"/>
    <s v="P1005"/>
    <x v="1"/>
    <x v="1"/>
    <x v="1"/>
    <x v="1"/>
    <n v="5"/>
    <n v="4500"/>
    <n v="15"/>
    <n v="19125"/>
    <n v="15750"/>
    <n v="3375.0000000000018"/>
    <x v="3"/>
    <s v="Karnataka"/>
    <s v="South"/>
    <s v="UPI"/>
    <s v="Cancelled"/>
    <s v="Yes"/>
    <n v="3"/>
  </r>
  <r>
    <s v="ORD00048"/>
    <d v="2025-06-24T00:00:00"/>
    <s v="C1443"/>
    <x v="46"/>
    <s v="P1003"/>
    <x v="3"/>
    <x v="0"/>
    <x v="0"/>
    <x v="3"/>
    <n v="2"/>
    <n v="1500"/>
    <n v="0"/>
    <n v="3000"/>
    <n v="2100"/>
    <n v="900"/>
    <x v="3"/>
    <s v="Karnataka"/>
    <s v="South"/>
    <s v="UPI"/>
    <s v="Pending"/>
    <s v="Yes"/>
    <n v="4"/>
  </r>
  <r>
    <s v="ORD00049"/>
    <d v="2025-02-08T00:00:00"/>
    <s v="C1953"/>
    <x v="47"/>
    <s v="P1001"/>
    <x v="2"/>
    <x v="0"/>
    <x v="2"/>
    <x v="2"/>
    <n v="3"/>
    <n v="55000"/>
    <n v="5"/>
    <n v="156750"/>
    <n v="115500"/>
    <n v="41250.000000000007"/>
    <x v="2"/>
    <s v="Maharashtra"/>
    <s v="West"/>
    <s v="Cash"/>
    <s v="Cancelled"/>
    <s v="Yes"/>
    <n v="2"/>
  </r>
  <r>
    <s v="ORD00050"/>
    <d v="2025-12-06T00:00:00"/>
    <s v="C1928"/>
    <x v="48"/>
    <s v="P1001"/>
    <x v="2"/>
    <x v="0"/>
    <x v="2"/>
    <x v="2"/>
    <n v="3"/>
    <n v="55000"/>
    <n v="0"/>
    <n v="165000"/>
    <n v="115500"/>
    <n v="49500.000000000007"/>
    <x v="1"/>
    <s v="Gujarat"/>
    <s v="West"/>
    <s v="Cash"/>
    <s v="Cancelled"/>
    <s v="No"/>
    <n v="1"/>
  </r>
  <r>
    <s v="ORD00051"/>
    <d v="2025-07-19T00:00:00"/>
    <s v="C1699"/>
    <x v="49"/>
    <s v="P1003"/>
    <x v="3"/>
    <x v="0"/>
    <x v="0"/>
    <x v="3"/>
    <n v="3"/>
    <n v="1500"/>
    <n v="15"/>
    <n v="3825"/>
    <n v="3150"/>
    <n v="675"/>
    <x v="3"/>
    <s v="Karnataka"/>
    <s v="South"/>
    <s v="Card"/>
    <s v="Cancelled"/>
    <s v="Yes"/>
    <n v="3"/>
  </r>
  <r>
    <s v="ORD00052"/>
    <d v="2025-04-04T00:00:00"/>
    <s v="C1306"/>
    <x v="50"/>
    <s v="P1004"/>
    <x v="4"/>
    <x v="0"/>
    <x v="3"/>
    <x v="4"/>
    <n v="4"/>
    <n v="3500"/>
    <n v="15"/>
    <n v="11900"/>
    <n v="9800"/>
    <n v="2100"/>
    <x v="0"/>
    <s v="Delhi"/>
    <s v="North"/>
    <s v="Cash"/>
    <s v="Cancelled"/>
    <s v="No"/>
    <n v="2"/>
  </r>
  <r>
    <s v="ORD00053"/>
    <d v="2025-08-22T00:00:00"/>
    <s v="C1517"/>
    <x v="51"/>
    <s v="P1001"/>
    <x v="2"/>
    <x v="0"/>
    <x v="2"/>
    <x v="2"/>
    <n v="2"/>
    <n v="55000"/>
    <n v="10"/>
    <n v="99000"/>
    <n v="77000"/>
    <n v="22000"/>
    <x v="1"/>
    <s v="Gujarat"/>
    <s v="West"/>
    <s v="Card"/>
    <s v="Delivered"/>
    <s v="No"/>
    <n v="5"/>
  </r>
  <r>
    <s v="ORD00054"/>
    <d v="2025-09-25T00:00:00"/>
    <s v="C1928"/>
    <x v="52"/>
    <s v="P1001"/>
    <x v="2"/>
    <x v="0"/>
    <x v="2"/>
    <x v="2"/>
    <n v="4"/>
    <n v="55000"/>
    <n v="10"/>
    <n v="198000"/>
    <n v="154000"/>
    <n v="44000"/>
    <x v="2"/>
    <s v="Maharashtra"/>
    <s v="West"/>
    <s v="Card"/>
    <s v="Delivered"/>
    <s v="Yes"/>
    <n v="4"/>
  </r>
  <r>
    <s v="ORD00055"/>
    <d v="2025-07-20T00:00:00"/>
    <s v="C1383"/>
    <x v="53"/>
    <s v="P1002"/>
    <x v="0"/>
    <x v="0"/>
    <x v="0"/>
    <x v="0"/>
    <n v="5"/>
    <n v="800"/>
    <n v="10"/>
    <n v="3600"/>
    <n v="2800"/>
    <n v="800"/>
    <x v="1"/>
    <s v="Gujarat"/>
    <s v="West"/>
    <s v="Cash"/>
    <s v="Cancelled"/>
    <s v="Yes"/>
    <n v="5"/>
  </r>
  <r>
    <s v="ORD00056"/>
    <d v="2025-02-07T00:00:00"/>
    <s v="C1582"/>
    <x v="54"/>
    <s v="P1004"/>
    <x v="4"/>
    <x v="0"/>
    <x v="3"/>
    <x v="4"/>
    <n v="4"/>
    <n v="3500"/>
    <n v="10"/>
    <n v="12600"/>
    <n v="9800"/>
    <n v="2800"/>
    <x v="0"/>
    <s v="Delhi"/>
    <s v="North"/>
    <s v="UPI"/>
    <s v="Delivered"/>
    <s v="No"/>
    <n v="2"/>
  </r>
  <r>
    <s v="ORD00057"/>
    <d v="2025-05-13T00:00:00"/>
    <s v="C1260"/>
    <x v="26"/>
    <s v="P1004"/>
    <x v="4"/>
    <x v="0"/>
    <x v="3"/>
    <x v="4"/>
    <n v="3"/>
    <n v="3500"/>
    <n v="15"/>
    <n v="8925"/>
    <n v="7349.9999999999991"/>
    <n v="1575.0000000000009"/>
    <x v="2"/>
    <s v="Maharashtra"/>
    <s v="West"/>
    <s v="Cash"/>
    <s v="Delivered"/>
    <s v="No"/>
    <n v="3"/>
  </r>
  <r>
    <s v="ORD00058"/>
    <d v="2025-10-14T00:00:00"/>
    <s v="C1363"/>
    <x v="55"/>
    <s v="P1003"/>
    <x v="3"/>
    <x v="0"/>
    <x v="0"/>
    <x v="3"/>
    <n v="5"/>
    <n v="1500"/>
    <n v="5"/>
    <n v="7125"/>
    <n v="5250"/>
    <n v="1875"/>
    <x v="3"/>
    <s v="Karnataka"/>
    <s v="South"/>
    <s v="UPI"/>
    <s v="Delivered"/>
    <s v="No"/>
    <n v="1"/>
  </r>
  <r>
    <s v="ORD00059"/>
    <d v="2025-10-02T00:00:00"/>
    <s v="C1802"/>
    <x v="56"/>
    <s v="P1004"/>
    <x v="4"/>
    <x v="0"/>
    <x v="3"/>
    <x v="4"/>
    <n v="5"/>
    <n v="3500"/>
    <n v="5"/>
    <n v="16625"/>
    <n v="12250"/>
    <n v="4375"/>
    <x v="1"/>
    <s v="Gujarat"/>
    <s v="West"/>
    <s v="Card"/>
    <s v="Pending"/>
    <s v="Yes"/>
    <n v="4"/>
  </r>
  <r>
    <s v="ORD00060"/>
    <d v="2025-07-01T00:00:00"/>
    <s v="C1086"/>
    <x v="57"/>
    <s v="P1003"/>
    <x v="3"/>
    <x v="0"/>
    <x v="0"/>
    <x v="3"/>
    <n v="2"/>
    <n v="1500"/>
    <n v="15"/>
    <n v="2550"/>
    <n v="2100"/>
    <n v="450"/>
    <x v="2"/>
    <s v="Maharashtra"/>
    <s v="West"/>
    <s v="UPI"/>
    <s v="Pending"/>
    <s v="No"/>
    <n v="1"/>
  </r>
  <r>
    <s v="ORD00061"/>
    <d v="2025-08-23T00:00:00"/>
    <s v="C1400"/>
    <x v="58"/>
    <s v="P1003"/>
    <x v="3"/>
    <x v="0"/>
    <x v="0"/>
    <x v="3"/>
    <n v="3"/>
    <n v="1500"/>
    <n v="0"/>
    <n v="4500"/>
    <n v="3150"/>
    <n v="1350"/>
    <x v="2"/>
    <s v="Maharashtra"/>
    <s v="West"/>
    <s v="Card"/>
    <s v="Pending"/>
    <s v="No"/>
    <n v="4"/>
  </r>
  <r>
    <s v="ORD00062"/>
    <d v="2025-04-16T00:00:00"/>
    <s v="C1279"/>
    <x v="59"/>
    <s v="P1002"/>
    <x v="0"/>
    <x v="0"/>
    <x v="0"/>
    <x v="0"/>
    <n v="4"/>
    <n v="800"/>
    <n v="0"/>
    <n v="3200"/>
    <n v="2240"/>
    <n v="960"/>
    <x v="3"/>
    <s v="Karnataka"/>
    <s v="South"/>
    <s v="Cash"/>
    <s v="Cancelled"/>
    <s v="No"/>
    <n v="1"/>
  </r>
  <r>
    <s v="ORD00063"/>
    <d v="2025-11-10T00:00:00"/>
    <s v="C1395"/>
    <x v="60"/>
    <s v="P1002"/>
    <x v="0"/>
    <x v="0"/>
    <x v="0"/>
    <x v="0"/>
    <n v="1"/>
    <n v="800"/>
    <n v="15"/>
    <n v="680"/>
    <n v="560"/>
    <n v="120"/>
    <x v="0"/>
    <s v="Delhi"/>
    <s v="North"/>
    <s v="UPI"/>
    <s v="Pending"/>
    <s v="No"/>
    <n v="5"/>
  </r>
  <r>
    <s v="ORD00064"/>
    <d v="2025-07-11T00:00:00"/>
    <s v="C1287"/>
    <x v="61"/>
    <s v="P1004"/>
    <x v="4"/>
    <x v="0"/>
    <x v="3"/>
    <x v="4"/>
    <n v="2"/>
    <n v="3500"/>
    <n v="5"/>
    <n v="6650"/>
    <n v="4900"/>
    <n v="1750"/>
    <x v="1"/>
    <s v="Gujarat"/>
    <s v="West"/>
    <s v="Card"/>
    <s v="Delivered"/>
    <s v="No"/>
    <n v="4"/>
  </r>
  <r>
    <s v="ORD00065"/>
    <d v="2025-11-13T00:00:00"/>
    <s v="C1700"/>
    <x v="62"/>
    <s v="P1004"/>
    <x v="4"/>
    <x v="0"/>
    <x v="3"/>
    <x v="4"/>
    <n v="4"/>
    <n v="3500"/>
    <n v="0"/>
    <n v="14000"/>
    <n v="9800"/>
    <n v="4200"/>
    <x v="0"/>
    <s v="Delhi"/>
    <s v="North"/>
    <s v="Cash"/>
    <s v="Pending"/>
    <s v="Yes"/>
    <n v="4"/>
  </r>
  <r>
    <s v="ORD00066"/>
    <d v="2025-03-11T00:00:00"/>
    <s v="C1543"/>
    <x v="34"/>
    <s v="P1005"/>
    <x v="1"/>
    <x v="1"/>
    <x v="1"/>
    <x v="1"/>
    <n v="5"/>
    <n v="4500"/>
    <n v="15"/>
    <n v="19125"/>
    <n v="15750"/>
    <n v="3375.0000000000018"/>
    <x v="1"/>
    <s v="Gujarat"/>
    <s v="West"/>
    <s v="Cash"/>
    <s v="Pending"/>
    <s v="Yes"/>
    <n v="1"/>
  </r>
  <r>
    <s v="ORD00067"/>
    <d v="2025-10-14T00:00:00"/>
    <s v="C1416"/>
    <x v="63"/>
    <s v="P1001"/>
    <x v="2"/>
    <x v="0"/>
    <x v="2"/>
    <x v="2"/>
    <n v="5"/>
    <n v="55000"/>
    <n v="15"/>
    <n v="233750"/>
    <n v="192500"/>
    <n v="41250"/>
    <x v="0"/>
    <s v="Delhi"/>
    <s v="North"/>
    <s v="UPI"/>
    <s v="Delivered"/>
    <s v="Yes"/>
    <n v="2"/>
  </r>
  <r>
    <s v="ORD00068"/>
    <d v="2025-08-10T00:00:00"/>
    <s v="C1853"/>
    <x v="64"/>
    <s v="P1002"/>
    <x v="0"/>
    <x v="0"/>
    <x v="0"/>
    <x v="0"/>
    <n v="5"/>
    <n v="800"/>
    <n v="15"/>
    <n v="3400"/>
    <n v="2800"/>
    <n v="600"/>
    <x v="3"/>
    <s v="Karnataka"/>
    <s v="South"/>
    <s v="Card"/>
    <s v="Cancelled"/>
    <s v="Yes"/>
    <n v="5"/>
  </r>
  <r>
    <s v="ORD00069"/>
    <d v="2025-07-23T00:00:00"/>
    <s v="C1868"/>
    <x v="54"/>
    <s v="P1002"/>
    <x v="0"/>
    <x v="0"/>
    <x v="0"/>
    <x v="0"/>
    <n v="4"/>
    <n v="800"/>
    <n v="5"/>
    <n v="3040"/>
    <n v="2240"/>
    <n v="800"/>
    <x v="1"/>
    <s v="Gujarat"/>
    <s v="West"/>
    <s v="UPI"/>
    <s v="Delivered"/>
    <s v="Yes"/>
    <n v="5"/>
  </r>
  <r>
    <s v="ORD00070"/>
    <d v="2025-10-11T00:00:00"/>
    <s v="C1988"/>
    <x v="65"/>
    <s v="P1001"/>
    <x v="2"/>
    <x v="0"/>
    <x v="2"/>
    <x v="2"/>
    <n v="3"/>
    <n v="55000"/>
    <n v="5"/>
    <n v="156750"/>
    <n v="115500"/>
    <n v="41250.000000000007"/>
    <x v="0"/>
    <s v="Delhi"/>
    <s v="North"/>
    <s v="Cash"/>
    <s v="Cancelled"/>
    <s v="Yes"/>
    <n v="2"/>
  </r>
  <r>
    <s v="ORD00071"/>
    <d v="2025-05-17T00:00:00"/>
    <s v="C1748"/>
    <x v="66"/>
    <s v="P1003"/>
    <x v="3"/>
    <x v="0"/>
    <x v="0"/>
    <x v="3"/>
    <n v="1"/>
    <n v="1500"/>
    <n v="5"/>
    <n v="1425"/>
    <n v="1050"/>
    <n v="375"/>
    <x v="1"/>
    <s v="Gujarat"/>
    <s v="West"/>
    <s v="UPI"/>
    <s v="Cancelled"/>
    <s v="No"/>
    <n v="3"/>
  </r>
  <r>
    <s v="ORD00072"/>
    <d v="2025-07-27T00:00:00"/>
    <s v="C1296"/>
    <x v="67"/>
    <s v="P1002"/>
    <x v="0"/>
    <x v="0"/>
    <x v="0"/>
    <x v="0"/>
    <n v="3"/>
    <n v="800"/>
    <n v="15"/>
    <n v="2040"/>
    <n v="1680"/>
    <n v="360"/>
    <x v="1"/>
    <s v="Gujarat"/>
    <s v="West"/>
    <s v="Cash"/>
    <s v="Pending"/>
    <s v="No"/>
    <n v="4"/>
  </r>
  <r>
    <s v="ORD00073"/>
    <d v="2025-04-12T00:00:00"/>
    <s v="C1303"/>
    <x v="68"/>
    <s v="P1005"/>
    <x v="1"/>
    <x v="1"/>
    <x v="1"/>
    <x v="1"/>
    <n v="4"/>
    <n v="4500"/>
    <n v="10"/>
    <n v="16200"/>
    <n v="12600"/>
    <n v="3600"/>
    <x v="3"/>
    <s v="Karnataka"/>
    <s v="South"/>
    <s v="UPI"/>
    <s v="Pending"/>
    <s v="No"/>
    <n v="2"/>
  </r>
  <r>
    <s v="ORD00074"/>
    <d v="2025-07-26T00:00:00"/>
    <s v="C1721"/>
    <x v="69"/>
    <s v="P1005"/>
    <x v="1"/>
    <x v="1"/>
    <x v="1"/>
    <x v="1"/>
    <n v="3"/>
    <n v="4500"/>
    <n v="10"/>
    <n v="12150"/>
    <n v="9450"/>
    <n v="2700"/>
    <x v="2"/>
    <s v="Maharashtra"/>
    <s v="West"/>
    <s v="Card"/>
    <s v="Cancelled"/>
    <s v="Yes"/>
    <n v="2"/>
  </r>
  <r>
    <s v="ORD00075"/>
    <d v="2025-04-03T00:00:00"/>
    <s v="C1558"/>
    <x v="70"/>
    <s v="P1004"/>
    <x v="4"/>
    <x v="0"/>
    <x v="3"/>
    <x v="4"/>
    <n v="2"/>
    <n v="3500"/>
    <n v="10"/>
    <n v="6300"/>
    <n v="4900"/>
    <n v="1400"/>
    <x v="0"/>
    <s v="Delhi"/>
    <s v="North"/>
    <s v="Cash"/>
    <s v="Pending"/>
    <s v="No"/>
    <n v="2"/>
  </r>
  <r>
    <s v="ORD00076"/>
    <d v="2025-10-23T00:00:00"/>
    <s v="C1708"/>
    <x v="71"/>
    <s v="P1002"/>
    <x v="0"/>
    <x v="0"/>
    <x v="0"/>
    <x v="0"/>
    <n v="1"/>
    <n v="800"/>
    <n v="5"/>
    <n v="760"/>
    <n v="560"/>
    <n v="200"/>
    <x v="1"/>
    <s v="Gujarat"/>
    <s v="West"/>
    <s v="Card"/>
    <s v="Delivered"/>
    <s v="No"/>
    <n v="2"/>
  </r>
  <r>
    <s v="ORD00077"/>
    <d v="2025-05-29T00:00:00"/>
    <s v="C1898"/>
    <x v="72"/>
    <s v="P1003"/>
    <x v="3"/>
    <x v="0"/>
    <x v="0"/>
    <x v="3"/>
    <n v="4"/>
    <n v="1500"/>
    <n v="15"/>
    <n v="5100"/>
    <n v="4200"/>
    <n v="900"/>
    <x v="1"/>
    <s v="Gujarat"/>
    <s v="West"/>
    <s v="Cash"/>
    <s v="Cancelled"/>
    <s v="Yes"/>
    <n v="5"/>
  </r>
  <r>
    <s v="ORD00078"/>
    <d v="2025-06-01T00:00:00"/>
    <s v="C1849"/>
    <x v="73"/>
    <s v="P1001"/>
    <x v="2"/>
    <x v="0"/>
    <x v="2"/>
    <x v="2"/>
    <n v="3"/>
    <n v="55000"/>
    <n v="10"/>
    <n v="148500"/>
    <n v="115500"/>
    <n v="33000.000000000007"/>
    <x v="1"/>
    <s v="Gujarat"/>
    <s v="West"/>
    <s v="Card"/>
    <s v="Cancelled"/>
    <s v="Yes"/>
    <n v="2"/>
  </r>
  <r>
    <s v="ORD00079"/>
    <d v="2025-04-04T00:00:00"/>
    <s v="C1166"/>
    <x v="74"/>
    <s v="P1002"/>
    <x v="0"/>
    <x v="0"/>
    <x v="0"/>
    <x v="0"/>
    <n v="3"/>
    <n v="800"/>
    <n v="5"/>
    <n v="2280"/>
    <n v="1680"/>
    <n v="600"/>
    <x v="2"/>
    <s v="Maharashtra"/>
    <s v="West"/>
    <s v="Card"/>
    <s v="Delivered"/>
    <s v="Yes"/>
    <n v="4"/>
  </r>
  <r>
    <s v="ORD00080"/>
    <d v="2025-08-18T00:00:00"/>
    <s v="C1347"/>
    <x v="75"/>
    <s v="P1002"/>
    <x v="0"/>
    <x v="0"/>
    <x v="0"/>
    <x v="0"/>
    <n v="2"/>
    <n v="800"/>
    <n v="15"/>
    <n v="1360"/>
    <n v="1120"/>
    <n v="240"/>
    <x v="3"/>
    <s v="Karnataka"/>
    <s v="South"/>
    <s v="Card"/>
    <s v="Cancelled"/>
    <s v="No"/>
    <n v="5"/>
  </r>
  <r>
    <s v="ORD00081"/>
    <d v="2025-08-17T00:00:00"/>
    <s v="C1275"/>
    <x v="76"/>
    <s v="P1001"/>
    <x v="2"/>
    <x v="0"/>
    <x v="2"/>
    <x v="2"/>
    <n v="1"/>
    <n v="55000"/>
    <n v="5"/>
    <n v="52250"/>
    <n v="38500"/>
    <n v="13750"/>
    <x v="0"/>
    <s v="Delhi"/>
    <s v="North"/>
    <s v="UPI"/>
    <s v="Pending"/>
    <s v="No"/>
    <n v="5"/>
  </r>
  <r>
    <s v="ORD00082"/>
    <d v="2025-06-20T00:00:00"/>
    <s v="C1228"/>
    <x v="52"/>
    <s v="P1004"/>
    <x v="4"/>
    <x v="0"/>
    <x v="3"/>
    <x v="4"/>
    <n v="1"/>
    <n v="3500"/>
    <n v="10"/>
    <n v="3150"/>
    <n v="2450"/>
    <n v="700"/>
    <x v="2"/>
    <s v="Maharashtra"/>
    <s v="West"/>
    <s v="UPI"/>
    <s v="Pending"/>
    <s v="Yes"/>
    <n v="2"/>
  </r>
  <r>
    <s v="ORD00083"/>
    <d v="2025-10-10T00:00:00"/>
    <s v="C1753"/>
    <x v="13"/>
    <s v="P1002"/>
    <x v="0"/>
    <x v="0"/>
    <x v="0"/>
    <x v="0"/>
    <n v="2"/>
    <n v="800"/>
    <n v="15"/>
    <n v="1360"/>
    <n v="1120"/>
    <n v="240"/>
    <x v="2"/>
    <s v="Maharashtra"/>
    <s v="West"/>
    <s v="UPI"/>
    <s v="Delivered"/>
    <s v="No"/>
    <n v="2"/>
  </r>
  <r>
    <s v="ORD00084"/>
    <d v="2025-11-11T00:00:00"/>
    <s v="C1239"/>
    <x v="77"/>
    <s v="P1001"/>
    <x v="2"/>
    <x v="0"/>
    <x v="2"/>
    <x v="2"/>
    <n v="1"/>
    <n v="55000"/>
    <n v="0"/>
    <n v="55000"/>
    <n v="38500"/>
    <n v="16500"/>
    <x v="3"/>
    <s v="Karnataka"/>
    <s v="South"/>
    <s v="Cash"/>
    <s v="Pending"/>
    <s v="Yes"/>
    <n v="1"/>
  </r>
  <r>
    <s v="ORD00085"/>
    <d v="2025-11-23T00:00:00"/>
    <s v="C1077"/>
    <x v="78"/>
    <s v="P1005"/>
    <x v="1"/>
    <x v="1"/>
    <x v="1"/>
    <x v="1"/>
    <n v="4"/>
    <n v="4500"/>
    <n v="15"/>
    <n v="15300"/>
    <n v="12600"/>
    <n v="2700"/>
    <x v="1"/>
    <s v="Gujarat"/>
    <s v="West"/>
    <s v="Card"/>
    <s v="Pending"/>
    <s v="Yes"/>
    <n v="4"/>
  </r>
  <r>
    <s v="ORD00086"/>
    <d v="2025-09-15T00:00:00"/>
    <s v="C1372"/>
    <x v="79"/>
    <s v="P1004"/>
    <x v="4"/>
    <x v="0"/>
    <x v="3"/>
    <x v="4"/>
    <n v="2"/>
    <n v="3500"/>
    <n v="5"/>
    <n v="6650"/>
    <n v="4900"/>
    <n v="1750"/>
    <x v="1"/>
    <s v="Gujarat"/>
    <s v="West"/>
    <s v="Card"/>
    <s v="Delivered"/>
    <s v="Yes"/>
    <n v="4"/>
  </r>
  <r>
    <s v="ORD00087"/>
    <d v="2025-05-30T00:00:00"/>
    <s v="C1867"/>
    <x v="80"/>
    <s v="P1004"/>
    <x v="4"/>
    <x v="0"/>
    <x v="3"/>
    <x v="4"/>
    <n v="3"/>
    <n v="3500"/>
    <n v="5"/>
    <n v="9975"/>
    <n v="7349.9999999999991"/>
    <n v="2625.0000000000009"/>
    <x v="3"/>
    <s v="Karnataka"/>
    <s v="South"/>
    <s v="UPI"/>
    <s v="Delivered"/>
    <s v="Yes"/>
    <n v="3"/>
  </r>
  <r>
    <s v="ORD00088"/>
    <d v="2025-09-18T00:00:00"/>
    <s v="C1532"/>
    <x v="81"/>
    <s v="P1003"/>
    <x v="3"/>
    <x v="0"/>
    <x v="0"/>
    <x v="3"/>
    <n v="1"/>
    <n v="1500"/>
    <n v="0"/>
    <n v="1500"/>
    <n v="1050"/>
    <n v="450"/>
    <x v="0"/>
    <s v="Delhi"/>
    <s v="North"/>
    <s v="UPI"/>
    <s v="Pending"/>
    <s v="Yes"/>
    <n v="3"/>
  </r>
  <r>
    <s v="ORD00089"/>
    <d v="2025-06-13T00:00:00"/>
    <s v="C1089"/>
    <x v="82"/>
    <s v="P1001"/>
    <x v="2"/>
    <x v="0"/>
    <x v="2"/>
    <x v="2"/>
    <n v="1"/>
    <n v="55000"/>
    <n v="5"/>
    <n v="52250"/>
    <n v="38500"/>
    <n v="13750"/>
    <x v="0"/>
    <s v="Delhi"/>
    <s v="North"/>
    <s v="UPI"/>
    <s v="Pending"/>
    <s v="Yes"/>
    <n v="1"/>
  </r>
  <r>
    <s v="ORD00090"/>
    <d v="2025-06-03T00:00:00"/>
    <s v="C1711"/>
    <x v="83"/>
    <s v="P1001"/>
    <x v="2"/>
    <x v="0"/>
    <x v="2"/>
    <x v="2"/>
    <n v="2"/>
    <n v="55000"/>
    <n v="5"/>
    <n v="104500"/>
    <n v="77000"/>
    <n v="27500"/>
    <x v="0"/>
    <s v="Delhi"/>
    <s v="North"/>
    <s v="UPI"/>
    <s v="Cancelled"/>
    <s v="No"/>
    <n v="5"/>
  </r>
  <r>
    <s v="ORD00091"/>
    <d v="2025-03-07T00:00:00"/>
    <s v="C1318"/>
    <x v="84"/>
    <s v="P1004"/>
    <x v="4"/>
    <x v="0"/>
    <x v="3"/>
    <x v="4"/>
    <n v="1"/>
    <n v="3500"/>
    <n v="10"/>
    <n v="3150"/>
    <n v="2450"/>
    <n v="700"/>
    <x v="2"/>
    <s v="Maharashtra"/>
    <s v="West"/>
    <s v="Cash"/>
    <s v="Delivered"/>
    <s v="Yes"/>
    <n v="2"/>
  </r>
  <r>
    <s v="ORD00092"/>
    <d v="2025-07-17T00:00:00"/>
    <s v="C1751"/>
    <x v="60"/>
    <s v="P1005"/>
    <x v="1"/>
    <x v="1"/>
    <x v="1"/>
    <x v="1"/>
    <n v="3"/>
    <n v="4500"/>
    <n v="10"/>
    <n v="12150"/>
    <n v="9450"/>
    <n v="2700"/>
    <x v="3"/>
    <s v="Karnataka"/>
    <s v="South"/>
    <s v="Card"/>
    <s v="Pending"/>
    <s v="Yes"/>
    <n v="1"/>
  </r>
  <r>
    <s v="ORD00093"/>
    <d v="2025-02-09T00:00:00"/>
    <s v="C1356"/>
    <x v="85"/>
    <s v="P1002"/>
    <x v="0"/>
    <x v="0"/>
    <x v="0"/>
    <x v="0"/>
    <n v="4"/>
    <n v="800"/>
    <n v="5"/>
    <n v="3040"/>
    <n v="2240"/>
    <n v="800"/>
    <x v="1"/>
    <s v="Gujarat"/>
    <s v="West"/>
    <s v="Cash"/>
    <s v="Cancelled"/>
    <s v="No"/>
    <n v="4"/>
  </r>
  <r>
    <s v="ORD00094"/>
    <d v="2025-12-10T00:00:00"/>
    <s v="C1109"/>
    <x v="86"/>
    <s v="P1002"/>
    <x v="0"/>
    <x v="0"/>
    <x v="0"/>
    <x v="0"/>
    <n v="1"/>
    <n v="800"/>
    <n v="5"/>
    <n v="760"/>
    <n v="560"/>
    <n v="200"/>
    <x v="2"/>
    <s v="Maharashtra"/>
    <s v="West"/>
    <s v="Cash"/>
    <s v="Delivered"/>
    <s v="Yes"/>
    <n v="2"/>
  </r>
  <r>
    <s v="ORD00095"/>
    <d v="2025-11-03T00:00:00"/>
    <s v="C1744"/>
    <x v="48"/>
    <s v="P1004"/>
    <x v="4"/>
    <x v="0"/>
    <x v="3"/>
    <x v="4"/>
    <n v="5"/>
    <n v="3500"/>
    <n v="5"/>
    <n v="16625"/>
    <n v="12250"/>
    <n v="4375"/>
    <x v="0"/>
    <s v="Delhi"/>
    <s v="North"/>
    <s v="Cash"/>
    <s v="Cancelled"/>
    <s v="No"/>
    <n v="4"/>
  </r>
  <r>
    <s v="ORD00096"/>
    <d v="2025-01-04T00:00:00"/>
    <s v="C1478"/>
    <x v="87"/>
    <s v="P1003"/>
    <x v="3"/>
    <x v="0"/>
    <x v="0"/>
    <x v="3"/>
    <n v="5"/>
    <n v="1500"/>
    <n v="10"/>
    <n v="6750"/>
    <n v="5250"/>
    <n v="1500"/>
    <x v="0"/>
    <s v="Delhi"/>
    <s v="North"/>
    <s v="Card"/>
    <s v="Pending"/>
    <s v="No"/>
    <n v="4"/>
  </r>
  <r>
    <s v="ORD00097"/>
    <d v="2025-12-18T00:00:00"/>
    <s v="C1068"/>
    <x v="88"/>
    <s v="P1001"/>
    <x v="2"/>
    <x v="0"/>
    <x v="2"/>
    <x v="2"/>
    <n v="3"/>
    <n v="55000"/>
    <n v="10"/>
    <n v="148500"/>
    <n v="115500"/>
    <n v="33000.000000000007"/>
    <x v="0"/>
    <s v="Delhi"/>
    <s v="North"/>
    <s v="UPI"/>
    <s v="Cancelled"/>
    <s v="Yes"/>
    <n v="5"/>
  </r>
  <r>
    <s v="ORD00098"/>
    <d v="2025-12-07T00:00:00"/>
    <s v="C1679"/>
    <x v="89"/>
    <s v="P1003"/>
    <x v="3"/>
    <x v="0"/>
    <x v="0"/>
    <x v="3"/>
    <n v="3"/>
    <n v="1500"/>
    <n v="15"/>
    <n v="3825"/>
    <n v="3150"/>
    <n v="675"/>
    <x v="2"/>
    <s v="Maharashtra"/>
    <s v="West"/>
    <s v="Card"/>
    <s v="Delivered"/>
    <s v="No"/>
    <n v="4"/>
  </r>
  <r>
    <s v="ORD00099"/>
    <d v="2025-08-10T00:00:00"/>
    <s v="C1061"/>
    <x v="46"/>
    <s v="P1004"/>
    <x v="4"/>
    <x v="0"/>
    <x v="3"/>
    <x v="4"/>
    <n v="3"/>
    <n v="3500"/>
    <n v="10"/>
    <n v="9450"/>
    <n v="7349.9999999999991"/>
    <n v="2100.0000000000009"/>
    <x v="0"/>
    <s v="Delhi"/>
    <s v="North"/>
    <s v="Cash"/>
    <s v="Cancelled"/>
    <s v="Yes"/>
    <n v="2"/>
  </r>
  <r>
    <s v="ORD00100"/>
    <d v="2025-06-15T00:00:00"/>
    <s v="C1184"/>
    <x v="90"/>
    <s v="P1001"/>
    <x v="2"/>
    <x v="0"/>
    <x v="2"/>
    <x v="2"/>
    <n v="4"/>
    <n v="55000"/>
    <n v="5"/>
    <n v="209000"/>
    <n v="154000"/>
    <n v="55000"/>
    <x v="2"/>
    <s v="Maharashtra"/>
    <s v="West"/>
    <s v="Cash"/>
    <s v="Pending"/>
    <s v="Yes"/>
    <n v="5"/>
  </r>
  <r>
    <s v="ORD00101"/>
    <d v="2025-02-28T00:00:00"/>
    <s v="C1205"/>
    <x v="91"/>
    <s v="P1002"/>
    <x v="0"/>
    <x v="0"/>
    <x v="0"/>
    <x v="0"/>
    <n v="2"/>
    <n v="800"/>
    <n v="0"/>
    <n v="1600"/>
    <n v="1120"/>
    <n v="480"/>
    <x v="3"/>
    <s v="Karnataka"/>
    <s v="South"/>
    <s v="Cash"/>
    <s v="Cancelled"/>
    <s v="No"/>
    <n v="1"/>
  </r>
  <r>
    <s v="ORD00102"/>
    <d v="2025-02-02T00:00:00"/>
    <s v="C1112"/>
    <x v="92"/>
    <s v="P1002"/>
    <x v="0"/>
    <x v="0"/>
    <x v="0"/>
    <x v="0"/>
    <n v="4"/>
    <n v="800"/>
    <n v="15"/>
    <n v="2720"/>
    <n v="2240"/>
    <n v="480"/>
    <x v="2"/>
    <s v="Maharashtra"/>
    <s v="West"/>
    <s v="UPI"/>
    <s v="Cancelled"/>
    <s v="Yes"/>
    <n v="4"/>
  </r>
  <r>
    <s v="ORD00103"/>
    <d v="2025-07-06T00:00:00"/>
    <s v="C1415"/>
    <x v="93"/>
    <s v="P1005"/>
    <x v="1"/>
    <x v="1"/>
    <x v="1"/>
    <x v="1"/>
    <n v="1"/>
    <n v="4500"/>
    <n v="5"/>
    <n v="4275"/>
    <n v="3150"/>
    <n v="1125"/>
    <x v="2"/>
    <s v="Maharashtra"/>
    <s v="West"/>
    <s v="Card"/>
    <s v="Delivered"/>
    <s v="No"/>
    <n v="5"/>
  </r>
  <r>
    <s v="ORD00104"/>
    <d v="2025-06-29T00:00:00"/>
    <s v="C1215"/>
    <x v="28"/>
    <s v="P1003"/>
    <x v="3"/>
    <x v="0"/>
    <x v="0"/>
    <x v="3"/>
    <n v="1"/>
    <n v="1500"/>
    <n v="10"/>
    <n v="1350"/>
    <n v="1050"/>
    <n v="300"/>
    <x v="0"/>
    <s v="Delhi"/>
    <s v="North"/>
    <s v="Card"/>
    <s v="Delivered"/>
    <s v="No"/>
    <n v="1"/>
  </r>
  <r>
    <s v="ORD00105"/>
    <d v="2025-07-08T00:00:00"/>
    <s v="C1918"/>
    <x v="94"/>
    <s v="P1001"/>
    <x v="2"/>
    <x v="0"/>
    <x v="2"/>
    <x v="2"/>
    <n v="3"/>
    <n v="55000"/>
    <n v="5"/>
    <n v="156750"/>
    <n v="115500"/>
    <n v="41250.000000000007"/>
    <x v="3"/>
    <s v="Karnataka"/>
    <s v="South"/>
    <s v="Card"/>
    <s v="Cancelled"/>
    <s v="No"/>
    <n v="2"/>
  </r>
  <r>
    <s v="ORD00106"/>
    <d v="2025-10-24T00:00:00"/>
    <s v="C1281"/>
    <x v="95"/>
    <s v="P1004"/>
    <x v="4"/>
    <x v="0"/>
    <x v="3"/>
    <x v="4"/>
    <n v="3"/>
    <n v="3500"/>
    <n v="10"/>
    <n v="9450"/>
    <n v="7349.9999999999991"/>
    <n v="2100.0000000000009"/>
    <x v="1"/>
    <s v="Gujarat"/>
    <s v="West"/>
    <s v="UPI"/>
    <s v="Delivered"/>
    <s v="Yes"/>
    <n v="2"/>
  </r>
  <r>
    <s v="ORD00107"/>
    <d v="2025-12-19T00:00:00"/>
    <s v="C1070"/>
    <x v="96"/>
    <s v="P1001"/>
    <x v="2"/>
    <x v="0"/>
    <x v="2"/>
    <x v="2"/>
    <n v="4"/>
    <n v="55000"/>
    <n v="0"/>
    <n v="220000"/>
    <n v="154000"/>
    <n v="66000"/>
    <x v="0"/>
    <s v="Delhi"/>
    <s v="North"/>
    <s v="UPI"/>
    <s v="Cancelled"/>
    <s v="Yes"/>
    <n v="1"/>
  </r>
  <r>
    <s v="ORD00108"/>
    <d v="2025-01-16T00:00:00"/>
    <s v="C1206"/>
    <x v="97"/>
    <s v="P1005"/>
    <x v="1"/>
    <x v="1"/>
    <x v="1"/>
    <x v="1"/>
    <n v="2"/>
    <n v="4500"/>
    <n v="10"/>
    <n v="8100"/>
    <n v="6300"/>
    <n v="1800"/>
    <x v="0"/>
    <s v="Delhi"/>
    <s v="North"/>
    <s v="UPI"/>
    <s v="Cancelled"/>
    <s v="No"/>
    <n v="5"/>
  </r>
  <r>
    <s v="ORD00109"/>
    <d v="2025-03-16T00:00:00"/>
    <s v="C1087"/>
    <x v="11"/>
    <s v="P1004"/>
    <x v="4"/>
    <x v="0"/>
    <x v="3"/>
    <x v="4"/>
    <n v="4"/>
    <n v="3500"/>
    <n v="0"/>
    <n v="14000"/>
    <n v="9800"/>
    <n v="4200"/>
    <x v="3"/>
    <s v="Karnataka"/>
    <s v="South"/>
    <s v="UPI"/>
    <s v="Cancelled"/>
    <s v="Yes"/>
    <n v="1"/>
  </r>
  <r>
    <s v="ORD00110"/>
    <d v="2025-08-25T00:00:00"/>
    <s v="C1236"/>
    <x v="98"/>
    <s v="P1005"/>
    <x v="1"/>
    <x v="1"/>
    <x v="1"/>
    <x v="1"/>
    <n v="2"/>
    <n v="4500"/>
    <n v="10"/>
    <n v="8100"/>
    <n v="6300"/>
    <n v="1800"/>
    <x v="0"/>
    <s v="Delhi"/>
    <s v="North"/>
    <s v="Card"/>
    <s v="Pending"/>
    <s v="Yes"/>
    <n v="3"/>
  </r>
  <r>
    <s v="ORD00111"/>
    <d v="2025-09-20T00:00:00"/>
    <s v="C1240"/>
    <x v="99"/>
    <s v="P1005"/>
    <x v="1"/>
    <x v="1"/>
    <x v="1"/>
    <x v="1"/>
    <n v="3"/>
    <n v="4500"/>
    <n v="15"/>
    <n v="11475"/>
    <n v="9450"/>
    <n v="2025"/>
    <x v="0"/>
    <s v="Delhi"/>
    <s v="North"/>
    <s v="Cash"/>
    <s v="Cancelled"/>
    <s v="Yes"/>
    <n v="5"/>
  </r>
  <r>
    <s v="ORD00112"/>
    <d v="2025-10-25T00:00:00"/>
    <s v="C1440"/>
    <x v="100"/>
    <s v="P1003"/>
    <x v="3"/>
    <x v="0"/>
    <x v="0"/>
    <x v="3"/>
    <n v="3"/>
    <n v="1500"/>
    <n v="0"/>
    <n v="4500"/>
    <n v="3150"/>
    <n v="1350"/>
    <x v="0"/>
    <s v="Delhi"/>
    <s v="North"/>
    <s v="Card"/>
    <s v="Cancelled"/>
    <s v="No"/>
    <n v="4"/>
  </r>
  <r>
    <s v="ORD00113"/>
    <d v="2025-07-23T00:00:00"/>
    <s v="C1089"/>
    <x v="101"/>
    <s v="P1003"/>
    <x v="3"/>
    <x v="0"/>
    <x v="0"/>
    <x v="3"/>
    <n v="5"/>
    <n v="1500"/>
    <n v="5"/>
    <n v="7125"/>
    <n v="5250"/>
    <n v="1875"/>
    <x v="3"/>
    <s v="Karnataka"/>
    <s v="South"/>
    <s v="UPI"/>
    <s v="Cancelled"/>
    <s v="No"/>
    <n v="1"/>
  </r>
  <r>
    <s v="ORD00114"/>
    <d v="2025-09-02T00:00:00"/>
    <s v="C1034"/>
    <x v="102"/>
    <s v="P1003"/>
    <x v="3"/>
    <x v="0"/>
    <x v="0"/>
    <x v="3"/>
    <n v="1"/>
    <n v="1500"/>
    <n v="15"/>
    <n v="1275"/>
    <n v="1050"/>
    <n v="225"/>
    <x v="0"/>
    <s v="Delhi"/>
    <s v="North"/>
    <s v="Card"/>
    <s v="Pending"/>
    <s v="No"/>
    <n v="2"/>
  </r>
  <r>
    <s v="ORD00115"/>
    <d v="2025-10-30T00:00:00"/>
    <s v="C1959"/>
    <x v="103"/>
    <s v="P1004"/>
    <x v="4"/>
    <x v="0"/>
    <x v="3"/>
    <x v="4"/>
    <n v="1"/>
    <n v="3500"/>
    <n v="15"/>
    <n v="2975"/>
    <n v="2450"/>
    <n v="525"/>
    <x v="1"/>
    <s v="Gujarat"/>
    <s v="West"/>
    <s v="Card"/>
    <s v="Pending"/>
    <s v="Yes"/>
    <n v="5"/>
  </r>
  <r>
    <s v="ORD00116"/>
    <d v="2025-12-12T00:00:00"/>
    <s v="C1955"/>
    <x v="104"/>
    <s v="P1002"/>
    <x v="0"/>
    <x v="0"/>
    <x v="0"/>
    <x v="0"/>
    <n v="2"/>
    <n v="800"/>
    <n v="5"/>
    <n v="1520"/>
    <n v="1120"/>
    <n v="400"/>
    <x v="3"/>
    <s v="Karnataka"/>
    <s v="South"/>
    <s v="Card"/>
    <s v="Pending"/>
    <s v="No"/>
    <n v="4"/>
  </r>
  <r>
    <s v="ORD00117"/>
    <d v="2025-07-06T00:00:00"/>
    <s v="C1004"/>
    <x v="36"/>
    <s v="P1002"/>
    <x v="0"/>
    <x v="0"/>
    <x v="0"/>
    <x v="0"/>
    <n v="5"/>
    <n v="800"/>
    <n v="5"/>
    <n v="3800"/>
    <n v="2800"/>
    <n v="1000"/>
    <x v="0"/>
    <s v="Delhi"/>
    <s v="North"/>
    <s v="Card"/>
    <s v="Cancelled"/>
    <s v="Yes"/>
    <n v="4"/>
  </r>
  <r>
    <s v="ORD00118"/>
    <d v="2025-01-31T00:00:00"/>
    <s v="C1437"/>
    <x v="105"/>
    <s v="P1003"/>
    <x v="3"/>
    <x v="0"/>
    <x v="0"/>
    <x v="3"/>
    <n v="4"/>
    <n v="1500"/>
    <n v="10"/>
    <n v="5400"/>
    <n v="4200"/>
    <n v="1200"/>
    <x v="3"/>
    <s v="Karnataka"/>
    <s v="South"/>
    <s v="UPI"/>
    <s v="Pending"/>
    <s v="Yes"/>
    <n v="2"/>
  </r>
  <r>
    <s v="ORD00119"/>
    <d v="2025-07-06T00:00:00"/>
    <s v="C1411"/>
    <x v="106"/>
    <s v="P1002"/>
    <x v="0"/>
    <x v="0"/>
    <x v="0"/>
    <x v="0"/>
    <n v="1"/>
    <n v="800"/>
    <n v="0"/>
    <n v="800"/>
    <n v="560"/>
    <n v="240"/>
    <x v="2"/>
    <s v="Maharashtra"/>
    <s v="West"/>
    <s v="Cash"/>
    <s v="Delivered"/>
    <s v="No"/>
    <n v="2"/>
  </r>
  <r>
    <s v="ORD00120"/>
    <d v="2025-07-18T00:00:00"/>
    <s v="C1774"/>
    <x v="86"/>
    <s v="P1003"/>
    <x v="3"/>
    <x v="0"/>
    <x v="0"/>
    <x v="3"/>
    <n v="4"/>
    <n v="1500"/>
    <n v="0"/>
    <n v="6000"/>
    <n v="4200"/>
    <n v="1800"/>
    <x v="2"/>
    <s v="Maharashtra"/>
    <s v="West"/>
    <s v="Card"/>
    <s v="Delivered"/>
    <s v="Yes"/>
    <n v="1"/>
  </r>
  <r>
    <s v="ORD00121"/>
    <d v="2025-09-19T00:00:00"/>
    <s v="C1268"/>
    <x v="33"/>
    <s v="P1002"/>
    <x v="0"/>
    <x v="0"/>
    <x v="0"/>
    <x v="0"/>
    <n v="4"/>
    <n v="800"/>
    <n v="10"/>
    <n v="2880"/>
    <n v="2240"/>
    <n v="640"/>
    <x v="0"/>
    <s v="Delhi"/>
    <s v="North"/>
    <s v="UPI"/>
    <s v="Cancelled"/>
    <s v="Yes"/>
    <n v="2"/>
  </r>
  <r>
    <s v="ORD00122"/>
    <d v="2025-07-25T00:00:00"/>
    <s v="C1484"/>
    <x v="107"/>
    <s v="P1005"/>
    <x v="1"/>
    <x v="1"/>
    <x v="1"/>
    <x v="1"/>
    <n v="3"/>
    <n v="4500"/>
    <n v="15"/>
    <n v="11475"/>
    <n v="9450"/>
    <n v="2025"/>
    <x v="0"/>
    <s v="Delhi"/>
    <s v="North"/>
    <s v="Card"/>
    <s v="Delivered"/>
    <s v="Yes"/>
    <n v="1"/>
  </r>
  <r>
    <s v="ORD00123"/>
    <d v="2025-03-08T00:00:00"/>
    <s v="C1876"/>
    <x v="108"/>
    <s v="P1003"/>
    <x v="3"/>
    <x v="0"/>
    <x v="0"/>
    <x v="3"/>
    <n v="3"/>
    <n v="1500"/>
    <n v="15"/>
    <n v="3825"/>
    <n v="3150"/>
    <n v="675"/>
    <x v="1"/>
    <s v="Gujarat"/>
    <s v="West"/>
    <s v="Cash"/>
    <s v="Delivered"/>
    <s v="No"/>
    <n v="5"/>
  </r>
  <r>
    <s v="ORD00124"/>
    <d v="2025-09-02T00:00:00"/>
    <s v="C1090"/>
    <x v="109"/>
    <s v="P1002"/>
    <x v="0"/>
    <x v="0"/>
    <x v="0"/>
    <x v="0"/>
    <n v="5"/>
    <n v="800"/>
    <n v="5"/>
    <n v="3800"/>
    <n v="2800"/>
    <n v="1000"/>
    <x v="0"/>
    <s v="Delhi"/>
    <s v="North"/>
    <s v="Card"/>
    <s v="Delivered"/>
    <s v="Yes"/>
    <n v="3"/>
  </r>
  <r>
    <s v="ORD00125"/>
    <d v="2025-06-28T00:00:00"/>
    <s v="C1589"/>
    <x v="110"/>
    <s v="P1002"/>
    <x v="0"/>
    <x v="0"/>
    <x v="0"/>
    <x v="0"/>
    <n v="2"/>
    <n v="800"/>
    <n v="15"/>
    <n v="1360"/>
    <n v="1120"/>
    <n v="240"/>
    <x v="3"/>
    <s v="Karnataka"/>
    <s v="South"/>
    <s v="Cash"/>
    <s v="Cancelled"/>
    <s v="Yes"/>
    <n v="3"/>
  </r>
  <r>
    <s v="ORD00126"/>
    <d v="2025-11-11T00:00:00"/>
    <s v="C1810"/>
    <x v="111"/>
    <s v="P1001"/>
    <x v="2"/>
    <x v="0"/>
    <x v="2"/>
    <x v="2"/>
    <n v="4"/>
    <n v="55000"/>
    <n v="5"/>
    <n v="209000"/>
    <n v="154000"/>
    <n v="55000"/>
    <x v="0"/>
    <s v="Delhi"/>
    <s v="North"/>
    <s v="Cash"/>
    <s v="Pending"/>
    <s v="Yes"/>
    <n v="5"/>
  </r>
  <r>
    <s v="ORD00127"/>
    <d v="2025-04-29T00:00:00"/>
    <s v="C1882"/>
    <x v="112"/>
    <s v="P1001"/>
    <x v="2"/>
    <x v="0"/>
    <x v="2"/>
    <x v="2"/>
    <n v="5"/>
    <n v="55000"/>
    <n v="15"/>
    <n v="233750"/>
    <n v="192500"/>
    <n v="41250"/>
    <x v="1"/>
    <s v="Gujarat"/>
    <s v="West"/>
    <s v="UPI"/>
    <s v="Delivered"/>
    <s v="No"/>
    <n v="4"/>
  </r>
  <r>
    <s v="ORD00128"/>
    <d v="2025-06-29T00:00:00"/>
    <s v="C1065"/>
    <x v="113"/>
    <s v="P1004"/>
    <x v="4"/>
    <x v="0"/>
    <x v="3"/>
    <x v="4"/>
    <n v="3"/>
    <n v="3500"/>
    <n v="10"/>
    <n v="9450"/>
    <n v="7349.9999999999991"/>
    <n v="2100.0000000000009"/>
    <x v="1"/>
    <s v="Gujarat"/>
    <s v="West"/>
    <s v="Cash"/>
    <s v="Cancelled"/>
    <s v="No"/>
    <n v="3"/>
  </r>
  <r>
    <s v="ORD00129"/>
    <d v="2025-03-17T00:00:00"/>
    <s v="C1941"/>
    <x v="109"/>
    <s v="P1005"/>
    <x v="1"/>
    <x v="1"/>
    <x v="1"/>
    <x v="1"/>
    <n v="3"/>
    <n v="4500"/>
    <n v="10"/>
    <n v="12150"/>
    <n v="9450"/>
    <n v="2700"/>
    <x v="0"/>
    <s v="Delhi"/>
    <s v="North"/>
    <s v="UPI"/>
    <s v="Pending"/>
    <s v="No"/>
    <n v="3"/>
  </r>
  <r>
    <s v="ORD00130"/>
    <d v="2025-06-23T00:00:00"/>
    <s v="C1740"/>
    <x v="114"/>
    <s v="P1005"/>
    <x v="1"/>
    <x v="1"/>
    <x v="1"/>
    <x v="1"/>
    <n v="2"/>
    <n v="4500"/>
    <n v="5"/>
    <n v="8550"/>
    <n v="6300"/>
    <n v="2250"/>
    <x v="3"/>
    <s v="Karnataka"/>
    <s v="South"/>
    <s v="UPI"/>
    <s v="Delivered"/>
    <s v="No"/>
    <n v="2"/>
  </r>
  <r>
    <s v="ORD00131"/>
    <d v="2025-02-08T00:00:00"/>
    <s v="C1920"/>
    <x v="115"/>
    <s v="P1001"/>
    <x v="2"/>
    <x v="0"/>
    <x v="2"/>
    <x v="2"/>
    <n v="5"/>
    <n v="55000"/>
    <n v="0"/>
    <n v="275000"/>
    <n v="192500"/>
    <n v="82500"/>
    <x v="3"/>
    <s v="Karnataka"/>
    <s v="South"/>
    <s v="Cash"/>
    <s v="Pending"/>
    <s v="No"/>
    <n v="2"/>
  </r>
  <r>
    <s v="ORD00132"/>
    <d v="2025-05-26T00:00:00"/>
    <s v="C1887"/>
    <x v="116"/>
    <s v="P1004"/>
    <x v="4"/>
    <x v="0"/>
    <x v="3"/>
    <x v="4"/>
    <n v="1"/>
    <n v="3500"/>
    <n v="15"/>
    <n v="2975"/>
    <n v="2450"/>
    <n v="525"/>
    <x v="3"/>
    <s v="Karnataka"/>
    <s v="South"/>
    <s v="Cash"/>
    <s v="Pending"/>
    <s v="Yes"/>
    <n v="4"/>
  </r>
  <r>
    <s v="ORD00133"/>
    <d v="2025-01-15T00:00:00"/>
    <s v="C1200"/>
    <x v="117"/>
    <s v="P1003"/>
    <x v="3"/>
    <x v="0"/>
    <x v="0"/>
    <x v="3"/>
    <n v="4"/>
    <n v="1500"/>
    <n v="0"/>
    <n v="6000"/>
    <n v="4200"/>
    <n v="1800"/>
    <x v="1"/>
    <s v="Gujarat"/>
    <s v="West"/>
    <s v="UPI"/>
    <s v="Cancelled"/>
    <s v="Yes"/>
    <n v="3"/>
  </r>
  <r>
    <s v="ORD00134"/>
    <d v="2025-12-02T00:00:00"/>
    <s v="C1580"/>
    <x v="118"/>
    <s v="P1001"/>
    <x v="2"/>
    <x v="0"/>
    <x v="2"/>
    <x v="2"/>
    <n v="3"/>
    <n v="55000"/>
    <n v="10"/>
    <n v="148500"/>
    <n v="115500"/>
    <n v="33000.000000000007"/>
    <x v="3"/>
    <s v="Karnataka"/>
    <s v="South"/>
    <s v="Card"/>
    <s v="Pending"/>
    <s v="No"/>
    <n v="3"/>
  </r>
  <r>
    <s v="ORD00135"/>
    <d v="2025-11-02T00:00:00"/>
    <s v="C1332"/>
    <x v="60"/>
    <s v="P1004"/>
    <x v="4"/>
    <x v="0"/>
    <x v="3"/>
    <x v="4"/>
    <n v="3"/>
    <n v="3500"/>
    <n v="5"/>
    <n v="9975"/>
    <n v="7349.9999999999991"/>
    <n v="2625.0000000000009"/>
    <x v="1"/>
    <s v="Gujarat"/>
    <s v="West"/>
    <s v="Card"/>
    <s v="Pending"/>
    <s v="Yes"/>
    <n v="5"/>
  </r>
  <r>
    <s v="ORD00136"/>
    <d v="2025-10-26T00:00:00"/>
    <s v="C1122"/>
    <x v="119"/>
    <s v="P1005"/>
    <x v="1"/>
    <x v="1"/>
    <x v="1"/>
    <x v="1"/>
    <n v="2"/>
    <n v="4500"/>
    <n v="5"/>
    <n v="8550"/>
    <n v="6300"/>
    <n v="2250"/>
    <x v="0"/>
    <s v="Delhi"/>
    <s v="North"/>
    <s v="Cash"/>
    <s v="Cancelled"/>
    <s v="Yes"/>
    <n v="5"/>
  </r>
  <r>
    <s v="ORD00137"/>
    <d v="2025-10-19T00:00:00"/>
    <s v="C1735"/>
    <x v="114"/>
    <s v="P1003"/>
    <x v="3"/>
    <x v="0"/>
    <x v="0"/>
    <x v="3"/>
    <n v="2"/>
    <n v="1500"/>
    <n v="0"/>
    <n v="3000"/>
    <n v="2100"/>
    <n v="900"/>
    <x v="0"/>
    <s v="Delhi"/>
    <s v="North"/>
    <s v="Card"/>
    <s v="Pending"/>
    <s v="No"/>
    <n v="4"/>
  </r>
  <r>
    <s v="ORD00138"/>
    <d v="2025-07-13T00:00:00"/>
    <s v="C1206"/>
    <x v="120"/>
    <s v="P1002"/>
    <x v="0"/>
    <x v="0"/>
    <x v="0"/>
    <x v="0"/>
    <n v="3"/>
    <n v="800"/>
    <n v="15"/>
    <n v="2040"/>
    <n v="1680"/>
    <n v="360"/>
    <x v="1"/>
    <s v="Gujarat"/>
    <s v="West"/>
    <s v="Card"/>
    <s v="Cancelled"/>
    <s v="Yes"/>
    <n v="2"/>
  </r>
  <r>
    <s v="ORD00139"/>
    <d v="2025-09-08T00:00:00"/>
    <s v="C1615"/>
    <x v="71"/>
    <s v="P1001"/>
    <x v="2"/>
    <x v="0"/>
    <x v="2"/>
    <x v="2"/>
    <n v="1"/>
    <n v="55000"/>
    <n v="5"/>
    <n v="52250"/>
    <n v="38500"/>
    <n v="13750"/>
    <x v="3"/>
    <s v="Karnataka"/>
    <s v="South"/>
    <s v="UPI"/>
    <s v="Delivered"/>
    <s v="No"/>
    <n v="3"/>
  </r>
  <r>
    <s v="ORD00140"/>
    <d v="2025-04-30T00:00:00"/>
    <s v="C1220"/>
    <x v="121"/>
    <s v="P1004"/>
    <x v="4"/>
    <x v="0"/>
    <x v="3"/>
    <x v="4"/>
    <n v="3"/>
    <n v="3500"/>
    <n v="10"/>
    <n v="9450"/>
    <n v="7349.9999999999991"/>
    <n v="2100.0000000000009"/>
    <x v="3"/>
    <s v="Karnataka"/>
    <s v="South"/>
    <s v="Card"/>
    <s v="Pending"/>
    <s v="Yes"/>
    <n v="1"/>
  </r>
  <r>
    <s v="ORD00141"/>
    <d v="2025-11-13T00:00:00"/>
    <s v="C1720"/>
    <x v="122"/>
    <s v="P1004"/>
    <x v="4"/>
    <x v="0"/>
    <x v="3"/>
    <x v="4"/>
    <n v="5"/>
    <n v="3500"/>
    <n v="5"/>
    <n v="16625"/>
    <n v="12250"/>
    <n v="4375"/>
    <x v="2"/>
    <s v="Maharashtra"/>
    <s v="West"/>
    <s v="UPI"/>
    <s v="Delivered"/>
    <s v="No"/>
    <n v="1"/>
  </r>
  <r>
    <s v="ORD00142"/>
    <d v="2025-11-27T00:00:00"/>
    <s v="C1944"/>
    <x v="123"/>
    <s v="P1004"/>
    <x v="4"/>
    <x v="0"/>
    <x v="3"/>
    <x v="4"/>
    <n v="2"/>
    <n v="3500"/>
    <n v="10"/>
    <n v="6300"/>
    <n v="4900"/>
    <n v="1400"/>
    <x v="2"/>
    <s v="Maharashtra"/>
    <s v="West"/>
    <s v="Card"/>
    <s v="Pending"/>
    <s v="No"/>
    <n v="4"/>
  </r>
  <r>
    <s v="ORD00143"/>
    <d v="2025-03-23T00:00:00"/>
    <s v="C1003"/>
    <x v="124"/>
    <s v="P1003"/>
    <x v="3"/>
    <x v="0"/>
    <x v="0"/>
    <x v="3"/>
    <n v="2"/>
    <n v="1500"/>
    <n v="10"/>
    <n v="2700"/>
    <n v="2100"/>
    <n v="600"/>
    <x v="3"/>
    <s v="Karnataka"/>
    <s v="South"/>
    <s v="Card"/>
    <s v="Cancelled"/>
    <s v="No"/>
    <n v="2"/>
  </r>
  <r>
    <s v="ORD00144"/>
    <d v="2025-06-30T00:00:00"/>
    <s v="C1936"/>
    <x v="38"/>
    <s v="P1004"/>
    <x v="4"/>
    <x v="0"/>
    <x v="3"/>
    <x v="4"/>
    <n v="3"/>
    <n v="3500"/>
    <n v="15"/>
    <n v="8925"/>
    <n v="7349.9999999999991"/>
    <n v="1575.0000000000009"/>
    <x v="1"/>
    <s v="Gujarat"/>
    <s v="West"/>
    <s v="Card"/>
    <s v="Delivered"/>
    <s v="No"/>
    <n v="1"/>
  </r>
  <r>
    <s v="ORD00145"/>
    <d v="2025-01-07T00:00:00"/>
    <s v="C1581"/>
    <x v="125"/>
    <s v="P1002"/>
    <x v="0"/>
    <x v="0"/>
    <x v="0"/>
    <x v="0"/>
    <n v="3"/>
    <n v="800"/>
    <n v="5"/>
    <n v="2280"/>
    <n v="1680"/>
    <n v="600"/>
    <x v="0"/>
    <s v="Delhi"/>
    <s v="North"/>
    <s v="UPI"/>
    <s v="Pending"/>
    <s v="Yes"/>
    <n v="2"/>
  </r>
  <r>
    <s v="ORD00146"/>
    <d v="2025-05-13T00:00:00"/>
    <s v="C1044"/>
    <x v="126"/>
    <s v="P1004"/>
    <x v="4"/>
    <x v="0"/>
    <x v="3"/>
    <x v="4"/>
    <n v="1"/>
    <n v="3500"/>
    <n v="10"/>
    <n v="3150"/>
    <n v="2450"/>
    <n v="700"/>
    <x v="1"/>
    <s v="Gujarat"/>
    <s v="West"/>
    <s v="UPI"/>
    <s v="Cancelled"/>
    <s v="No"/>
    <n v="2"/>
  </r>
  <r>
    <s v="ORD00147"/>
    <d v="2025-06-20T00:00:00"/>
    <s v="C1487"/>
    <x v="127"/>
    <s v="P1002"/>
    <x v="0"/>
    <x v="0"/>
    <x v="0"/>
    <x v="0"/>
    <n v="4"/>
    <n v="800"/>
    <n v="0"/>
    <n v="3200"/>
    <n v="2240"/>
    <n v="960"/>
    <x v="0"/>
    <s v="Delhi"/>
    <s v="North"/>
    <s v="UPI"/>
    <s v="Pending"/>
    <s v="Yes"/>
    <n v="5"/>
  </r>
  <r>
    <s v="ORD00148"/>
    <d v="2025-09-09T00:00:00"/>
    <s v="C1222"/>
    <x v="109"/>
    <s v="P1003"/>
    <x v="3"/>
    <x v="0"/>
    <x v="0"/>
    <x v="3"/>
    <n v="2"/>
    <n v="1500"/>
    <n v="15"/>
    <n v="2550"/>
    <n v="2100"/>
    <n v="450"/>
    <x v="3"/>
    <s v="Karnataka"/>
    <s v="South"/>
    <s v="Card"/>
    <s v="Delivered"/>
    <s v="Yes"/>
    <n v="3"/>
  </r>
  <r>
    <s v="ORD00149"/>
    <d v="2025-06-22T00:00:00"/>
    <s v="C1241"/>
    <x v="128"/>
    <s v="P1005"/>
    <x v="1"/>
    <x v="1"/>
    <x v="1"/>
    <x v="1"/>
    <n v="5"/>
    <n v="4500"/>
    <n v="5"/>
    <n v="21375"/>
    <n v="15750"/>
    <n v="5625.0000000000018"/>
    <x v="3"/>
    <s v="Karnataka"/>
    <s v="South"/>
    <s v="Card"/>
    <s v="Cancelled"/>
    <s v="Yes"/>
    <n v="5"/>
  </r>
  <r>
    <s v="ORD00150"/>
    <d v="2025-04-27T00:00:00"/>
    <s v="C1757"/>
    <x v="129"/>
    <s v="P1004"/>
    <x v="4"/>
    <x v="0"/>
    <x v="3"/>
    <x v="4"/>
    <n v="2"/>
    <n v="3500"/>
    <n v="15"/>
    <n v="5950"/>
    <n v="4900"/>
    <n v="1050"/>
    <x v="0"/>
    <s v="Delhi"/>
    <s v="North"/>
    <s v="Cash"/>
    <s v="Pending"/>
    <s v="Yes"/>
    <n v="5"/>
  </r>
  <r>
    <s v="ORD00151"/>
    <d v="2025-11-10T00:00:00"/>
    <s v="C1707"/>
    <x v="130"/>
    <s v="P1002"/>
    <x v="0"/>
    <x v="0"/>
    <x v="0"/>
    <x v="0"/>
    <n v="3"/>
    <n v="800"/>
    <n v="0"/>
    <n v="2400"/>
    <n v="1680"/>
    <n v="720"/>
    <x v="3"/>
    <s v="Karnataka"/>
    <s v="South"/>
    <s v="Card"/>
    <s v="Delivered"/>
    <s v="Yes"/>
    <n v="1"/>
  </r>
  <r>
    <s v="ORD00152"/>
    <d v="2025-09-10T00:00:00"/>
    <s v="C1700"/>
    <x v="131"/>
    <s v="P1004"/>
    <x v="4"/>
    <x v="0"/>
    <x v="3"/>
    <x v="4"/>
    <n v="4"/>
    <n v="3500"/>
    <n v="5"/>
    <n v="13300"/>
    <n v="9800"/>
    <n v="3500"/>
    <x v="0"/>
    <s v="Delhi"/>
    <s v="North"/>
    <s v="UPI"/>
    <s v="Pending"/>
    <s v="No"/>
    <n v="2"/>
  </r>
  <r>
    <s v="ORD00153"/>
    <d v="2025-11-18T00:00:00"/>
    <s v="C1421"/>
    <x v="132"/>
    <s v="P1003"/>
    <x v="3"/>
    <x v="0"/>
    <x v="0"/>
    <x v="3"/>
    <n v="1"/>
    <n v="1500"/>
    <n v="5"/>
    <n v="1425"/>
    <n v="1050"/>
    <n v="375"/>
    <x v="2"/>
    <s v="Maharashtra"/>
    <s v="West"/>
    <s v="Card"/>
    <s v="Pending"/>
    <s v="Yes"/>
    <n v="1"/>
  </r>
  <r>
    <s v="ORD00154"/>
    <d v="2025-09-02T00:00:00"/>
    <s v="C1792"/>
    <x v="18"/>
    <s v="P1001"/>
    <x v="2"/>
    <x v="0"/>
    <x v="2"/>
    <x v="2"/>
    <n v="1"/>
    <n v="55000"/>
    <n v="5"/>
    <n v="52250"/>
    <n v="38500"/>
    <n v="13750"/>
    <x v="1"/>
    <s v="Gujarat"/>
    <s v="West"/>
    <s v="Cash"/>
    <s v="Cancelled"/>
    <s v="Yes"/>
    <n v="5"/>
  </r>
  <r>
    <s v="ORD00155"/>
    <d v="2025-11-16T00:00:00"/>
    <s v="C1343"/>
    <x v="133"/>
    <s v="P1005"/>
    <x v="1"/>
    <x v="1"/>
    <x v="1"/>
    <x v="1"/>
    <n v="2"/>
    <n v="4500"/>
    <n v="15"/>
    <n v="7650"/>
    <n v="6300"/>
    <n v="1350"/>
    <x v="0"/>
    <s v="Delhi"/>
    <s v="North"/>
    <s v="Cash"/>
    <s v="Cancelled"/>
    <s v="No"/>
    <n v="2"/>
  </r>
  <r>
    <s v="ORD00156"/>
    <d v="2025-12-21T00:00:00"/>
    <s v="C1936"/>
    <x v="134"/>
    <s v="P1001"/>
    <x v="2"/>
    <x v="0"/>
    <x v="2"/>
    <x v="2"/>
    <n v="3"/>
    <n v="55000"/>
    <n v="0"/>
    <n v="165000"/>
    <n v="115500"/>
    <n v="49500.000000000007"/>
    <x v="1"/>
    <s v="Gujarat"/>
    <s v="West"/>
    <s v="Cash"/>
    <s v="Delivered"/>
    <s v="Yes"/>
    <n v="4"/>
  </r>
  <r>
    <s v="ORD00157"/>
    <d v="2025-03-14T00:00:00"/>
    <s v="C1306"/>
    <x v="1"/>
    <s v="P1001"/>
    <x v="2"/>
    <x v="0"/>
    <x v="2"/>
    <x v="2"/>
    <n v="3"/>
    <n v="55000"/>
    <n v="0"/>
    <n v="165000"/>
    <n v="115500"/>
    <n v="49500.000000000007"/>
    <x v="3"/>
    <s v="Karnataka"/>
    <s v="South"/>
    <s v="Card"/>
    <s v="Delivered"/>
    <s v="No"/>
    <n v="5"/>
  </r>
  <r>
    <s v="ORD00158"/>
    <d v="2025-11-30T00:00:00"/>
    <s v="C1170"/>
    <x v="135"/>
    <s v="P1004"/>
    <x v="4"/>
    <x v="0"/>
    <x v="3"/>
    <x v="4"/>
    <n v="4"/>
    <n v="3500"/>
    <n v="10"/>
    <n v="12600"/>
    <n v="9800"/>
    <n v="2800"/>
    <x v="2"/>
    <s v="Maharashtra"/>
    <s v="West"/>
    <s v="Card"/>
    <s v="Cancelled"/>
    <s v="Yes"/>
    <n v="1"/>
  </r>
  <r>
    <s v="ORD00159"/>
    <d v="2025-03-20T00:00:00"/>
    <s v="C1512"/>
    <x v="136"/>
    <s v="P1004"/>
    <x v="4"/>
    <x v="0"/>
    <x v="3"/>
    <x v="4"/>
    <n v="5"/>
    <n v="3500"/>
    <n v="10"/>
    <n v="15750"/>
    <n v="12250"/>
    <n v="3500"/>
    <x v="0"/>
    <s v="Delhi"/>
    <s v="North"/>
    <s v="Cash"/>
    <s v="Delivered"/>
    <s v="Yes"/>
    <n v="2"/>
  </r>
  <r>
    <s v="ORD00160"/>
    <d v="2025-12-01T00:00:00"/>
    <s v="C1011"/>
    <x v="137"/>
    <s v="P1005"/>
    <x v="1"/>
    <x v="1"/>
    <x v="1"/>
    <x v="1"/>
    <n v="4"/>
    <n v="4500"/>
    <n v="0"/>
    <n v="18000"/>
    <n v="12600"/>
    <n v="5400"/>
    <x v="2"/>
    <s v="Maharashtra"/>
    <s v="West"/>
    <s v="UPI"/>
    <s v="Pending"/>
    <s v="Yes"/>
    <n v="4"/>
  </r>
  <r>
    <s v="ORD00161"/>
    <d v="2025-07-22T00:00:00"/>
    <s v="C1928"/>
    <x v="138"/>
    <s v="P1005"/>
    <x v="1"/>
    <x v="1"/>
    <x v="1"/>
    <x v="1"/>
    <n v="4"/>
    <n v="4500"/>
    <n v="0"/>
    <n v="18000"/>
    <n v="12600"/>
    <n v="5400"/>
    <x v="3"/>
    <s v="Karnataka"/>
    <s v="South"/>
    <s v="Card"/>
    <s v="Pending"/>
    <s v="No"/>
    <n v="4"/>
  </r>
  <r>
    <s v="ORD00162"/>
    <d v="2025-05-01T00:00:00"/>
    <s v="C1816"/>
    <x v="139"/>
    <s v="P1003"/>
    <x v="3"/>
    <x v="0"/>
    <x v="0"/>
    <x v="3"/>
    <n v="1"/>
    <n v="1500"/>
    <n v="15"/>
    <n v="1275"/>
    <n v="1050"/>
    <n v="225"/>
    <x v="0"/>
    <s v="Delhi"/>
    <s v="North"/>
    <s v="Cash"/>
    <s v="Cancelled"/>
    <s v="No"/>
    <n v="5"/>
  </r>
  <r>
    <s v="ORD00163"/>
    <d v="2025-04-30T00:00:00"/>
    <s v="C1513"/>
    <x v="140"/>
    <s v="P1004"/>
    <x v="4"/>
    <x v="0"/>
    <x v="3"/>
    <x v="4"/>
    <n v="1"/>
    <n v="3500"/>
    <n v="5"/>
    <n v="3325"/>
    <n v="2450"/>
    <n v="875"/>
    <x v="3"/>
    <s v="Karnataka"/>
    <s v="South"/>
    <s v="Cash"/>
    <s v="Delivered"/>
    <s v="No"/>
    <n v="1"/>
  </r>
  <r>
    <s v="ORD00164"/>
    <d v="2025-09-22T00:00:00"/>
    <s v="C1572"/>
    <x v="141"/>
    <s v="P1002"/>
    <x v="0"/>
    <x v="0"/>
    <x v="0"/>
    <x v="0"/>
    <n v="1"/>
    <n v="800"/>
    <n v="0"/>
    <n v="800"/>
    <n v="560"/>
    <n v="240"/>
    <x v="0"/>
    <s v="Delhi"/>
    <s v="North"/>
    <s v="Card"/>
    <s v="Delivered"/>
    <s v="No"/>
    <n v="1"/>
  </r>
  <r>
    <s v="ORD00165"/>
    <d v="2025-05-14T00:00:00"/>
    <s v="C1953"/>
    <x v="142"/>
    <s v="P1004"/>
    <x v="4"/>
    <x v="0"/>
    <x v="3"/>
    <x v="4"/>
    <n v="4"/>
    <n v="3500"/>
    <n v="15"/>
    <n v="11900"/>
    <n v="9800"/>
    <n v="2100"/>
    <x v="0"/>
    <s v="Delhi"/>
    <s v="North"/>
    <s v="Cash"/>
    <s v="Pending"/>
    <s v="No"/>
    <n v="5"/>
  </r>
  <r>
    <s v="ORD00166"/>
    <d v="2025-09-17T00:00:00"/>
    <s v="C1850"/>
    <x v="143"/>
    <s v="P1004"/>
    <x v="4"/>
    <x v="0"/>
    <x v="3"/>
    <x v="4"/>
    <n v="1"/>
    <n v="3500"/>
    <n v="5"/>
    <n v="3325"/>
    <n v="2450"/>
    <n v="875"/>
    <x v="2"/>
    <s v="Maharashtra"/>
    <s v="West"/>
    <s v="Cash"/>
    <s v="Cancelled"/>
    <s v="No"/>
    <n v="3"/>
  </r>
  <r>
    <s v="ORD00167"/>
    <d v="2025-11-27T00:00:00"/>
    <s v="C1986"/>
    <x v="144"/>
    <s v="P1002"/>
    <x v="0"/>
    <x v="0"/>
    <x v="0"/>
    <x v="0"/>
    <n v="1"/>
    <n v="800"/>
    <n v="0"/>
    <n v="800"/>
    <n v="560"/>
    <n v="240"/>
    <x v="0"/>
    <s v="Delhi"/>
    <s v="North"/>
    <s v="UPI"/>
    <s v="Pending"/>
    <s v="Yes"/>
    <n v="4"/>
  </r>
  <r>
    <s v="ORD00168"/>
    <d v="2025-06-16T00:00:00"/>
    <s v="C1781"/>
    <x v="145"/>
    <s v="P1003"/>
    <x v="3"/>
    <x v="0"/>
    <x v="0"/>
    <x v="3"/>
    <n v="4"/>
    <n v="1500"/>
    <n v="10"/>
    <n v="5400"/>
    <n v="4200"/>
    <n v="1200"/>
    <x v="0"/>
    <s v="Delhi"/>
    <s v="North"/>
    <s v="UPI"/>
    <s v="Delivered"/>
    <s v="No"/>
    <n v="2"/>
  </r>
  <r>
    <s v="ORD00169"/>
    <d v="2025-03-03T00:00:00"/>
    <s v="C1917"/>
    <x v="91"/>
    <s v="P1001"/>
    <x v="2"/>
    <x v="0"/>
    <x v="2"/>
    <x v="2"/>
    <n v="1"/>
    <n v="55000"/>
    <n v="10"/>
    <n v="49500"/>
    <n v="38500"/>
    <n v="11000"/>
    <x v="1"/>
    <s v="Gujarat"/>
    <s v="West"/>
    <s v="Card"/>
    <s v="Pending"/>
    <s v="No"/>
    <n v="4"/>
  </r>
  <r>
    <s v="ORD00170"/>
    <d v="2025-08-02T00:00:00"/>
    <s v="C1641"/>
    <x v="146"/>
    <s v="P1004"/>
    <x v="4"/>
    <x v="0"/>
    <x v="3"/>
    <x v="4"/>
    <n v="5"/>
    <n v="3500"/>
    <n v="5"/>
    <n v="16625"/>
    <n v="12250"/>
    <n v="4375"/>
    <x v="1"/>
    <s v="Gujarat"/>
    <s v="West"/>
    <s v="UPI"/>
    <s v="Pending"/>
    <s v="Yes"/>
    <n v="5"/>
  </r>
  <r>
    <s v="ORD00171"/>
    <d v="2025-10-26T00:00:00"/>
    <s v="C1336"/>
    <x v="5"/>
    <s v="P1001"/>
    <x v="2"/>
    <x v="0"/>
    <x v="2"/>
    <x v="2"/>
    <n v="3"/>
    <n v="55000"/>
    <n v="15"/>
    <n v="140250"/>
    <n v="115500"/>
    <n v="24750.000000000011"/>
    <x v="0"/>
    <s v="Delhi"/>
    <s v="North"/>
    <s v="UPI"/>
    <s v="Pending"/>
    <s v="Yes"/>
    <n v="2"/>
  </r>
  <r>
    <s v="ORD00172"/>
    <d v="2025-08-21T00:00:00"/>
    <s v="C1776"/>
    <x v="144"/>
    <s v="P1004"/>
    <x v="4"/>
    <x v="0"/>
    <x v="3"/>
    <x v="4"/>
    <n v="2"/>
    <n v="3500"/>
    <n v="0"/>
    <n v="7000"/>
    <n v="4900"/>
    <n v="2100"/>
    <x v="1"/>
    <s v="Gujarat"/>
    <s v="West"/>
    <s v="UPI"/>
    <s v="Delivered"/>
    <s v="Yes"/>
    <n v="1"/>
  </r>
  <r>
    <s v="ORD00173"/>
    <d v="2025-06-26T00:00:00"/>
    <s v="C1925"/>
    <x v="147"/>
    <s v="P1004"/>
    <x v="4"/>
    <x v="0"/>
    <x v="3"/>
    <x v="4"/>
    <n v="5"/>
    <n v="3500"/>
    <n v="0"/>
    <n v="17500"/>
    <n v="12250"/>
    <n v="5250"/>
    <x v="1"/>
    <s v="Gujarat"/>
    <s v="West"/>
    <s v="Card"/>
    <s v="Delivered"/>
    <s v="Yes"/>
    <n v="5"/>
  </r>
  <r>
    <s v="ORD00174"/>
    <d v="2025-06-06T00:00:00"/>
    <s v="C1799"/>
    <x v="148"/>
    <s v="P1005"/>
    <x v="1"/>
    <x v="1"/>
    <x v="1"/>
    <x v="1"/>
    <n v="2"/>
    <n v="4500"/>
    <n v="5"/>
    <n v="8550"/>
    <n v="6300"/>
    <n v="2250"/>
    <x v="1"/>
    <s v="Gujarat"/>
    <s v="West"/>
    <s v="UPI"/>
    <s v="Pending"/>
    <s v="No"/>
    <n v="5"/>
  </r>
  <r>
    <s v="ORD00175"/>
    <d v="2025-02-01T00:00:00"/>
    <s v="C1033"/>
    <x v="149"/>
    <s v="P1002"/>
    <x v="0"/>
    <x v="0"/>
    <x v="0"/>
    <x v="0"/>
    <n v="3"/>
    <n v="800"/>
    <n v="10"/>
    <n v="2160"/>
    <n v="1680"/>
    <n v="480"/>
    <x v="1"/>
    <s v="Gujarat"/>
    <s v="West"/>
    <s v="Cash"/>
    <s v="Pending"/>
    <s v="No"/>
    <n v="1"/>
  </r>
  <r>
    <s v="ORD00176"/>
    <d v="2025-08-25T00:00:00"/>
    <s v="C1217"/>
    <x v="150"/>
    <s v="P1003"/>
    <x v="3"/>
    <x v="0"/>
    <x v="0"/>
    <x v="3"/>
    <n v="5"/>
    <n v="1500"/>
    <n v="0"/>
    <n v="7500"/>
    <n v="5250"/>
    <n v="2250"/>
    <x v="2"/>
    <s v="Maharashtra"/>
    <s v="West"/>
    <s v="UPI"/>
    <s v="Pending"/>
    <s v="No"/>
    <n v="5"/>
  </r>
  <r>
    <s v="ORD00177"/>
    <d v="2025-02-21T00:00:00"/>
    <s v="C1840"/>
    <x v="51"/>
    <s v="P1005"/>
    <x v="1"/>
    <x v="1"/>
    <x v="1"/>
    <x v="1"/>
    <n v="1"/>
    <n v="4500"/>
    <n v="0"/>
    <n v="4500"/>
    <n v="3150"/>
    <n v="1350"/>
    <x v="1"/>
    <s v="Gujarat"/>
    <s v="West"/>
    <s v="UPI"/>
    <s v="Pending"/>
    <s v="Yes"/>
    <n v="5"/>
  </r>
  <r>
    <s v="ORD00178"/>
    <d v="2025-01-31T00:00:00"/>
    <s v="C1829"/>
    <x v="70"/>
    <s v="P1004"/>
    <x v="4"/>
    <x v="0"/>
    <x v="3"/>
    <x v="4"/>
    <n v="2"/>
    <n v="3500"/>
    <n v="10"/>
    <n v="6300"/>
    <n v="4900"/>
    <n v="1400"/>
    <x v="2"/>
    <s v="Maharashtra"/>
    <s v="West"/>
    <s v="Cash"/>
    <s v="Delivered"/>
    <s v="Yes"/>
    <n v="3"/>
  </r>
  <r>
    <s v="ORD00179"/>
    <d v="2025-04-19T00:00:00"/>
    <s v="C1381"/>
    <x v="151"/>
    <s v="P1002"/>
    <x v="0"/>
    <x v="0"/>
    <x v="0"/>
    <x v="0"/>
    <n v="2"/>
    <n v="800"/>
    <n v="10"/>
    <n v="1440"/>
    <n v="1120"/>
    <n v="320"/>
    <x v="1"/>
    <s v="Gujarat"/>
    <s v="West"/>
    <s v="Card"/>
    <s v="Delivered"/>
    <s v="Yes"/>
    <n v="5"/>
  </r>
  <r>
    <s v="ORD00180"/>
    <d v="2025-07-21T00:00:00"/>
    <s v="C1351"/>
    <x v="152"/>
    <s v="P1003"/>
    <x v="3"/>
    <x v="0"/>
    <x v="0"/>
    <x v="3"/>
    <n v="2"/>
    <n v="1500"/>
    <n v="15"/>
    <n v="2550"/>
    <n v="2100"/>
    <n v="450"/>
    <x v="1"/>
    <s v="Gujarat"/>
    <s v="West"/>
    <s v="Cash"/>
    <s v="Delivered"/>
    <s v="No"/>
    <n v="3"/>
  </r>
  <r>
    <s v="ORD00181"/>
    <d v="2025-03-25T00:00:00"/>
    <s v="C1485"/>
    <x v="27"/>
    <s v="P1001"/>
    <x v="2"/>
    <x v="0"/>
    <x v="2"/>
    <x v="2"/>
    <n v="3"/>
    <n v="55000"/>
    <n v="0"/>
    <n v="165000"/>
    <n v="115500"/>
    <n v="49500.000000000007"/>
    <x v="3"/>
    <s v="Karnataka"/>
    <s v="South"/>
    <s v="Cash"/>
    <s v="Pending"/>
    <s v="No"/>
    <n v="5"/>
  </r>
  <r>
    <s v="ORD00182"/>
    <d v="2025-10-25T00:00:00"/>
    <s v="C1489"/>
    <x v="153"/>
    <s v="P1001"/>
    <x v="2"/>
    <x v="0"/>
    <x v="2"/>
    <x v="2"/>
    <n v="4"/>
    <n v="55000"/>
    <n v="0"/>
    <n v="220000"/>
    <n v="154000"/>
    <n v="66000"/>
    <x v="0"/>
    <s v="Delhi"/>
    <s v="North"/>
    <s v="Card"/>
    <s v="Pending"/>
    <s v="Yes"/>
    <n v="3"/>
  </r>
  <r>
    <s v="ORD00183"/>
    <d v="2025-01-25T00:00:00"/>
    <s v="C1242"/>
    <x v="34"/>
    <s v="P1005"/>
    <x v="1"/>
    <x v="1"/>
    <x v="1"/>
    <x v="1"/>
    <n v="2"/>
    <n v="4500"/>
    <n v="0"/>
    <n v="9000"/>
    <n v="6300"/>
    <n v="2700"/>
    <x v="1"/>
    <s v="Gujarat"/>
    <s v="West"/>
    <s v="UPI"/>
    <s v="Pending"/>
    <s v="Yes"/>
    <n v="3"/>
  </r>
  <r>
    <s v="ORD00184"/>
    <d v="2025-01-16T00:00:00"/>
    <s v="C1736"/>
    <x v="154"/>
    <s v="P1005"/>
    <x v="1"/>
    <x v="1"/>
    <x v="1"/>
    <x v="1"/>
    <n v="3"/>
    <n v="4500"/>
    <n v="10"/>
    <n v="12150"/>
    <n v="9450"/>
    <n v="2700"/>
    <x v="3"/>
    <s v="Karnataka"/>
    <s v="South"/>
    <s v="UPI"/>
    <s v="Cancelled"/>
    <s v="Yes"/>
    <n v="3"/>
  </r>
  <r>
    <s v="ORD00185"/>
    <d v="2025-11-07T00:00:00"/>
    <s v="C1443"/>
    <x v="155"/>
    <s v="P1001"/>
    <x v="2"/>
    <x v="0"/>
    <x v="2"/>
    <x v="2"/>
    <n v="1"/>
    <n v="55000"/>
    <n v="15"/>
    <n v="46750"/>
    <n v="38500"/>
    <n v="8250"/>
    <x v="2"/>
    <s v="Maharashtra"/>
    <s v="West"/>
    <s v="UPI"/>
    <s v="Pending"/>
    <s v="No"/>
    <n v="5"/>
  </r>
  <r>
    <s v="ORD00186"/>
    <d v="2025-07-01T00:00:00"/>
    <s v="C1693"/>
    <x v="156"/>
    <s v="P1004"/>
    <x v="4"/>
    <x v="0"/>
    <x v="3"/>
    <x v="4"/>
    <n v="5"/>
    <n v="3500"/>
    <n v="10"/>
    <n v="15750"/>
    <n v="12250"/>
    <n v="3500"/>
    <x v="2"/>
    <s v="Maharashtra"/>
    <s v="West"/>
    <s v="Cash"/>
    <s v="Pending"/>
    <s v="Yes"/>
    <n v="3"/>
  </r>
  <r>
    <s v="ORD00187"/>
    <d v="2025-10-20T00:00:00"/>
    <s v="C1714"/>
    <x v="157"/>
    <s v="P1001"/>
    <x v="2"/>
    <x v="0"/>
    <x v="2"/>
    <x v="2"/>
    <n v="3"/>
    <n v="55000"/>
    <n v="0"/>
    <n v="165000"/>
    <n v="115500"/>
    <n v="49500.000000000007"/>
    <x v="3"/>
    <s v="Karnataka"/>
    <s v="South"/>
    <s v="Cash"/>
    <s v="Delivered"/>
    <s v="No"/>
    <n v="3"/>
  </r>
  <r>
    <s v="ORD00188"/>
    <d v="2025-08-18T00:00:00"/>
    <s v="C1247"/>
    <x v="158"/>
    <s v="P1004"/>
    <x v="4"/>
    <x v="0"/>
    <x v="3"/>
    <x v="4"/>
    <n v="3"/>
    <n v="3500"/>
    <n v="15"/>
    <n v="8925"/>
    <n v="7349.9999999999991"/>
    <n v="1575.0000000000009"/>
    <x v="0"/>
    <s v="Delhi"/>
    <s v="North"/>
    <s v="UPI"/>
    <s v="Cancelled"/>
    <s v="No"/>
    <n v="1"/>
  </r>
  <r>
    <s v="ORD00189"/>
    <d v="2025-08-15T00:00:00"/>
    <s v="C1903"/>
    <x v="159"/>
    <s v="P1004"/>
    <x v="4"/>
    <x v="0"/>
    <x v="3"/>
    <x v="4"/>
    <n v="5"/>
    <n v="3500"/>
    <n v="15"/>
    <n v="14875"/>
    <n v="12250"/>
    <n v="2625"/>
    <x v="1"/>
    <s v="Gujarat"/>
    <s v="West"/>
    <s v="UPI"/>
    <s v="Cancelled"/>
    <s v="Yes"/>
    <n v="3"/>
  </r>
  <r>
    <s v="ORD00190"/>
    <d v="2025-05-16T00:00:00"/>
    <s v="C1795"/>
    <x v="160"/>
    <s v="P1002"/>
    <x v="0"/>
    <x v="0"/>
    <x v="0"/>
    <x v="0"/>
    <n v="1"/>
    <n v="800"/>
    <n v="5"/>
    <n v="760"/>
    <n v="560"/>
    <n v="200"/>
    <x v="3"/>
    <s v="Karnataka"/>
    <s v="South"/>
    <s v="Card"/>
    <s v="Cancelled"/>
    <s v="Yes"/>
    <n v="1"/>
  </r>
  <r>
    <s v="ORD00191"/>
    <d v="2025-06-12T00:00:00"/>
    <s v="C1368"/>
    <x v="161"/>
    <s v="P1002"/>
    <x v="0"/>
    <x v="0"/>
    <x v="0"/>
    <x v="0"/>
    <n v="4"/>
    <n v="800"/>
    <n v="10"/>
    <n v="2880"/>
    <n v="2240"/>
    <n v="640"/>
    <x v="1"/>
    <s v="Gujarat"/>
    <s v="West"/>
    <s v="Cash"/>
    <s v="Cancelled"/>
    <s v="No"/>
    <n v="2"/>
  </r>
  <r>
    <s v="ORD00192"/>
    <d v="2025-08-12T00:00:00"/>
    <s v="C1146"/>
    <x v="162"/>
    <s v="P1004"/>
    <x v="4"/>
    <x v="0"/>
    <x v="3"/>
    <x v="4"/>
    <n v="5"/>
    <n v="3500"/>
    <n v="10"/>
    <n v="15750"/>
    <n v="12250"/>
    <n v="3500"/>
    <x v="1"/>
    <s v="Gujarat"/>
    <s v="West"/>
    <s v="Cash"/>
    <s v="Pending"/>
    <s v="No"/>
    <n v="4"/>
  </r>
  <r>
    <s v="ORD00193"/>
    <d v="2025-11-14T00:00:00"/>
    <s v="C1293"/>
    <x v="163"/>
    <s v="P1001"/>
    <x v="2"/>
    <x v="0"/>
    <x v="2"/>
    <x v="2"/>
    <n v="3"/>
    <n v="55000"/>
    <n v="0"/>
    <n v="165000"/>
    <n v="115500"/>
    <n v="49500.000000000007"/>
    <x v="3"/>
    <s v="Karnataka"/>
    <s v="South"/>
    <s v="UPI"/>
    <s v="Delivered"/>
    <s v="Yes"/>
    <n v="4"/>
  </r>
  <r>
    <s v="ORD00194"/>
    <d v="2025-07-20T00:00:00"/>
    <s v="C1477"/>
    <x v="164"/>
    <s v="P1003"/>
    <x v="3"/>
    <x v="0"/>
    <x v="0"/>
    <x v="3"/>
    <n v="1"/>
    <n v="1500"/>
    <n v="0"/>
    <n v="1500"/>
    <n v="1050"/>
    <n v="450"/>
    <x v="0"/>
    <s v="Delhi"/>
    <s v="North"/>
    <s v="Card"/>
    <s v="Cancelled"/>
    <s v="No"/>
    <n v="1"/>
  </r>
  <r>
    <s v="ORD00195"/>
    <d v="2025-08-20T00:00:00"/>
    <s v="C1099"/>
    <x v="165"/>
    <s v="P1004"/>
    <x v="4"/>
    <x v="0"/>
    <x v="3"/>
    <x v="4"/>
    <n v="4"/>
    <n v="3500"/>
    <n v="10"/>
    <n v="12600"/>
    <n v="9800"/>
    <n v="2800"/>
    <x v="1"/>
    <s v="Gujarat"/>
    <s v="West"/>
    <s v="Card"/>
    <s v="Pending"/>
    <s v="Yes"/>
    <n v="3"/>
  </r>
  <r>
    <s v="ORD00196"/>
    <d v="2025-01-29T00:00:00"/>
    <s v="C1104"/>
    <x v="93"/>
    <s v="P1003"/>
    <x v="3"/>
    <x v="0"/>
    <x v="0"/>
    <x v="3"/>
    <n v="3"/>
    <n v="1500"/>
    <n v="10"/>
    <n v="4050"/>
    <n v="3150"/>
    <n v="900"/>
    <x v="3"/>
    <s v="Karnataka"/>
    <s v="South"/>
    <s v="UPI"/>
    <s v="Pending"/>
    <s v="No"/>
    <n v="4"/>
  </r>
  <r>
    <s v="ORD00197"/>
    <d v="2025-09-27T00:00:00"/>
    <s v="C1220"/>
    <x v="166"/>
    <s v="P1001"/>
    <x v="2"/>
    <x v="0"/>
    <x v="2"/>
    <x v="2"/>
    <n v="2"/>
    <n v="55000"/>
    <n v="0"/>
    <n v="110000"/>
    <n v="77000"/>
    <n v="33000"/>
    <x v="3"/>
    <s v="Karnataka"/>
    <s v="South"/>
    <s v="Card"/>
    <s v="Pending"/>
    <s v="No"/>
    <n v="5"/>
  </r>
  <r>
    <s v="ORD00198"/>
    <d v="2025-12-11T00:00:00"/>
    <s v="C1553"/>
    <x v="44"/>
    <s v="P1004"/>
    <x v="4"/>
    <x v="0"/>
    <x v="3"/>
    <x v="4"/>
    <n v="3"/>
    <n v="3500"/>
    <n v="10"/>
    <n v="9450"/>
    <n v="7349.9999999999991"/>
    <n v="2100.0000000000009"/>
    <x v="1"/>
    <s v="Gujarat"/>
    <s v="West"/>
    <s v="Cash"/>
    <s v="Pending"/>
    <s v="Yes"/>
    <n v="5"/>
  </r>
  <r>
    <s v="ORD00199"/>
    <d v="2025-01-29T00:00:00"/>
    <s v="C1713"/>
    <x v="15"/>
    <s v="P1002"/>
    <x v="0"/>
    <x v="0"/>
    <x v="0"/>
    <x v="0"/>
    <n v="5"/>
    <n v="800"/>
    <n v="5"/>
    <n v="3800"/>
    <n v="2800"/>
    <n v="1000"/>
    <x v="3"/>
    <s v="Karnataka"/>
    <s v="South"/>
    <s v="Cash"/>
    <s v="Delivered"/>
    <s v="Yes"/>
    <n v="4"/>
  </r>
  <r>
    <s v="ORD00200"/>
    <d v="2025-02-24T00:00:00"/>
    <s v="C1773"/>
    <x v="167"/>
    <s v="P1003"/>
    <x v="3"/>
    <x v="0"/>
    <x v="0"/>
    <x v="3"/>
    <n v="1"/>
    <n v="1500"/>
    <n v="5"/>
    <n v="1425"/>
    <n v="1050"/>
    <n v="375"/>
    <x v="2"/>
    <s v="Maharashtra"/>
    <s v="West"/>
    <s v="Cash"/>
    <s v="Delivered"/>
    <s v="No"/>
    <n v="3"/>
  </r>
  <r>
    <s v="ORD00201"/>
    <d v="2025-04-30T00:00:00"/>
    <s v="C1920"/>
    <x v="68"/>
    <s v="P1001"/>
    <x v="2"/>
    <x v="0"/>
    <x v="2"/>
    <x v="2"/>
    <n v="1"/>
    <n v="55000"/>
    <n v="10"/>
    <n v="49500"/>
    <n v="38500"/>
    <n v="11000"/>
    <x v="0"/>
    <s v="Delhi"/>
    <s v="North"/>
    <s v="Card"/>
    <s v="Pending"/>
    <s v="Yes"/>
    <n v="3"/>
  </r>
  <r>
    <s v="ORD00202"/>
    <d v="2025-01-16T00:00:00"/>
    <s v="C1604"/>
    <x v="168"/>
    <s v="P1004"/>
    <x v="4"/>
    <x v="0"/>
    <x v="3"/>
    <x v="4"/>
    <n v="4"/>
    <n v="3500"/>
    <n v="10"/>
    <n v="12600"/>
    <n v="9800"/>
    <n v="2800"/>
    <x v="0"/>
    <s v="Delhi"/>
    <s v="North"/>
    <s v="UPI"/>
    <s v="Pending"/>
    <s v="No"/>
    <n v="4"/>
  </r>
  <r>
    <s v="ORD00203"/>
    <d v="2025-08-03T00:00:00"/>
    <s v="C1694"/>
    <x v="169"/>
    <s v="P1003"/>
    <x v="3"/>
    <x v="0"/>
    <x v="0"/>
    <x v="3"/>
    <n v="2"/>
    <n v="1500"/>
    <n v="10"/>
    <n v="2700"/>
    <n v="2100"/>
    <n v="600"/>
    <x v="3"/>
    <s v="Karnataka"/>
    <s v="South"/>
    <s v="Cash"/>
    <s v="Cancelled"/>
    <s v="No"/>
    <n v="4"/>
  </r>
  <r>
    <s v="ORD00204"/>
    <d v="2025-06-11T00:00:00"/>
    <s v="C1325"/>
    <x v="79"/>
    <s v="P1003"/>
    <x v="3"/>
    <x v="0"/>
    <x v="0"/>
    <x v="3"/>
    <n v="3"/>
    <n v="1500"/>
    <n v="5"/>
    <n v="4275"/>
    <n v="3150"/>
    <n v="1125"/>
    <x v="1"/>
    <s v="Gujarat"/>
    <s v="West"/>
    <s v="Card"/>
    <s v="Pending"/>
    <s v="No"/>
    <n v="3"/>
  </r>
  <r>
    <s v="ORD00205"/>
    <d v="2025-01-23T00:00:00"/>
    <s v="C1134"/>
    <x v="74"/>
    <s v="P1003"/>
    <x v="3"/>
    <x v="0"/>
    <x v="0"/>
    <x v="3"/>
    <n v="5"/>
    <n v="1500"/>
    <n v="0"/>
    <n v="7500"/>
    <n v="5250"/>
    <n v="2250"/>
    <x v="0"/>
    <s v="Delhi"/>
    <s v="North"/>
    <s v="Card"/>
    <s v="Delivered"/>
    <s v="Yes"/>
    <n v="1"/>
  </r>
  <r>
    <s v="ORD00206"/>
    <d v="2025-06-10T00:00:00"/>
    <s v="C1307"/>
    <x v="170"/>
    <s v="P1005"/>
    <x v="1"/>
    <x v="1"/>
    <x v="1"/>
    <x v="1"/>
    <n v="2"/>
    <n v="4500"/>
    <n v="0"/>
    <n v="9000"/>
    <n v="6300"/>
    <n v="2700"/>
    <x v="3"/>
    <s v="Karnataka"/>
    <s v="South"/>
    <s v="Cash"/>
    <s v="Delivered"/>
    <s v="No"/>
    <n v="4"/>
  </r>
  <r>
    <s v="ORD00207"/>
    <d v="2025-12-31T00:00:00"/>
    <s v="C1401"/>
    <x v="171"/>
    <s v="P1004"/>
    <x v="4"/>
    <x v="0"/>
    <x v="3"/>
    <x v="4"/>
    <n v="3"/>
    <n v="3500"/>
    <n v="0"/>
    <n v="10500"/>
    <n v="7349.9999999999991"/>
    <n v="3150.0000000000009"/>
    <x v="1"/>
    <s v="Gujarat"/>
    <s v="West"/>
    <s v="UPI"/>
    <s v="Delivered"/>
    <s v="Yes"/>
    <n v="4"/>
  </r>
  <r>
    <s v="ORD00208"/>
    <d v="2025-08-21T00:00:00"/>
    <s v="C1453"/>
    <x v="96"/>
    <s v="P1001"/>
    <x v="2"/>
    <x v="0"/>
    <x v="2"/>
    <x v="2"/>
    <n v="3"/>
    <n v="55000"/>
    <n v="15"/>
    <n v="140250"/>
    <n v="115500"/>
    <n v="24750.000000000011"/>
    <x v="2"/>
    <s v="Maharashtra"/>
    <s v="West"/>
    <s v="UPI"/>
    <s v="Pending"/>
    <s v="No"/>
    <n v="4"/>
  </r>
  <r>
    <s v="ORD00209"/>
    <d v="2025-07-02T00:00:00"/>
    <s v="C1896"/>
    <x v="56"/>
    <s v="P1001"/>
    <x v="2"/>
    <x v="0"/>
    <x v="2"/>
    <x v="2"/>
    <n v="5"/>
    <n v="55000"/>
    <n v="5"/>
    <n v="261250"/>
    <n v="192500"/>
    <n v="68750"/>
    <x v="2"/>
    <s v="Maharashtra"/>
    <s v="West"/>
    <s v="UPI"/>
    <s v="Delivered"/>
    <s v="No"/>
    <n v="3"/>
  </r>
  <r>
    <s v="ORD00210"/>
    <d v="2025-08-22T00:00:00"/>
    <s v="C1028"/>
    <x v="36"/>
    <s v="P1004"/>
    <x v="4"/>
    <x v="0"/>
    <x v="3"/>
    <x v="4"/>
    <n v="4"/>
    <n v="3500"/>
    <n v="0"/>
    <n v="14000"/>
    <n v="9800"/>
    <n v="4200"/>
    <x v="0"/>
    <s v="Delhi"/>
    <s v="North"/>
    <s v="Card"/>
    <s v="Cancelled"/>
    <s v="Yes"/>
    <n v="4"/>
  </r>
  <r>
    <s v="ORD00211"/>
    <d v="2025-08-12T00:00:00"/>
    <s v="C1572"/>
    <x v="172"/>
    <s v="P1002"/>
    <x v="0"/>
    <x v="0"/>
    <x v="0"/>
    <x v="0"/>
    <n v="5"/>
    <n v="800"/>
    <n v="15"/>
    <n v="3400"/>
    <n v="2800"/>
    <n v="600"/>
    <x v="0"/>
    <s v="Delhi"/>
    <s v="North"/>
    <s v="Cash"/>
    <s v="Pending"/>
    <s v="Yes"/>
    <n v="3"/>
  </r>
  <r>
    <s v="ORD00212"/>
    <d v="2025-05-03T00:00:00"/>
    <s v="C1253"/>
    <x v="173"/>
    <s v="P1005"/>
    <x v="1"/>
    <x v="1"/>
    <x v="1"/>
    <x v="1"/>
    <n v="4"/>
    <n v="4500"/>
    <n v="0"/>
    <n v="18000"/>
    <n v="12600"/>
    <n v="5400"/>
    <x v="3"/>
    <s v="Karnataka"/>
    <s v="South"/>
    <s v="UPI"/>
    <s v="Cancelled"/>
    <s v="Yes"/>
    <n v="2"/>
  </r>
  <r>
    <s v="ORD00213"/>
    <d v="2025-06-12T00:00:00"/>
    <s v="C1027"/>
    <x v="174"/>
    <s v="P1003"/>
    <x v="3"/>
    <x v="0"/>
    <x v="0"/>
    <x v="3"/>
    <n v="3"/>
    <n v="1500"/>
    <n v="10"/>
    <n v="4050"/>
    <n v="3150"/>
    <n v="900"/>
    <x v="1"/>
    <s v="Gujarat"/>
    <s v="West"/>
    <s v="UPI"/>
    <s v="Pending"/>
    <s v="No"/>
    <n v="3"/>
  </r>
  <r>
    <s v="ORD00214"/>
    <d v="2025-04-25T00:00:00"/>
    <s v="C1985"/>
    <x v="175"/>
    <s v="P1002"/>
    <x v="0"/>
    <x v="0"/>
    <x v="0"/>
    <x v="0"/>
    <n v="5"/>
    <n v="800"/>
    <n v="15"/>
    <n v="3400"/>
    <n v="2800"/>
    <n v="600"/>
    <x v="1"/>
    <s v="Gujarat"/>
    <s v="West"/>
    <s v="UPI"/>
    <s v="Delivered"/>
    <s v="Yes"/>
    <n v="3"/>
  </r>
  <r>
    <s v="ORD00215"/>
    <d v="2025-08-28T00:00:00"/>
    <s v="C1764"/>
    <x v="93"/>
    <s v="P1005"/>
    <x v="1"/>
    <x v="1"/>
    <x v="1"/>
    <x v="1"/>
    <n v="2"/>
    <n v="4500"/>
    <n v="0"/>
    <n v="9000"/>
    <n v="6300"/>
    <n v="2700"/>
    <x v="1"/>
    <s v="Gujarat"/>
    <s v="West"/>
    <s v="Cash"/>
    <s v="Delivered"/>
    <s v="Yes"/>
    <n v="2"/>
  </r>
  <r>
    <s v="ORD00216"/>
    <d v="2025-03-30T00:00:00"/>
    <s v="C1130"/>
    <x v="127"/>
    <s v="P1004"/>
    <x v="4"/>
    <x v="0"/>
    <x v="3"/>
    <x v="4"/>
    <n v="2"/>
    <n v="3500"/>
    <n v="10"/>
    <n v="6300"/>
    <n v="4900"/>
    <n v="1400"/>
    <x v="2"/>
    <s v="Maharashtra"/>
    <s v="West"/>
    <s v="Card"/>
    <s v="Cancelled"/>
    <s v="Yes"/>
    <n v="4"/>
  </r>
  <r>
    <s v="ORD00217"/>
    <d v="2025-05-20T00:00:00"/>
    <s v="C1974"/>
    <x v="176"/>
    <s v="P1001"/>
    <x v="2"/>
    <x v="0"/>
    <x v="2"/>
    <x v="2"/>
    <n v="2"/>
    <n v="55000"/>
    <n v="10"/>
    <n v="99000"/>
    <n v="77000"/>
    <n v="22000"/>
    <x v="3"/>
    <s v="Karnataka"/>
    <s v="South"/>
    <s v="UPI"/>
    <s v="Pending"/>
    <s v="No"/>
    <n v="1"/>
  </r>
  <r>
    <s v="ORD00218"/>
    <d v="2025-12-12T00:00:00"/>
    <s v="C1553"/>
    <x v="177"/>
    <s v="P1001"/>
    <x v="2"/>
    <x v="0"/>
    <x v="2"/>
    <x v="2"/>
    <n v="4"/>
    <n v="55000"/>
    <n v="15"/>
    <n v="187000"/>
    <n v="154000"/>
    <n v="33000"/>
    <x v="1"/>
    <s v="Gujarat"/>
    <s v="West"/>
    <s v="Card"/>
    <s v="Pending"/>
    <s v="No"/>
    <n v="5"/>
  </r>
  <r>
    <s v="ORD00219"/>
    <d v="2025-10-27T00:00:00"/>
    <s v="C1206"/>
    <x v="178"/>
    <s v="P1002"/>
    <x v="0"/>
    <x v="0"/>
    <x v="0"/>
    <x v="0"/>
    <n v="3"/>
    <n v="800"/>
    <n v="10"/>
    <n v="2160"/>
    <n v="1680"/>
    <n v="480"/>
    <x v="2"/>
    <s v="Maharashtra"/>
    <s v="West"/>
    <s v="UPI"/>
    <s v="Delivered"/>
    <s v="No"/>
    <n v="5"/>
  </r>
  <r>
    <s v="ORD00220"/>
    <d v="2025-01-02T00:00:00"/>
    <s v="C1262"/>
    <x v="135"/>
    <s v="P1003"/>
    <x v="3"/>
    <x v="0"/>
    <x v="0"/>
    <x v="3"/>
    <n v="4"/>
    <n v="1500"/>
    <n v="10"/>
    <n v="5400"/>
    <n v="4200"/>
    <n v="1200"/>
    <x v="3"/>
    <s v="Karnataka"/>
    <s v="South"/>
    <s v="UPI"/>
    <s v="Pending"/>
    <s v="No"/>
    <n v="5"/>
  </r>
  <r>
    <s v="ORD00221"/>
    <d v="2025-07-09T00:00:00"/>
    <s v="C1911"/>
    <x v="179"/>
    <s v="P1001"/>
    <x v="2"/>
    <x v="0"/>
    <x v="2"/>
    <x v="2"/>
    <n v="3"/>
    <n v="55000"/>
    <n v="0"/>
    <n v="165000"/>
    <n v="115500"/>
    <n v="49500.000000000007"/>
    <x v="1"/>
    <s v="Gujarat"/>
    <s v="West"/>
    <s v="Card"/>
    <s v="Pending"/>
    <s v="No"/>
    <n v="5"/>
  </r>
  <r>
    <s v="ORD00222"/>
    <d v="2025-02-18T00:00:00"/>
    <s v="C1748"/>
    <x v="164"/>
    <s v="P1005"/>
    <x v="1"/>
    <x v="1"/>
    <x v="1"/>
    <x v="1"/>
    <n v="5"/>
    <n v="4500"/>
    <n v="10"/>
    <n v="20250"/>
    <n v="15750"/>
    <n v="4500.0000000000018"/>
    <x v="0"/>
    <s v="Delhi"/>
    <s v="North"/>
    <s v="Cash"/>
    <s v="Pending"/>
    <s v="No"/>
    <n v="3"/>
  </r>
  <r>
    <s v="ORD00223"/>
    <d v="2025-04-17T00:00:00"/>
    <s v="C1656"/>
    <x v="42"/>
    <s v="P1004"/>
    <x v="4"/>
    <x v="0"/>
    <x v="3"/>
    <x v="4"/>
    <n v="5"/>
    <n v="3500"/>
    <n v="0"/>
    <n v="17500"/>
    <n v="12250"/>
    <n v="5250"/>
    <x v="0"/>
    <s v="Delhi"/>
    <s v="North"/>
    <s v="Card"/>
    <s v="Delivered"/>
    <s v="No"/>
    <n v="1"/>
  </r>
  <r>
    <s v="ORD00224"/>
    <d v="2025-12-10T00:00:00"/>
    <s v="C1765"/>
    <x v="179"/>
    <s v="P1003"/>
    <x v="3"/>
    <x v="0"/>
    <x v="0"/>
    <x v="3"/>
    <n v="4"/>
    <n v="1500"/>
    <n v="0"/>
    <n v="6000"/>
    <n v="4200"/>
    <n v="1800"/>
    <x v="3"/>
    <s v="Karnataka"/>
    <s v="South"/>
    <s v="Cash"/>
    <s v="Cancelled"/>
    <s v="No"/>
    <n v="2"/>
  </r>
  <r>
    <s v="ORD00225"/>
    <d v="2025-11-17T00:00:00"/>
    <s v="C1691"/>
    <x v="122"/>
    <s v="P1002"/>
    <x v="0"/>
    <x v="0"/>
    <x v="0"/>
    <x v="0"/>
    <n v="5"/>
    <n v="800"/>
    <n v="15"/>
    <n v="3400"/>
    <n v="2800"/>
    <n v="600"/>
    <x v="2"/>
    <s v="Maharashtra"/>
    <s v="West"/>
    <s v="Card"/>
    <s v="Cancelled"/>
    <s v="Yes"/>
    <n v="1"/>
  </r>
  <r>
    <s v="ORD00226"/>
    <d v="2025-03-05T00:00:00"/>
    <s v="C1696"/>
    <x v="137"/>
    <s v="P1002"/>
    <x v="0"/>
    <x v="0"/>
    <x v="0"/>
    <x v="0"/>
    <n v="5"/>
    <n v="800"/>
    <n v="5"/>
    <n v="3800"/>
    <n v="2800"/>
    <n v="1000"/>
    <x v="3"/>
    <s v="Karnataka"/>
    <s v="South"/>
    <s v="UPI"/>
    <s v="Delivered"/>
    <s v="No"/>
    <n v="2"/>
  </r>
  <r>
    <s v="ORD00227"/>
    <d v="2025-03-11T00:00:00"/>
    <s v="C1967"/>
    <x v="180"/>
    <s v="P1005"/>
    <x v="1"/>
    <x v="1"/>
    <x v="1"/>
    <x v="1"/>
    <n v="5"/>
    <n v="4500"/>
    <n v="5"/>
    <n v="21375"/>
    <n v="15750"/>
    <n v="5625.0000000000018"/>
    <x v="2"/>
    <s v="Maharashtra"/>
    <s v="West"/>
    <s v="Card"/>
    <s v="Pending"/>
    <s v="Yes"/>
    <n v="1"/>
  </r>
  <r>
    <s v="ORD00228"/>
    <d v="2025-07-30T00:00:00"/>
    <s v="C1556"/>
    <x v="70"/>
    <s v="P1005"/>
    <x v="1"/>
    <x v="1"/>
    <x v="1"/>
    <x v="1"/>
    <n v="4"/>
    <n v="4500"/>
    <n v="15"/>
    <n v="15300"/>
    <n v="12600"/>
    <n v="2700"/>
    <x v="2"/>
    <s v="Maharashtra"/>
    <s v="West"/>
    <s v="Cash"/>
    <s v="Pending"/>
    <s v="Yes"/>
    <n v="5"/>
  </r>
  <r>
    <s v="ORD00229"/>
    <d v="2025-07-09T00:00:00"/>
    <s v="C1537"/>
    <x v="181"/>
    <s v="P1001"/>
    <x v="2"/>
    <x v="0"/>
    <x v="2"/>
    <x v="2"/>
    <n v="3"/>
    <n v="55000"/>
    <n v="15"/>
    <n v="140250"/>
    <n v="115500"/>
    <n v="24750.000000000011"/>
    <x v="3"/>
    <s v="Karnataka"/>
    <s v="South"/>
    <s v="UPI"/>
    <s v="Cancelled"/>
    <s v="Yes"/>
    <n v="5"/>
  </r>
  <r>
    <s v="ORD00230"/>
    <d v="2025-10-05T00:00:00"/>
    <s v="C1395"/>
    <x v="182"/>
    <s v="P1003"/>
    <x v="3"/>
    <x v="0"/>
    <x v="0"/>
    <x v="3"/>
    <n v="5"/>
    <n v="1500"/>
    <n v="15"/>
    <n v="6375"/>
    <n v="5250"/>
    <n v="1125"/>
    <x v="0"/>
    <s v="Delhi"/>
    <s v="North"/>
    <s v="Cash"/>
    <s v="Cancelled"/>
    <s v="Yes"/>
    <n v="3"/>
  </r>
  <r>
    <s v="ORD00231"/>
    <d v="2025-09-21T00:00:00"/>
    <s v="C1823"/>
    <x v="183"/>
    <s v="P1005"/>
    <x v="1"/>
    <x v="1"/>
    <x v="1"/>
    <x v="1"/>
    <n v="5"/>
    <n v="4500"/>
    <n v="5"/>
    <n v="21375"/>
    <n v="15750"/>
    <n v="5625.0000000000018"/>
    <x v="3"/>
    <s v="Karnataka"/>
    <s v="South"/>
    <s v="Card"/>
    <s v="Cancelled"/>
    <s v="No"/>
    <n v="5"/>
  </r>
  <r>
    <s v="ORD00232"/>
    <d v="2025-07-27T00:00:00"/>
    <s v="C1396"/>
    <x v="184"/>
    <s v="P1005"/>
    <x v="1"/>
    <x v="1"/>
    <x v="1"/>
    <x v="1"/>
    <n v="1"/>
    <n v="4500"/>
    <n v="5"/>
    <n v="4275"/>
    <n v="3150"/>
    <n v="1125"/>
    <x v="3"/>
    <s v="Karnataka"/>
    <s v="South"/>
    <s v="Card"/>
    <s v="Delivered"/>
    <s v="No"/>
    <n v="1"/>
  </r>
  <r>
    <s v="ORD00233"/>
    <d v="2025-02-24T00:00:00"/>
    <s v="C1524"/>
    <x v="185"/>
    <s v="P1004"/>
    <x v="4"/>
    <x v="0"/>
    <x v="3"/>
    <x v="4"/>
    <n v="3"/>
    <n v="3500"/>
    <n v="5"/>
    <n v="9975"/>
    <n v="7349.9999999999991"/>
    <n v="2625.0000000000009"/>
    <x v="0"/>
    <s v="Delhi"/>
    <s v="North"/>
    <s v="UPI"/>
    <s v="Cancelled"/>
    <s v="No"/>
    <n v="5"/>
  </r>
  <r>
    <s v="ORD00234"/>
    <d v="2025-07-14T00:00:00"/>
    <s v="C1128"/>
    <x v="17"/>
    <s v="P1003"/>
    <x v="3"/>
    <x v="0"/>
    <x v="0"/>
    <x v="3"/>
    <n v="4"/>
    <n v="1500"/>
    <n v="5"/>
    <n v="5700"/>
    <n v="4200"/>
    <n v="1500"/>
    <x v="2"/>
    <s v="Maharashtra"/>
    <s v="West"/>
    <s v="Card"/>
    <s v="Pending"/>
    <s v="Yes"/>
    <n v="2"/>
  </r>
  <r>
    <s v="ORD00235"/>
    <d v="2025-07-17T00:00:00"/>
    <s v="C1749"/>
    <x v="186"/>
    <s v="P1001"/>
    <x v="2"/>
    <x v="0"/>
    <x v="2"/>
    <x v="2"/>
    <n v="5"/>
    <n v="55000"/>
    <n v="10"/>
    <n v="247500"/>
    <n v="192500"/>
    <n v="55000"/>
    <x v="0"/>
    <s v="Delhi"/>
    <s v="North"/>
    <s v="UPI"/>
    <s v="Delivered"/>
    <s v="No"/>
    <n v="2"/>
  </r>
  <r>
    <s v="ORD00236"/>
    <d v="2025-11-20T00:00:00"/>
    <s v="C1582"/>
    <x v="187"/>
    <s v="P1003"/>
    <x v="3"/>
    <x v="0"/>
    <x v="0"/>
    <x v="3"/>
    <n v="5"/>
    <n v="1500"/>
    <n v="5"/>
    <n v="7125"/>
    <n v="5250"/>
    <n v="1875"/>
    <x v="1"/>
    <s v="Gujarat"/>
    <s v="West"/>
    <s v="Card"/>
    <s v="Pending"/>
    <s v="Yes"/>
    <n v="3"/>
  </r>
  <r>
    <s v="ORD00237"/>
    <d v="2025-06-27T00:00:00"/>
    <s v="C1219"/>
    <x v="188"/>
    <s v="P1003"/>
    <x v="3"/>
    <x v="0"/>
    <x v="0"/>
    <x v="3"/>
    <n v="1"/>
    <n v="1500"/>
    <n v="10"/>
    <n v="1350"/>
    <n v="1050"/>
    <n v="300"/>
    <x v="3"/>
    <s v="Karnataka"/>
    <s v="South"/>
    <s v="UPI"/>
    <s v="Cancelled"/>
    <s v="Yes"/>
    <n v="2"/>
  </r>
  <r>
    <s v="ORD00238"/>
    <d v="2025-06-19T00:00:00"/>
    <s v="C1672"/>
    <x v="29"/>
    <s v="P1001"/>
    <x v="2"/>
    <x v="0"/>
    <x v="2"/>
    <x v="2"/>
    <n v="2"/>
    <n v="55000"/>
    <n v="10"/>
    <n v="99000"/>
    <n v="77000"/>
    <n v="22000"/>
    <x v="1"/>
    <s v="Gujarat"/>
    <s v="West"/>
    <s v="Card"/>
    <s v="Delivered"/>
    <s v="Yes"/>
    <n v="1"/>
  </r>
  <r>
    <s v="ORD00239"/>
    <d v="2025-05-28T00:00:00"/>
    <s v="C1295"/>
    <x v="189"/>
    <s v="P1001"/>
    <x v="2"/>
    <x v="0"/>
    <x v="2"/>
    <x v="2"/>
    <n v="1"/>
    <n v="55000"/>
    <n v="0"/>
    <n v="55000"/>
    <n v="38500"/>
    <n v="16500"/>
    <x v="1"/>
    <s v="Gujarat"/>
    <s v="West"/>
    <s v="Card"/>
    <s v="Pending"/>
    <s v="Yes"/>
    <n v="5"/>
  </r>
  <r>
    <s v="ORD00240"/>
    <d v="2025-08-18T00:00:00"/>
    <s v="C1350"/>
    <x v="190"/>
    <s v="P1004"/>
    <x v="4"/>
    <x v="0"/>
    <x v="3"/>
    <x v="4"/>
    <n v="3"/>
    <n v="3500"/>
    <n v="15"/>
    <n v="8925"/>
    <n v="7349.9999999999991"/>
    <n v="1575.0000000000009"/>
    <x v="3"/>
    <s v="Karnataka"/>
    <s v="South"/>
    <s v="Card"/>
    <s v="Cancelled"/>
    <s v="No"/>
    <n v="2"/>
  </r>
  <r>
    <s v="ORD00241"/>
    <d v="2025-09-08T00:00:00"/>
    <s v="C1675"/>
    <x v="83"/>
    <s v="P1004"/>
    <x v="4"/>
    <x v="0"/>
    <x v="3"/>
    <x v="4"/>
    <n v="2"/>
    <n v="3500"/>
    <n v="0"/>
    <n v="7000"/>
    <n v="4900"/>
    <n v="2100"/>
    <x v="1"/>
    <s v="Gujarat"/>
    <s v="West"/>
    <s v="Cash"/>
    <s v="Cancelled"/>
    <s v="Yes"/>
    <n v="2"/>
  </r>
  <r>
    <s v="ORD00242"/>
    <d v="2025-06-22T00:00:00"/>
    <s v="C1334"/>
    <x v="191"/>
    <s v="P1001"/>
    <x v="2"/>
    <x v="0"/>
    <x v="2"/>
    <x v="2"/>
    <n v="2"/>
    <n v="55000"/>
    <n v="5"/>
    <n v="104500"/>
    <n v="77000"/>
    <n v="27500"/>
    <x v="0"/>
    <s v="Delhi"/>
    <s v="North"/>
    <s v="Card"/>
    <s v="Pending"/>
    <s v="No"/>
    <n v="2"/>
  </r>
  <r>
    <s v="ORD00243"/>
    <d v="2025-08-13T00:00:00"/>
    <s v="C1801"/>
    <x v="192"/>
    <s v="P1003"/>
    <x v="3"/>
    <x v="0"/>
    <x v="0"/>
    <x v="3"/>
    <n v="2"/>
    <n v="1500"/>
    <n v="15"/>
    <n v="2550"/>
    <n v="2100"/>
    <n v="450"/>
    <x v="1"/>
    <s v="Gujarat"/>
    <s v="West"/>
    <s v="Card"/>
    <s v="Cancelled"/>
    <s v="Yes"/>
    <n v="2"/>
  </r>
  <r>
    <s v="ORD00244"/>
    <d v="2025-07-12T00:00:00"/>
    <s v="C1977"/>
    <x v="193"/>
    <s v="P1001"/>
    <x v="2"/>
    <x v="0"/>
    <x v="2"/>
    <x v="2"/>
    <n v="1"/>
    <n v="55000"/>
    <n v="10"/>
    <n v="49500"/>
    <n v="38500"/>
    <n v="11000"/>
    <x v="3"/>
    <s v="Karnataka"/>
    <s v="South"/>
    <s v="Card"/>
    <s v="Delivered"/>
    <s v="No"/>
    <n v="1"/>
  </r>
  <r>
    <s v="ORD00245"/>
    <d v="2025-07-14T00:00:00"/>
    <s v="C1011"/>
    <x v="194"/>
    <s v="P1004"/>
    <x v="4"/>
    <x v="0"/>
    <x v="3"/>
    <x v="4"/>
    <n v="4"/>
    <n v="3500"/>
    <n v="0"/>
    <n v="14000"/>
    <n v="9800"/>
    <n v="4200"/>
    <x v="1"/>
    <s v="Gujarat"/>
    <s v="West"/>
    <s v="UPI"/>
    <s v="Cancelled"/>
    <s v="No"/>
    <n v="1"/>
  </r>
  <r>
    <s v="ORD00246"/>
    <d v="2025-07-10T00:00:00"/>
    <s v="C1235"/>
    <x v="106"/>
    <s v="P1001"/>
    <x v="2"/>
    <x v="0"/>
    <x v="2"/>
    <x v="2"/>
    <n v="2"/>
    <n v="55000"/>
    <n v="15"/>
    <n v="93500"/>
    <n v="77000"/>
    <n v="16500"/>
    <x v="2"/>
    <s v="Maharashtra"/>
    <s v="West"/>
    <s v="Cash"/>
    <s v="Delivered"/>
    <s v="No"/>
    <n v="5"/>
  </r>
  <r>
    <s v="ORD00247"/>
    <d v="2025-04-27T00:00:00"/>
    <s v="C1859"/>
    <x v="195"/>
    <s v="P1001"/>
    <x v="2"/>
    <x v="0"/>
    <x v="2"/>
    <x v="2"/>
    <n v="3"/>
    <n v="55000"/>
    <n v="5"/>
    <n v="156750"/>
    <n v="115500"/>
    <n v="41250.000000000007"/>
    <x v="1"/>
    <s v="Gujarat"/>
    <s v="West"/>
    <s v="Cash"/>
    <s v="Pending"/>
    <s v="No"/>
    <n v="3"/>
  </r>
  <r>
    <s v="ORD00248"/>
    <d v="2025-07-30T00:00:00"/>
    <s v="C1722"/>
    <x v="196"/>
    <s v="P1005"/>
    <x v="1"/>
    <x v="1"/>
    <x v="1"/>
    <x v="1"/>
    <n v="4"/>
    <n v="4500"/>
    <n v="5"/>
    <n v="17100"/>
    <n v="12600"/>
    <n v="4500"/>
    <x v="3"/>
    <s v="Karnataka"/>
    <s v="South"/>
    <s v="Cash"/>
    <s v="Pending"/>
    <s v="No"/>
    <n v="2"/>
  </r>
  <r>
    <s v="ORD00249"/>
    <d v="2025-11-07T00:00:00"/>
    <s v="C1628"/>
    <x v="197"/>
    <s v="P1002"/>
    <x v="0"/>
    <x v="0"/>
    <x v="0"/>
    <x v="0"/>
    <n v="4"/>
    <n v="800"/>
    <n v="15"/>
    <n v="2720"/>
    <n v="2240"/>
    <n v="480"/>
    <x v="0"/>
    <s v="Delhi"/>
    <s v="North"/>
    <s v="Card"/>
    <s v="Cancelled"/>
    <s v="No"/>
    <n v="1"/>
  </r>
  <r>
    <s v="ORD00250"/>
    <d v="2025-10-07T00:00:00"/>
    <s v="C1635"/>
    <x v="198"/>
    <s v="P1004"/>
    <x v="4"/>
    <x v="0"/>
    <x v="3"/>
    <x v="4"/>
    <n v="2"/>
    <n v="3500"/>
    <n v="15"/>
    <n v="5950"/>
    <n v="4900"/>
    <n v="1050"/>
    <x v="1"/>
    <s v="Gujarat"/>
    <s v="West"/>
    <s v="UPI"/>
    <s v="Delivered"/>
    <s v="No"/>
    <n v="1"/>
  </r>
  <r>
    <s v="ORD00251"/>
    <d v="2025-06-23T00:00:00"/>
    <s v="C1362"/>
    <x v="199"/>
    <s v="P1005"/>
    <x v="1"/>
    <x v="1"/>
    <x v="1"/>
    <x v="1"/>
    <n v="4"/>
    <n v="4500"/>
    <n v="15"/>
    <n v="15300"/>
    <n v="12600"/>
    <n v="2700"/>
    <x v="2"/>
    <s v="Maharashtra"/>
    <s v="West"/>
    <s v="UPI"/>
    <s v="Delivered"/>
    <s v="Yes"/>
    <n v="1"/>
  </r>
  <r>
    <s v="ORD00252"/>
    <d v="2025-09-01T00:00:00"/>
    <s v="C1464"/>
    <x v="200"/>
    <s v="P1002"/>
    <x v="0"/>
    <x v="0"/>
    <x v="0"/>
    <x v="0"/>
    <n v="5"/>
    <n v="800"/>
    <n v="10"/>
    <n v="3600"/>
    <n v="2800"/>
    <n v="800"/>
    <x v="2"/>
    <s v="Maharashtra"/>
    <s v="West"/>
    <s v="Card"/>
    <s v="Pending"/>
    <s v="Yes"/>
    <n v="3"/>
  </r>
  <r>
    <s v="ORD00253"/>
    <d v="2025-11-05T00:00:00"/>
    <s v="C1847"/>
    <x v="201"/>
    <s v="P1004"/>
    <x v="4"/>
    <x v="0"/>
    <x v="3"/>
    <x v="4"/>
    <n v="4"/>
    <n v="3500"/>
    <n v="10"/>
    <n v="12600"/>
    <n v="9800"/>
    <n v="2800"/>
    <x v="3"/>
    <s v="Karnataka"/>
    <s v="South"/>
    <s v="Cash"/>
    <s v="Pending"/>
    <s v="Yes"/>
    <n v="4"/>
  </r>
  <r>
    <s v="ORD00254"/>
    <d v="2025-06-28T00:00:00"/>
    <s v="C1341"/>
    <x v="202"/>
    <s v="P1002"/>
    <x v="0"/>
    <x v="0"/>
    <x v="0"/>
    <x v="0"/>
    <n v="4"/>
    <n v="800"/>
    <n v="10"/>
    <n v="2880"/>
    <n v="2240"/>
    <n v="640"/>
    <x v="2"/>
    <s v="Maharashtra"/>
    <s v="West"/>
    <s v="Cash"/>
    <s v="Pending"/>
    <s v="No"/>
    <n v="2"/>
  </r>
  <r>
    <s v="ORD00255"/>
    <d v="2025-05-12T00:00:00"/>
    <s v="C1897"/>
    <x v="48"/>
    <s v="P1003"/>
    <x v="3"/>
    <x v="0"/>
    <x v="0"/>
    <x v="3"/>
    <n v="4"/>
    <n v="1500"/>
    <n v="15"/>
    <n v="5100"/>
    <n v="4200"/>
    <n v="900"/>
    <x v="2"/>
    <s v="Maharashtra"/>
    <s v="West"/>
    <s v="Cash"/>
    <s v="Pending"/>
    <s v="Yes"/>
    <n v="2"/>
  </r>
  <r>
    <s v="ORD00256"/>
    <d v="2025-05-28T00:00:00"/>
    <s v="C1447"/>
    <x v="203"/>
    <s v="P1002"/>
    <x v="0"/>
    <x v="0"/>
    <x v="0"/>
    <x v="0"/>
    <n v="2"/>
    <n v="800"/>
    <n v="15"/>
    <n v="1360"/>
    <n v="1120"/>
    <n v="240"/>
    <x v="1"/>
    <s v="Gujarat"/>
    <s v="West"/>
    <s v="Cash"/>
    <s v="Cancelled"/>
    <s v="No"/>
    <n v="2"/>
  </r>
  <r>
    <s v="ORD00257"/>
    <d v="2025-11-18T00:00:00"/>
    <s v="C1830"/>
    <x v="163"/>
    <s v="P1002"/>
    <x v="0"/>
    <x v="0"/>
    <x v="0"/>
    <x v="0"/>
    <n v="3"/>
    <n v="800"/>
    <n v="15"/>
    <n v="2040"/>
    <n v="1680"/>
    <n v="360"/>
    <x v="0"/>
    <s v="Delhi"/>
    <s v="North"/>
    <s v="Cash"/>
    <s v="Cancelled"/>
    <s v="Yes"/>
    <n v="1"/>
  </r>
  <r>
    <s v="ORD00258"/>
    <d v="2025-01-22T00:00:00"/>
    <s v="C1126"/>
    <x v="204"/>
    <s v="P1004"/>
    <x v="4"/>
    <x v="0"/>
    <x v="3"/>
    <x v="4"/>
    <n v="5"/>
    <n v="3500"/>
    <n v="10"/>
    <n v="15750"/>
    <n v="12250"/>
    <n v="3500"/>
    <x v="3"/>
    <s v="Karnataka"/>
    <s v="South"/>
    <s v="UPI"/>
    <s v="Delivered"/>
    <s v="No"/>
    <n v="5"/>
  </r>
  <r>
    <s v="ORD00259"/>
    <d v="2025-11-27T00:00:00"/>
    <s v="C1461"/>
    <x v="205"/>
    <s v="P1005"/>
    <x v="1"/>
    <x v="1"/>
    <x v="1"/>
    <x v="1"/>
    <n v="4"/>
    <n v="4500"/>
    <n v="0"/>
    <n v="18000"/>
    <n v="12600"/>
    <n v="5400"/>
    <x v="3"/>
    <s v="Karnataka"/>
    <s v="South"/>
    <s v="Card"/>
    <s v="Pending"/>
    <s v="No"/>
    <n v="1"/>
  </r>
  <r>
    <s v="ORD00260"/>
    <d v="2025-02-26T00:00:00"/>
    <s v="C1880"/>
    <x v="206"/>
    <s v="P1005"/>
    <x v="1"/>
    <x v="1"/>
    <x v="1"/>
    <x v="1"/>
    <n v="2"/>
    <n v="4500"/>
    <n v="5"/>
    <n v="8550"/>
    <n v="6300"/>
    <n v="2250"/>
    <x v="1"/>
    <s v="Gujarat"/>
    <s v="West"/>
    <s v="UPI"/>
    <s v="Pending"/>
    <s v="No"/>
    <n v="2"/>
  </r>
  <r>
    <s v="ORD00261"/>
    <d v="2025-03-10T00:00:00"/>
    <s v="C1178"/>
    <x v="90"/>
    <s v="P1001"/>
    <x v="2"/>
    <x v="0"/>
    <x v="2"/>
    <x v="2"/>
    <n v="2"/>
    <n v="55000"/>
    <n v="15"/>
    <n v="93500"/>
    <n v="77000"/>
    <n v="16500"/>
    <x v="3"/>
    <s v="Karnataka"/>
    <s v="South"/>
    <s v="Card"/>
    <s v="Delivered"/>
    <s v="No"/>
    <n v="5"/>
  </r>
  <r>
    <s v="ORD00262"/>
    <d v="2025-05-19T00:00:00"/>
    <s v="C1754"/>
    <x v="181"/>
    <s v="P1001"/>
    <x v="2"/>
    <x v="0"/>
    <x v="2"/>
    <x v="2"/>
    <n v="2"/>
    <n v="55000"/>
    <n v="15"/>
    <n v="93500"/>
    <n v="77000"/>
    <n v="16500"/>
    <x v="2"/>
    <s v="Maharashtra"/>
    <s v="West"/>
    <s v="Cash"/>
    <s v="Cancelled"/>
    <s v="Yes"/>
    <n v="5"/>
  </r>
  <r>
    <s v="ORD00263"/>
    <d v="2025-08-26T00:00:00"/>
    <s v="C1390"/>
    <x v="45"/>
    <s v="P1002"/>
    <x v="0"/>
    <x v="0"/>
    <x v="0"/>
    <x v="0"/>
    <n v="2"/>
    <n v="800"/>
    <n v="5"/>
    <n v="1520"/>
    <n v="1120"/>
    <n v="400"/>
    <x v="0"/>
    <s v="Delhi"/>
    <s v="North"/>
    <s v="Card"/>
    <s v="Delivered"/>
    <s v="No"/>
    <n v="5"/>
  </r>
  <r>
    <s v="ORD00264"/>
    <d v="2025-09-09T00:00:00"/>
    <s v="C1309"/>
    <x v="4"/>
    <s v="P1005"/>
    <x v="1"/>
    <x v="1"/>
    <x v="1"/>
    <x v="1"/>
    <n v="3"/>
    <n v="4500"/>
    <n v="10"/>
    <n v="12150"/>
    <n v="9450"/>
    <n v="2700"/>
    <x v="1"/>
    <s v="Gujarat"/>
    <s v="West"/>
    <s v="UPI"/>
    <s v="Delivered"/>
    <s v="Yes"/>
    <n v="3"/>
  </r>
  <r>
    <s v="ORD00265"/>
    <d v="2025-09-14T00:00:00"/>
    <s v="C1795"/>
    <x v="183"/>
    <s v="P1005"/>
    <x v="1"/>
    <x v="1"/>
    <x v="1"/>
    <x v="1"/>
    <n v="2"/>
    <n v="4500"/>
    <n v="10"/>
    <n v="8100"/>
    <n v="6300"/>
    <n v="1800"/>
    <x v="0"/>
    <s v="Delhi"/>
    <s v="North"/>
    <s v="Cash"/>
    <s v="Delivered"/>
    <s v="Yes"/>
    <n v="2"/>
  </r>
  <r>
    <s v="ORD00266"/>
    <d v="2025-02-12T00:00:00"/>
    <s v="C1841"/>
    <x v="52"/>
    <s v="P1001"/>
    <x v="2"/>
    <x v="0"/>
    <x v="2"/>
    <x v="2"/>
    <n v="3"/>
    <n v="55000"/>
    <n v="15"/>
    <n v="140250"/>
    <n v="115500"/>
    <n v="24750.000000000011"/>
    <x v="0"/>
    <s v="Delhi"/>
    <s v="North"/>
    <s v="UPI"/>
    <s v="Delivered"/>
    <s v="No"/>
    <n v="1"/>
  </r>
  <r>
    <s v="ORD00267"/>
    <d v="2025-11-09T00:00:00"/>
    <s v="C1418"/>
    <x v="207"/>
    <s v="P1002"/>
    <x v="0"/>
    <x v="0"/>
    <x v="0"/>
    <x v="0"/>
    <n v="3"/>
    <n v="800"/>
    <n v="5"/>
    <n v="2280"/>
    <n v="1680"/>
    <n v="600"/>
    <x v="0"/>
    <s v="Delhi"/>
    <s v="North"/>
    <s v="UPI"/>
    <s v="Delivered"/>
    <s v="Yes"/>
    <n v="1"/>
  </r>
  <r>
    <s v="ORD00268"/>
    <d v="2025-03-31T00:00:00"/>
    <s v="C1026"/>
    <x v="140"/>
    <s v="P1003"/>
    <x v="3"/>
    <x v="0"/>
    <x v="0"/>
    <x v="3"/>
    <n v="1"/>
    <n v="1500"/>
    <n v="15"/>
    <n v="1275"/>
    <n v="1050"/>
    <n v="225"/>
    <x v="1"/>
    <s v="Gujarat"/>
    <s v="West"/>
    <s v="UPI"/>
    <s v="Cancelled"/>
    <s v="No"/>
    <n v="3"/>
  </r>
  <r>
    <s v="ORD00269"/>
    <d v="2025-02-20T00:00:00"/>
    <s v="C1086"/>
    <x v="11"/>
    <s v="P1002"/>
    <x v="0"/>
    <x v="0"/>
    <x v="0"/>
    <x v="0"/>
    <n v="4"/>
    <n v="800"/>
    <n v="0"/>
    <n v="3200"/>
    <n v="2240"/>
    <n v="960"/>
    <x v="2"/>
    <s v="Maharashtra"/>
    <s v="West"/>
    <s v="Card"/>
    <s v="Pending"/>
    <s v="Yes"/>
    <n v="3"/>
  </r>
  <r>
    <s v="ORD00270"/>
    <d v="2025-08-03T00:00:00"/>
    <s v="C1721"/>
    <x v="208"/>
    <s v="P1002"/>
    <x v="0"/>
    <x v="0"/>
    <x v="0"/>
    <x v="0"/>
    <n v="4"/>
    <n v="800"/>
    <n v="0"/>
    <n v="3200"/>
    <n v="2240"/>
    <n v="960"/>
    <x v="2"/>
    <s v="Maharashtra"/>
    <s v="West"/>
    <s v="Card"/>
    <s v="Cancelled"/>
    <s v="No"/>
    <n v="4"/>
  </r>
  <r>
    <s v="ORD00271"/>
    <d v="2025-07-16T00:00:00"/>
    <s v="C1605"/>
    <x v="1"/>
    <s v="P1005"/>
    <x v="1"/>
    <x v="1"/>
    <x v="1"/>
    <x v="1"/>
    <n v="5"/>
    <n v="4500"/>
    <n v="0"/>
    <n v="22500"/>
    <n v="15750"/>
    <n v="6750.0000000000018"/>
    <x v="0"/>
    <s v="Delhi"/>
    <s v="North"/>
    <s v="UPI"/>
    <s v="Delivered"/>
    <s v="Yes"/>
    <n v="3"/>
  </r>
  <r>
    <s v="ORD00272"/>
    <d v="2025-02-23T00:00:00"/>
    <s v="C1931"/>
    <x v="207"/>
    <s v="P1003"/>
    <x v="3"/>
    <x v="0"/>
    <x v="0"/>
    <x v="3"/>
    <n v="4"/>
    <n v="1500"/>
    <n v="15"/>
    <n v="5100"/>
    <n v="4200"/>
    <n v="900"/>
    <x v="2"/>
    <s v="Maharashtra"/>
    <s v="West"/>
    <s v="Card"/>
    <s v="Delivered"/>
    <s v="No"/>
    <n v="1"/>
  </r>
  <r>
    <s v="ORD00273"/>
    <d v="2025-10-19T00:00:00"/>
    <s v="C1968"/>
    <x v="209"/>
    <s v="P1005"/>
    <x v="1"/>
    <x v="1"/>
    <x v="1"/>
    <x v="1"/>
    <n v="5"/>
    <n v="4500"/>
    <n v="0"/>
    <n v="22500"/>
    <n v="15750"/>
    <n v="6750.0000000000018"/>
    <x v="2"/>
    <s v="Maharashtra"/>
    <s v="West"/>
    <s v="Cash"/>
    <s v="Cancelled"/>
    <s v="Yes"/>
    <n v="2"/>
  </r>
  <r>
    <s v="ORD00274"/>
    <d v="2025-08-15T00:00:00"/>
    <s v="C1463"/>
    <x v="210"/>
    <s v="P1003"/>
    <x v="3"/>
    <x v="0"/>
    <x v="0"/>
    <x v="3"/>
    <n v="1"/>
    <n v="1500"/>
    <n v="15"/>
    <n v="1275"/>
    <n v="1050"/>
    <n v="225"/>
    <x v="1"/>
    <s v="Gujarat"/>
    <s v="West"/>
    <s v="Card"/>
    <s v="Delivered"/>
    <s v="Yes"/>
    <n v="3"/>
  </r>
  <r>
    <s v="ORD00275"/>
    <d v="2025-10-22T00:00:00"/>
    <s v="C1233"/>
    <x v="185"/>
    <s v="P1001"/>
    <x v="2"/>
    <x v="0"/>
    <x v="2"/>
    <x v="2"/>
    <n v="4"/>
    <n v="55000"/>
    <n v="5"/>
    <n v="209000"/>
    <n v="154000"/>
    <n v="55000"/>
    <x v="3"/>
    <s v="Karnataka"/>
    <s v="South"/>
    <s v="Card"/>
    <s v="Cancelled"/>
    <s v="No"/>
    <n v="2"/>
  </r>
  <r>
    <s v="ORD00276"/>
    <d v="2025-07-11T00:00:00"/>
    <s v="C1469"/>
    <x v="211"/>
    <s v="P1004"/>
    <x v="4"/>
    <x v="0"/>
    <x v="3"/>
    <x v="4"/>
    <n v="2"/>
    <n v="3500"/>
    <n v="10"/>
    <n v="6300"/>
    <n v="4900"/>
    <n v="1400"/>
    <x v="0"/>
    <s v="Delhi"/>
    <s v="North"/>
    <s v="UPI"/>
    <s v="Pending"/>
    <s v="No"/>
    <n v="5"/>
  </r>
  <r>
    <s v="ORD00277"/>
    <d v="2025-04-01T00:00:00"/>
    <s v="C1310"/>
    <x v="32"/>
    <s v="P1002"/>
    <x v="0"/>
    <x v="0"/>
    <x v="0"/>
    <x v="0"/>
    <n v="3"/>
    <n v="800"/>
    <n v="15"/>
    <n v="2040"/>
    <n v="1680"/>
    <n v="360"/>
    <x v="1"/>
    <s v="Gujarat"/>
    <s v="West"/>
    <s v="UPI"/>
    <s v="Pending"/>
    <s v="No"/>
    <n v="2"/>
  </r>
  <r>
    <s v="ORD00278"/>
    <d v="2025-03-23T00:00:00"/>
    <s v="C1080"/>
    <x v="133"/>
    <s v="P1002"/>
    <x v="0"/>
    <x v="0"/>
    <x v="0"/>
    <x v="0"/>
    <n v="1"/>
    <n v="800"/>
    <n v="10"/>
    <n v="720"/>
    <n v="560"/>
    <n v="160"/>
    <x v="1"/>
    <s v="Gujarat"/>
    <s v="West"/>
    <s v="Card"/>
    <s v="Pending"/>
    <s v="No"/>
    <n v="3"/>
  </r>
  <r>
    <s v="ORD00279"/>
    <d v="2025-04-25T00:00:00"/>
    <s v="C1147"/>
    <x v="113"/>
    <s v="P1002"/>
    <x v="0"/>
    <x v="0"/>
    <x v="0"/>
    <x v="0"/>
    <n v="3"/>
    <n v="800"/>
    <n v="15"/>
    <n v="2040"/>
    <n v="1680"/>
    <n v="360"/>
    <x v="2"/>
    <s v="Maharashtra"/>
    <s v="West"/>
    <s v="Card"/>
    <s v="Cancelled"/>
    <s v="Yes"/>
    <n v="3"/>
  </r>
  <r>
    <s v="ORD00280"/>
    <d v="2025-08-13T00:00:00"/>
    <s v="C1797"/>
    <x v="212"/>
    <s v="P1004"/>
    <x v="4"/>
    <x v="0"/>
    <x v="3"/>
    <x v="4"/>
    <n v="1"/>
    <n v="3500"/>
    <n v="10"/>
    <n v="3150"/>
    <n v="2450"/>
    <n v="700"/>
    <x v="0"/>
    <s v="Delhi"/>
    <s v="North"/>
    <s v="Cash"/>
    <s v="Pending"/>
    <s v="Yes"/>
    <n v="2"/>
  </r>
  <r>
    <s v="ORD00281"/>
    <d v="2025-10-28T00:00:00"/>
    <s v="C1923"/>
    <x v="154"/>
    <s v="P1003"/>
    <x v="3"/>
    <x v="0"/>
    <x v="0"/>
    <x v="3"/>
    <n v="1"/>
    <n v="1500"/>
    <n v="15"/>
    <n v="1275"/>
    <n v="1050"/>
    <n v="225"/>
    <x v="1"/>
    <s v="Gujarat"/>
    <s v="West"/>
    <s v="UPI"/>
    <s v="Delivered"/>
    <s v="No"/>
    <n v="5"/>
  </r>
  <r>
    <s v="ORD00282"/>
    <d v="2025-11-23T00:00:00"/>
    <s v="C1812"/>
    <x v="115"/>
    <s v="P1005"/>
    <x v="1"/>
    <x v="1"/>
    <x v="1"/>
    <x v="1"/>
    <n v="2"/>
    <n v="4500"/>
    <n v="15"/>
    <n v="7650"/>
    <n v="6300"/>
    <n v="1350"/>
    <x v="2"/>
    <s v="Maharashtra"/>
    <s v="West"/>
    <s v="Card"/>
    <s v="Delivered"/>
    <s v="Yes"/>
    <n v="1"/>
  </r>
  <r>
    <s v="ORD00283"/>
    <d v="2025-12-22T00:00:00"/>
    <s v="C1429"/>
    <x v="213"/>
    <s v="P1003"/>
    <x v="3"/>
    <x v="0"/>
    <x v="0"/>
    <x v="3"/>
    <n v="5"/>
    <n v="1500"/>
    <n v="15"/>
    <n v="6375"/>
    <n v="5250"/>
    <n v="1125"/>
    <x v="3"/>
    <s v="Karnataka"/>
    <s v="South"/>
    <s v="Cash"/>
    <s v="Pending"/>
    <s v="Yes"/>
    <n v="4"/>
  </r>
  <r>
    <s v="ORD00284"/>
    <d v="2025-07-27T00:00:00"/>
    <s v="C1080"/>
    <x v="214"/>
    <s v="P1004"/>
    <x v="4"/>
    <x v="0"/>
    <x v="3"/>
    <x v="4"/>
    <n v="3"/>
    <n v="3500"/>
    <n v="0"/>
    <n v="10500"/>
    <n v="7349.9999999999991"/>
    <n v="3150.0000000000009"/>
    <x v="2"/>
    <s v="Maharashtra"/>
    <s v="West"/>
    <s v="Cash"/>
    <s v="Cancelled"/>
    <s v="No"/>
    <n v="4"/>
  </r>
  <r>
    <s v="ORD00285"/>
    <d v="2025-09-15T00:00:00"/>
    <s v="C1535"/>
    <x v="178"/>
    <s v="P1005"/>
    <x v="1"/>
    <x v="1"/>
    <x v="1"/>
    <x v="1"/>
    <n v="3"/>
    <n v="4500"/>
    <n v="5"/>
    <n v="12825"/>
    <n v="9450"/>
    <n v="3375"/>
    <x v="0"/>
    <s v="Delhi"/>
    <s v="North"/>
    <s v="Cash"/>
    <s v="Delivered"/>
    <s v="No"/>
    <n v="4"/>
  </r>
  <r>
    <s v="ORD00286"/>
    <d v="2025-05-25T00:00:00"/>
    <s v="C1135"/>
    <x v="121"/>
    <s v="P1003"/>
    <x v="3"/>
    <x v="0"/>
    <x v="0"/>
    <x v="3"/>
    <n v="5"/>
    <n v="1500"/>
    <n v="15"/>
    <n v="6375"/>
    <n v="5250"/>
    <n v="1125"/>
    <x v="3"/>
    <s v="Karnataka"/>
    <s v="South"/>
    <s v="Cash"/>
    <s v="Pending"/>
    <s v="No"/>
    <n v="5"/>
  </r>
  <r>
    <s v="ORD00287"/>
    <d v="2025-06-04T00:00:00"/>
    <s v="C1149"/>
    <x v="215"/>
    <s v="P1003"/>
    <x v="3"/>
    <x v="0"/>
    <x v="0"/>
    <x v="3"/>
    <n v="2"/>
    <n v="1500"/>
    <n v="10"/>
    <n v="2700"/>
    <n v="2100"/>
    <n v="600"/>
    <x v="0"/>
    <s v="Delhi"/>
    <s v="North"/>
    <s v="Card"/>
    <s v="Delivered"/>
    <s v="Yes"/>
    <n v="1"/>
  </r>
  <r>
    <s v="ORD00288"/>
    <d v="2025-12-30T00:00:00"/>
    <s v="C1788"/>
    <x v="216"/>
    <s v="P1005"/>
    <x v="1"/>
    <x v="1"/>
    <x v="1"/>
    <x v="1"/>
    <n v="2"/>
    <n v="4500"/>
    <n v="10"/>
    <n v="8100"/>
    <n v="6300"/>
    <n v="1800"/>
    <x v="2"/>
    <s v="Maharashtra"/>
    <s v="West"/>
    <s v="Card"/>
    <s v="Pending"/>
    <s v="No"/>
    <n v="5"/>
  </r>
  <r>
    <s v="ORD00289"/>
    <d v="2025-05-20T00:00:00"/>
    <s v="C1087"/>
    <x v="217"/>
    <s v="P1003"/>
    <x v="3"/>
    <x v="0"/>
    <x v="0"/>
    <x v="3"/>
    <n v="3"/>
    <n v="1500"/>
    <n v="0"/>
    <n v="4500"/>
    <n v="3150"/>
    <n v="1350"/>
    <x v="2"/>
    <s v="Maharashtra"/>
    <s v="West"/>
    <s v="UPI"/>
    <s v="Cancelled"/>
    <s v="Yes"/>
    <n v="1"/>
  </r>
  <r>
    <s v="ORD00290"/>
    <d v="2025-11-06T00:00:00"/>
    <s v="C1341"/>
    <x v="90"/>
    <s v="P1003"/>
    <x v="3"/>
    <x v="0"/>
    <x v="0"/>
    <x v="3"/>
    <n v="5"/>
    <n v="1500"/>
    <n v="15"/>
    <n v="6375"/>
    <n v="5250"/>
    <n v="1125"/>
    <x v="0"/>
    <s v="Delhi"/>
    <s v="North"/>
    <s v="Cash"/>
    <s v="Delivered"/>
    <s v="Yes"/>
    <n v="4"/>
  </r>
  <r>
    <s v="ORD00291"/>
    <d v="2025-05-02T00:00:00"/>
    <s v="C1593"/>
    <x v="178"/>
    <s v="P1004"/>
    <x v="4"/>
    <x v="0"/>
    <x v="3"/>
    <x v="4"/>
    <n v="2"/>
    <n v="3500"/>
    <n v="15"/>
    <n v="5950"/>
    <n v="4900"/>
    <n v="1050"/>
    <x v="3"/>
    <s v="Karnataka"/>
    <s v="South"/>
    <s v="UPI"/>
    <s v="Cancelled"/>
    <s v="Yes"/>
    <n v="2"/>
  </r>
  <r>
    <s v="ORD00292"/>
    <d v="2025-11-29T00:00:00"/>
    <s v="C1319"/>
    <x v="105"/>
    <s v="P1005"/>
    <x v="1"/>
    <x v="1"/>
    <x v="1"/>
    <x v="1"/>
    <n v="4"/>
    <n v="4500"/>
    <n v="15"/>
    <n v="15300"/>
    <n v="12600"/>
    <n v="2700"/>
    <x v="3"/>
    <s v="Karnataka"/>
    <s v="South"/>
    <s v="UPI"/>
    <s v="Delivered"/>
    <s v="No"/>
    <n v="4"/>
  </r>
  <r>
    <s v="ORD00293"/>
    <d v="2025-12-06T00:00:00"/>
    <s v="C1107"/>
    <x v="75"/>
    <s v="P1002"/>
    <x v="0"/>
    <x v="0"/>
    <x v="0"/>
    <x v="0"/>
    <n v="4"/>
    <n v="800"/>
    <n v="10"/>
    <n v="2880"/>
    <n v="2240"/>
    <n v="640"/>
    <x v="0"/>
    <s v="Delhi"/>
    <s v="North"/>
    <s v="UPI"/>
    <s v="Pending"/>
    <s v="No"/>
    <n v="3"/>
  </r>
  <r>
    <s v="ORD00294"/>
    <d v="2025-08-29T00:00:00"/>
    <s v="C1513"/>
    <x v="145"/>
    <s v="P1004"/>
    <x v="4"/>
    <x v="0"/>
    <x v="3"/>
    <x v="4"/>
    <n v="2"/>
    <n v="3500"/>
    <n v="15"/>
    <n v="5950"/>
    <n v="4900"/>
    <n v="1050"/>
    <x v="0"/>
    <s v="Delhi"/>
    <s v="North"/>
    <s v="Cash"/>
    <s v="Cancelled"/>
    <s v="Yes"/>
    <n v="2"/>
  </r>
  <r>
    <s v="ORD00295"/>
    <d v="2025-08-19T00:00:00"/>
    <s v="C1585"/>
    <x v="165"/>
    <s v="P1003"/>
    <x v="3"/>
    <x v="0"/>
    <x v="0"/>
    <x v="3"/>
    <n v="2"/>
    <n v="1500"/>
    <n v="0"/>
    <n v="3000"/>
    <n v="2100"/>
    <n v="900"/>
    <x v="2"/>
    <s v="Maharashtra"/>
    <s v="West"/>
    <s v="Card"/>
    <s v="Cancelled"/>
    <s v="Yes"/>
    <n v="3"/>
  </r>
  <r>
    <s v="ORD00296"/>
    <d v="2025-09-10T00:00:00"/>
    <s v="C1607"/>
    <x v="218"/>
    <s v="P1004"/>
    <x v="4"/>
    <x v="0"/>
    <x v="3"/>
    <x v="4"/>
    <n v="3"/>
    <n v="3500"/>
    <n v="10"/>
    <n v="9450"/>
    <n v="7349.9999999999991"/>
    <n v="2100.0000000000009"/>
    <x v="2"/>
    <s v="Maharashtra"/>
    <s v="West"/>
    <s v="UPI"/>
    <s v="Delivered"/>
    <s v="No"/>
    <n v="5"/>
  </r>
  <r>
    <s v="ORD00297"/>
    <d v="2025-08-10T00:00:00"/>
    <s v="C1590"/>
    <x v="219"/>
    <s v="P1004"/>
    <x v="4"/>
    <x v="0"/>
    <x v="3"/>
    <x v="4"/>
    <n v="3"/>
    <n v="3500"/>
    <n v="0"/>
    <n v="10500"/>
    <n v="7349.9999999999991"/>
    <n v="3150.0000000000009"/>
    <x v="3"/>
    <s v="Karnataka"/>
    <s v="South"/>
    <s v="Card"/>
    <s v="Pending"/>
    <s v="No"/>
    <n v="4"/>
  </r>
  <r>
    <s v="ORD00298"/>
    <d v="2025-02-09T00:00:00"/>
    <s v="C1012"/>
    <x v="165"/>
    <s v="P1002"/>
    <x v="0"/>
    <x v="0"/>
    <x v="0"/>
    <x v="0"/>
    <n v="1"/>
    <n v="800"/>
    <n v="15"/>
    <n v="680"/>
    <n v="560"/>
    <n v="120"/>
    <x v="1"/>
    <s v="Gujarat"/>
    <s v="West"/>
    <s v="Cash"/>
    <s v="Cancelled"/>
    <s v="No"/>
    <n v="4"/>
  </r>
  <r>
    <s v="ORD00299"/>
    <d v="2025-06-02T00:00:00"/>
    <s v="C1956"/>
    <x v="193"/>
    <s v="P1001"/>
    <x v="2"/>
    <x v="0"/>
    <x v="2"/>
    <x v="2"/>
    <n v="3"/>
    <n v="55000"/>
    <n v="15"/>
    <n v="140250"/>
    <n v="115500"/>
    <n v="24750.000000000011"/>
    <x v="3"/>
    <s v="Karnataka"/>
    <s v="South"/>
    <s v="Card"/>
    <s v="Cancelled"/>
    <s v="Yes"/>
    <n v="3"/>
  </r>
  <r>
    <s v="ORD00300"/>
    <d v="2025-02-24T00:00:00"/>
    <s v="C1798"/>
    <x v="220"/>
    <s v="P1003"/>
    <x v="3"/>
    <x v="0"/>
    <x v="0"/>
    <x v="3"/>
    <n v="4"/>
    <n v="1500"/>
    <n v="0"/>
    <n v="6000"/>
    <n v="4200"/>
    <n v="1800"/>
    <x v="0"/>
    <s v="Delhi"/>
    <s v="North"/>
    <s v="Card"/>
    <s v="Cancelled"/>
    <s v="Yes"/>
    <n v="1"/>
  </r>
  <r>
    <s v="ORD00301"/>
    <d v="2025-01-21T00:00:00"/>
    <s v="C1366"/>
    <x v="81"/>
    <s v="P1004"/>
    <x v="4"/>
    <x v="0"/>
    <x v="3"/>
    <x v="4"/>
    <n v="5"/>
    <n v="3500"/>
    <n v="0"/>
    <n v="17500"/>
    <n v="12250"/>
    <n v="5250"/>
    <x v="2"/>
    <s v="Maharashtra"/>
    <s v="West"/>
    <s v="Card"/>
    <s v="Cancelled"/>
    <s v="No"/>
    <n v="3"/>
  </r>
  <r>
    <s v="ORD00302"/>
    <d v="2025-03-14T00:00:00"/>
    <s v="C1252"/>
    <x v="139"/>
    <s v="P1001"/>
    <x v="2"/>
    <x v="0"/>
    <x v="2"/>
    <x v="2"/>
    <n v="1"/>
    <n v="55000"/>
    <n v="0"/>
    <n v="55000"/>
    <n v="38500"/>
    <n v="16500"/>
    <x v="3"/>
    <s v="Karnataka"/>
    <s v="South"/>
    <s v="Cash"/>
    <s v="Cancelled"/>
    <s v="Yes"/>
    <n v="3"/>
  </r>
  <r>
    <s v="ORD00303"/>
    <d v="2025-05-30T00:00:00"/>
    <s v="C1920"/>
    <x v="221"/>
    <s v="P1005"/>
    <x v="1"/>
    <x v="1"/>
    <x v="1"/>
    <x v="1"/>
    <n v="5"/>
    <n v="4500"/>
    <n v="15"/>
    <n v="19125"/>
    <n v="15750"/>
    <n v="3375.0000000000018"/>
    <x v="2"/>
    <s v="Maharashtra"/>
    <s v="West"/>
    <s v="UPI"/>
    <s v="Cancelled"/>
    <s v="Yes"/>
    <n v="5"/>
  </r>
  <r>
    <s v="ORD00304"/>
    <d v="2025-12-27T00:00:00"/>
    <s v="C1165"/>
    <x v="113"/>
    <s v="P1004"/>
    <x v="4"/>
    <x v="0"/>
    <x v="3"/>
    <x v="4"/>
    <n v="3"/>
    <n v="3500"/>
    <n v="0"/>
    <n v="10500"/>
    <n v="7349.9999999999991"/>
    <n v="3150.0000000000009"/>
    <x v="1"/>
    <s v="Gujarat"/>
    <s v="West"/>
    <s v="Card"/>
    <s v="Pending"/>
    <s v="Yes"/>
    <n v="3"/>
  </r>
  <r>
    <s v="ORD00305"/>
    <d v="2025-02-09T00:00:00"/>
    <s v="C1216"/>
    <x v="222"/>
    <s v="P1001"/>
    <x v="2"/>
    <x v="0"/>
    <x v="2"/>
    <x v="2"/>
    <n v="4"/>
    <n v="55000"/>
    <n v="10"/>
    <n v="198000"/>
    <n v="154000"/>
    <n v="44000"/>
    <x v="0"/>
    <s v="Delhi"/>
    <s v="North"/>
    <s v="Card"/>
    <s v="Pending"/>
    <s v="Yes"/>
    <n v="3"/>
  </r>
  <r>
    <s v="ORD00306"/>
    <d v="2025-10-07T00:00:00"/>
    <s v="C1842"/>
    <x v="223"/>
    <s v="P1001"/>
    <x v="2"/>
    <x v="0"/>
    <x v="2"/>
    <x v="2"/>
    <n v="2"/>
    <n v="55000"/>
    <n v="10"/>
    <n v="99000"/>
    <n v="77000"/>
    <n v="22000"/>
    <x v="0"/>
    <s v="Delhi"/>
    <s v="North"/>
    <s v="Card"/>
    <s v="Pending"/>
    <s v="Yes"/>
    <n v="4"/>
  </r>
  <r>
    <s v="ORD00307"/>
    <d v="2025-07-07T00:00:00"/>
    <s v="C1377"/>
    <x v="120"/>
    <s v="P1002"/>
    <x v="0"/>
    <x v="0"/>
    <x v="0"/>
    <x v="0"/>
    <n v="2"/>
    <n v="800"/>
    <n v="15"/>
    <n v="1360"/>
    <n v="1120"/>
    <n v="240"/>
    <x v="3"/>
    <s v="Karnataka"/>
    <s v="South"/>
    <s v="UPI"/>
    <s v="Pending"/>
    <s v="Yes"/>
    <n v="5"/>
  </r>
  <r>
    <s v="ORD00308"/>
    <d v="2025-05-28T00:00:00"/>
    <s v="C1302"/>
    <x v="224"/>
    <s v="P1002"/>
    <x v="0"/>
    <x v="0"/>
    <x v="0"/>
    <x v="0"/>
    <n v="4"/>
    <n v="800"/>
    <n v="15"/>
    <n v="2720"/>
    <n v="2240"/>
    <n v="480"/>
    <x v="3"/>
    <s v="Karnataka"/>
    <s v="South"/>
    <s v="Card"/>
    <s v="Pending"/>
    <s v="Yes"/>
    <n v="3"/>
  </r>
  <r>
    <s v="ORD00309"/>
    <d v="2025-04-18T00:00:00"/>
    <s v="C1448"/>
    <x v="146"/>
    <s v="P1003"/>
    <x v="3"/>
    <x v="0"/>
    <x v="0"/>
    <x v="3"/>
    <n v="5"/>
    <n v="1500"/>
    <n v="5"/>
    <n v="7125"/>
    <n v="5250"/>
    <n v="1875"/>
    <x v="0"/>
    <s v="Delhi"/>
    <s v="North"/>
    <s v="UPI"/>
    <s v="Pending"/>
    <s v="Yes"/>
    <n v="4"/>
  </r>
  <r>
    <s v="ORD00310"/>
    <d v="2025-12-28T00:00:00"/>
    <s v="C1691"/>
    <x v="137"/>
    <s v="P1001"/>
    <x v="2"/>
    <x v="0"/>
    <x v="2"/>
    <x v="2"/>
    <n v="3"/>
    <n v="55000"/>
    <n v="10"/>
    <n v="148500"/>
    <n v="115500"/>
    <n v="33000.000000000007"/>
    <x v="1"/>
    <s v="Gujarat"/>
    <s v="West"/>
    <s v="Card"/>
    <s v="Cancelled"/>
    <s v="No"/>
    <n v="1"/>
  </r>
  <r>
    <s v="ORD00311"/>
    <d v="2025-01-12T00:00:00"/>
    <s v="C1424"/>
    <x v="225"/>
    <s v="P1001"/>
    <x v="2"/>
    <x v="0"/>
    <x v="2"/>
    <x v="2"/>
    <n v="3"/>
    <n v="55000"/>
    <n v="15"/>
    <n v="140250"/>
    <n v="115500"/>
    <n v="24750.000000000011"/>
    <x v="0"/>
    <s v="Delhi"/>
    <s v="North"/>
    <s v="Cash"/>
    <s v="Cancelled"/>
    <s v="No"/>
    <n v="5"/>
  </r>
  <r>
    <s v="ORD00312"/>
    <d v="2025-05-11T00:00:00"/>
    <s v="C1863"/>
    <x v="171"/>
    <s v="P1004"/>
    <x v="4"/>
    <x v="0"/>
    <x v="3"/>
    <x v="4"/>
    <n v="3"/>
    <n v="3500"/>
    <n v="15"/>
    <n v="8925"/>
    <n v="7349.9999999999991"/>
    <n v="1575.0000000000009"/>
    <x v="3"/>
    <s v="Karnataka"/>
    <s v="South"/>
    <s v="UPI"/>
    <s v="Delivered"/>
    <s v="Yes"/>
    <n v="2"/>
  </r>
  <r>
    <s v="ORD00313"/>
    <d v="2025-02-24T00:00:00"/>
    <s v="C1143"/>
    <x v="69"/>
    <s v="P1005"/>
    <x v="1"/>
    <x v="1"/>
    <x v="1"/>
    <x v="1"/>
    <n v="1"/>
    <n v="4500"/>
    <n v="0"/>
    <n v="4500"/>
    <n v="3150"/>
    <n v="1350"/>
    <x v="0"/>
    <s v="Delhi"/>
    <s v="North"/>
    <s v="Cash"/>
    <s v="Cancelled"/>
    <s v="Yes"/>
    <n v="5"/>
  </r>
  <r>
    <s v="ORD00314"/>
    <d v="2025-03-27T00:00:00"/>
    <s v="C1652"/>
    <x v="43"/>
    <s v="P1003"/>
    <x v="3"/>
    <x v="0"/>
    <x v="0"/>
    <x v="3"/>
    <n v="1"/>
    <n v="1500"/>
    <n v="0"/>
    <n v="1500"/>
    <n v="1050"/>
    <n v="450"/>
    <x v="2"/>
    <s v="Maharashtra"/>
    <s v="West"/>
    <s v="Card"/>
    <s v="Cancelled"/>
    <s v="Yes"/>
    <n v="2"/>
  </r>
  <r>
    <s v="ORD00315"/>
    <d v="2025-09-14T00:00:00"/>
    <s v="C1613"/>
    <x v="146"/>
    <s v="P1005"/>
    <x v="1"/>
    <x v="1"/>
    <x v="1"/>
    <x v="1"/>
    <n v="5"/>
    <n v="4500"/>
    <n v="15"/>
    <n v="19125"/>
    <n v="15750"/>
    <n v="3375.0000000000018"/>
    <x v="1"/>
    <s v="Gujarat"/>
    <s v="West"/>
    <s v="Cash"/>
    <s v="Cancelled"/>
    <s v="No"/>
    <n v="4"/>
  </r>
  <r>
    <s v="ORD00316"/>
    <d v="2025-03-04T00:00:00"/>
    <s v="C1696"/>
    <x v="226"/>
    <s v="P1004"/>
    <x v="4"/>
    <x v="0"/>
    <x v="3"/>
    <x v="4"/>
    <n v="1"/>
    <n v="3500"/>
    <n v="0"/>
    <n v="3500"/>
    <n v="2450"/>
    <n v="1050"/>
    <x v="1"/>
    <s v="Gujarat"/>
    <s v="West"/>
    <s v="UPI"/>
    <s v="Cancelled"/>
    <s v="Yes"/>
    <n v="3"/>
  </r>
  <r>
    <s v="ORD00317"/>
    <d v="2025-05-30T00:00:00"/>
    <s v="C1766"/>
    <x v="191"/>
    <s v="P1001"/>
    <x v="2"/>
    <x v="0"/>
    <x v="2"/>
    <x v="2"/>
    <n v="2"/>
    <n v="55000"/>
    <n v="0"/>
    <n v="110000"/>
    <n v="77000"/>
    <n v="33000"/>
    <x v="2"/>
    <s v="Maharashtra"/>
    <s v="West"/>
    <s v="UPI"/>
    <s v="Cancelled"/>
    <s v="Yes"/>
    <n v="1"/>
  </r>
  <r>
    <s v="ORD00318"/>
    <d v="2025-08-29T00:00:00"/>
    <s v="C1303"/>
    <x v="30"/>
    <s v="P1001"/>
    <x v="2"/>
    <x v="0"/>
    <x v="2"/>
    <x v="2"/>
    <n v="4"/>
    <n v="55000"/>
    <n v="15"/>
    <n v="187000"/>
    <n v="154000"/>
    <n v="33000"/>
    <x v="3"/>
    <s v="Karnataka"/>
    <s v="South"/>
    <s v="UPI"/>
    <s v="Cancelled"/>
    <s v="No"/>
    <n v="5"/>
  </r>
  <r>
    <s v="ORD00319"/>
    <d v="2025-03-05T00:00:00"/>
    <s v="C1595"/>
    <x v="227"/>
    <s v="P1005"/>
    <x v="1"/>
    <x v="1"/>
    <x v="1"/>
    <x v="1"/>
    <n v="5"/>
    <n v="4500"/>
    <n v="10"/>
    <n v="20250"/>
    <n v="15750"/>
    <n v="4500.0000000000018"/>
    <x v="3"/>
    <s v="Karnataka"/>
    <s v="South"/>
    <s v="Card"/>
    <s v="Pending"/>
    <s v="No"/>
    <n v="4"/>
  </r>
  <r>
    <s v="ORD00320"/>
    <d v="2025-06-11T00:00:00"/>
    <s v="C1460"/>
    <x v="82"/>
    <s v="P1002"/>
    <x v="0"/>
    <x v="0"/>
    <x v="0"/>
    <x v="0"/>
    <n v="3"/>
    <n v="800"/>
    <n v="0"/>
    <n v="2400"/>
    <n v="1680"/>
    <n v="720"/>
    <x v="2"/>
    <s v="Maharashtra"/>
    <s v="West"/>
    <s v="Cash"/>
    <s v="Pending"/>
    <s v="Yes"/>
    <n v="4"/>
  </r>
  <r>
    <s v="ORD00321"/>
    <d v="2025-03-22T00:00:00"/>
    <s v="C1243"/>
    <x v="126"/>
    <s v="P1001"/>
    <x v="2"/>
    <x v="0"/>
    <x v="2"/>
    <x v="2"/>
    <n v="1"/>
    <n v="55000"/>
    <n v="0"/>
    <n v="55000"/>
    <n v="38500"/>
    <n v="16500"/>
    <x v="3"/>
    <s v="Karnataka"/>
    <s v="South"/>
    <s v="UPI"/>
    <s v="Pending"/>
    <s v="Yes"/>
    <n v="5"/>
  </r>
  <r>
    <s v="ORD00322"/>
    <d v="2025-03-04T00:00:00"/>
    <s v="C1049"/>
    <x v="228"/>
    <s v="P1005"/>
    <x v="1"/>
    <x v="1"/>
    <x v="1"/>
    <x v="1"/>
    <n v="5"/>
    <n v="4500"/>
    <n v="10"/>
    <n v="20250"/>
    <n v="15750"/>
    <n v="4500.0000000000018"/>
    <x v="2"/>
    <s v="Maharashtra"/>
    <s v="West"/>
    <s v="UPI"/>
    <s v="Delivered"/>
    <s v="No"/>
    <n v="4"/>
  </r>
  <r>
    <s v="ORD00323"/>
    <d v="2025-07-24T00:00:00"/>
    <s v="C1203"/>
    <x v="55"/>
    <s v="P1002"/>
    <x v="0"/>
    <x v="0"/>
    <x v="0"/>
    <x v="0"/>
    <n v="2"/>
    <n v="800"/>
    <n v="5"/>
    <n v="1520"/>
    <n v="1120"/>
    <n v="400"/>
    <x v="3"/>
    <s v="Karnataka"/>
    <s v="South"/>
    <s v="Card"/>
    <s v="Cancelled"/>
    <s v="Yes"/>
    <n v="2"/>
  </r>
  <r>
    <s v="ORD00324"/>
    <d v="2025-08-03T00:00:00"/>
    <s v="C1975"/>
    <x v="13"/>
    <s v="P1002"/>
    <x v="0"/>
    <x v="0"/>
    <x v="0"/>
    <x v="0"/>
    <n v="1"/>
    <n v="800"/>
    <n v="5"/>
    <n v="760"/>
    <n v="560"/>
    <n v="200"/>
    <x v="2"/>
    <s v="Maharashtra"/>
    <s v="West"/>
    <s v="Card"/>
    <s v="Delivered"/>
    <s v="Yes"/>
    <n v="2"/>
  </r>
  <r>
    <s v="ORD00325"/>
    <d v="2025-11-02T00:00:00"/>
    <s v="C1873"/>
    <x v="151"/>
    <s v="P1005"/>
    <x v="1"/>
    <x v="1"/>
    <x v="1"/>
    <x v="1"/>
    <n v="5"/>
    <n v="4500"/>
    <n v="5"/>
    <n v="21375"/>
    <n v="15750"/>
    <n v="5625.0000000000018"/>
    <x v="1"/>
    <s v="Gujarat"/>
    <s v="West"/>
    <s v="Card"/>
    <s v="Pending"/>
    <s v="Yes"/>
    <n v="4"/>
  </r>
  <r>
    <s v="ORD00326"/>
    <d v="2025-12-07T00:00:00"/>
    <s v="C1750"/>
    <x v="229"/>
    <s v="P1003"/>
    <x v="3"/>
    <x v="0"/>
    <x v="0"/>
    <x v="3"/>
    <n v="4"/>
    <n v="1500"/>
    <n v="10"/>
    <n v="5400"/>
    <n v="4200"/>
    <n v="1200"/>
    <x v="1"/>
    <s v="Gujarat"/>
    <s v="West"/>
    <s v="Cash"/>
    <s v="Cancelled"/>
    <s v="No"/>
    <n v="2"/>
  </r>
  <r>
    <s v="ORD00327"/>
    <d v="2025-04-09T00:00:00"/>
    <s v="C1401"/>
    <x v="230"/>
    <s v="P1004"/>
    <x v="4"/>
    <x v="0"/>
    <x v="3"/>
    <x v="4"/>
    <n v="3"/>
    <n v="3500"/>
    <n v="10"/>
    <n v="9450"/>
    <n v="7349.9999999999991"/>
    <n v="2100.0000000000009"/>
    <x v="0"/>
    <s v="Delhi"/>
    <s v="North"/>
    <s v="Cash"/>
    <s v="Cancelled"/>
    <s v="Yes"/>
    <n v="1"/>
  </r>
  <r>
    <s v="ORD00328"/>
    <d v="2025-03-11T00:00:00"/>
    <s v="C1048"/>
    <x v="231"/>
    <s v="P1002"/>
    <x v="0"/>
    <x v="0"/>
    <x v="0"/>
    <x v="0"/>
    <n v="3"/>
    <n v="800"/>
    <n v="10"/>
    <n v="2160"/>
    <n v="1680"/>
    <n v="480"/>
    <x v="2"/>
    <s v="Maharashtra"/>
    <s v="West"/>
    <s v="UPI"/>
    <s v="Cancelled"/>
    <s v="Yes"/>
    <n v="3"/>
  </r>
  <r>
    <s v="ORD00329"/>
    <d v="2025-03-22T00:00:00"/>
    <s v="C1837"/>
    <x v="98"/>
    <s v="P1004"/>
    <x v="4"/>
    <x v="0"/>
    <x v="3"/>
    <x v="4"/>
    <n v="2"/>
    <n v="3500"/>
    <n v="0"/>
    <n v="7000"/>
    <n v="4900"/>
    <n v="2100"/>
    <x v="2"/>
    <s v="Maharashtra"/>
    <s v="West"/>
    <s v="UPI"/>
    <s v="Delivered"/>
    <s v="Yes"/>
    <n v="5"/>
  </r>
  <r>
    <s v="ORD00330"/>
    <d v="2025-05-07T00:00:00"/>
    <s v="C1144"/>
    <x v="232"/>
    <s v="P1005"/>
    <x v="1"/>
    <x v="1"/>
    <x v="1"/>
    <x v="1"/>
    <n v="3"/>
    <n v="4500"/>
    <n v="15"/>
    <n v="11475"/>
    <n v="9450"/>
    <n v="2025"/>
    <x v="2"/>
    <s v="Maharashtra"/>
    <s v="West"/>
    <s v="UPI"/>
    <s v="Cancelled"/>
    <s v="Yes"/>
    <n v="1"/>
  </r>
  <r>
    <s v="ORD00331"/>
    <d v="2025-01-06T00:00:00"/>
    <s v="C1031"/>
    <x v="233"/>
    <s v="P1003"/>
    <x v="3"/>
    <x v="0"/>
    <x v="0"/>
    <x v="3"/>
    <n v="2"/>
    <n v="1500"/>
    <n v="10"/>
    <n v="2700"/>
    <n v="2100"/>
    <n v="600"/>
    <x v="3"/>
    <s v="Karnataka"/>
    <s v="South"/>
    <s v="UPI"/>
    <s v="Cancelled"/>
    <s v="No"/>
    <n v="5"/>
  </r>
  <r>
    <s v="ORD00332"/>
    <d v="2025-09-15T00:00:00"/>
    <s v="C1984"/>
    <x v="234"/>
    <s v="P1005"/>
    <x v="1"/>
    <x v="1"/>
    <x v="1"/>
    <x v="1"/>
    <n v="5"/>
    <n v="4500"/>
    <n v="15"/>
    <n v="19125"/>
    <n v="15750"/>
    <n v="3375.0000000000018"/>
    <x v="0"/>
    <s v="Delhi"/>
    <s v="North"/>
    <s v="Cash"/>
    <s v="Delivered"/>
    <s v="Yes"/>
    <n v="5"/>
  </r>
  <r>
    <s v="ORD00333"/>
    <d v="2025-02-06T00:00:00"/>
    <s v="C1686"/>
    <x v="110"/>
    <s v="P1001"/>
    <x v="2"/>
    <x v="0"/>
    <x v="2"/>
    <x v="2"/>
    <n v="2"/>
    <n v="55000"/>
    <n v="15"/>
    <n v="93500"/>
    <n v="77000"/>
    <n v="16500"/>
    <x v="1"/>
    <s v="Gujarat"/>
    <s v="West"/>
    <s v="Card"/>
    <s v="Cancelled"/>
    <s v="Yes"/>
    <n v="4"/>
  </r>
  <r>
    <s v="ORD00334"/>
    <d v="2025-11-10T00:00:00"/>
    <s v="C1260"/>
    <x v="158"/>
    <s v="P1002"/>
    <x v="0"/>
    <x v="0"/>
    <x v="0"/>
    <x v="0"/>
    <n v="1"/>
    <n v="800"/>
    <n v="5"/>
    <n v="760"/>
    <n v="560"/>
    <n v="200"/>
    <x v="1"/>
    <s v="Gujarat"/>
    <s v="West"/>
    <s v="UPI"/>
    <s v="Cancelled"/>
    <s v="Yes"/>
    <n v="2"/>
  </r>
  <r>
    <s v="ORD00335"/>
    <d v="2025-03-30T00:00:00"/>
    <s v="C1295"/>
    <x v="235"/>
    <s v="P1004"/>
    <x v="4"/>
    <x v="0"/>
    <x v="3"/>
    <x v="4"/>
    <n v="2"/>
    <n v="3500"/>
    <n v="15"/>
    <n v="5950"/>
    <n v="4900"/>
    <n v="1050"/>
    <x v="3"/>
    <s v="Karnataka"/>
    <s v="South"/>
    <s v="Card"/>
    <s v="Pending"/>
    <s v="No"/>
    <n v="5"/>
  </r>
  <r>
    <s v="ORD00336"/>
    <d v="2025-05-18T00:00:00"/>
    <s v="C1275"/>
    <x v="236"/>
    <s v="P1003"/>
    <x v="3"/>
    <x v="0"/>
    <x v="0"/>
    <x v="3"/>
    <n v="4"/>
    <n v="1500"/>
    <n v="0"/>
    <n v="6000"/>
    <n v="4200"/>
    <n v="1800"/>
    <x v="0"/>
    <s v="Delhi"/>
    <s v="North"/>
    <s v="UPI"/>
    <s v="Cancelled"/>
    <s v="Yes"/>
    <n v="2"/>
  </r>
  <r>
    <s v="ORD00337"/>
    <d v="2025-11-08T00:00:00"/>
    <s v="C1249"/>
    <x v="175"/>
    <s v="P1001"/>
    <x v="2"/>
    <x v="0"/>
    <x v="2"/>
    <x v="2"/>
    <n v="5"/>
    <n v="55000"/>
    <n v="10"/>
    <n v="247500"/>
    <n v="192500"/>
    <n v="55000"/>
    <x v="1"/>
    <s v="Gujarat"/>
    <s v="West"/>
    <s v="Cash"/>
    <s v="Pending"/>
    <s v="No"/>
    <n v="5"/>
  </r>
  <r>
    <s v="ORD00338"/>
    <d v="2025-11-08T00:00:00"/>
    <s v="C1692"/>
    <x v="160"/>
    <s v="P1003"/>
    <x v="3"/>
    <x v="0"/>
    <x v="0"/>
    <x v="3"/>
    <n v="1"/>
    <n v="1500"/>
    <n v="15"/>
    <n v="1275"/>
    <n v="1050"/>
    <n v="225"/>
    <x v="3"/>
    <s v="Karnataka"/>
    <s v="South"/>
    <s v="Card"/>
    <s v="Cancelled"/>
    <s v="Yes"/>
    <n v="4"/>
  </r>
  <r>
    <s v="ORD00339"/>
    <d v="2025-10-22T00:00:00"/>
    <s v="C1332"/>
    <x v="237"/>
    <s v="P1003"/>
    <x v="3"/>
    <x v="0"/>
    <x v="0"/>
    <x v="3"/>
    <n v="1"/>
    <n v="1500"/>
    <n v="5"/>
    <n v="1425"/>
    <n v="1050"/>
    <n v="375"/>
    <x v="1"/>
    <s v="Gujarat"/>
    <s v="West"/>
    <s v="Cash"/>
    <s v="Pending"/>
    <s v="Yes"/>
    <n v="1"/>
  </r>
  <r>
    <s v="ORD00340"/>
    <d v="2025-11-09T00:00:00"/>
    <s v="C1780"/>
    <x v="34"/>
    <s v="P1005"/>
    <x v="1"/>
    <x v="1"/>
    <x v="1"/>
    <x v="1"/>
    <n v="3"/>
    <n v="4500"/>
    <n v="10"/>
    <n v="12150"/>
    <n v="9450"/>
    <n v="2700"/>
    <x v="2"/>
    <s v="Maharashtra"/>
    <s v="West"/>
    <s v="UPI"/>
    <s v="Pending"/>
    <s v="Yes"/>
    <n v="3"/>
  </r>
  <r>
    <s v="ORD00341"/>
    <d v="2025-08-17T00:00:00"/>
    <s v="C1981"/>
    <x v="238"/>
    <s v="P1005"/>
    <x v="1"/>
    <x v="1"/>
    <x v="1"/>
    <x v="1"/>
    <n v="2"/>
    <n v="4500"/>
    <n v="5"/>
    <n v="8550"/>
    <n v="6300"/>
    <n v="2250"/>
    <x v="2"/>
    <s v="Maharashtra"/>
    <s v="West"/>
    <s v="UPI"/>
    <s v="Pending"/>
    <s v="No"/>
    <n v="1"/>
  </r>
  <r>
    <s v="ORD00342"/>
    <d v="2025-05-13T00:00:00"/>
    <s v="C1375"/>
    <x v="162"/>
    <s v="P1002"/>
    <x v="0"/>
    <x v="0"/>
    <x v="0"/>
    <x v="0"/>
    <n v="4"/>
    <n v="800"/>
    <n v="15"/>
    <n v="2720"/>
    <n v="2240"/>
    <n v="480"/>
    <x v="1"/>
    <s v="Gujarat"/>
    <s v="West"/>
    <s v="Cash"/>
    <s v="Pending"/>
    <s v="Yes"/>
    <n v="5"/>
  </r>
  <r>
    <s v="ORD00343"/>
    <d v="2025-02-03T00:00:00"/>
    <s v="C1817"/>
    <x v="91"/>
    <s v="P1001"/>
    <x v="2"/>
    <x v="0"/>
    <x v="2"/>
    <x v="2"/>
    <n v="4"/>
    <n v="55000"/>
    <n v="5"/>
    <n v="209000"/>
    <n v="154000"/>
    <n v="55000"/>
    <x v="1"/>
    <s v="Gujarat"/>
    <s v="West"/>
    <s v="Cash"/>
    <s v="Cancelled"/>
    <s v="Yes"/>
    <n v="3"/>
  </r>
  <r>
    <s v="ORD00344"/>
    <d v="2025-12-01T00:00:00"/>
    <s v="C1355"/>
    <x v="50"/>
    <s v="P1005"/>
    <x v="1"/>
    <x v="1"/>
    <x v="1"/>
    <x v="1"/>
    <n v="1"/>
    <n v="4500"/>
    <n v="5"/>
    <n v="4275"/>
    <n v="3150"/>
    <n v="1125"/>
    <x v="3"/>
    <s v="Karnataka"/>
    <s v="South"/>
    <s v="Card"/>
    <s v="Pending"/>
    <s v="Yes"/>
    <n v="4"/>
  </r>
  <r>
    <s v="ORD00345"/>
    <d v="2025-03-04T00:00:00"/>
    <s v="C1046"/>
    <x v="239"/>
    <s v="P1003"/>
    <x v="3"/>
    <x v="0"/>
    <x v="0"/>
    <x v="3"/>
    <n v="3"/>
    <n v="1500"/>
    <n v="0"/>
    <n v="4500"/>
    <n v="3150"/>
    <n v="1350"/>
    <x v="0"/>
    <s v="Delhi"/>
    <s v="North"/>
    <s v="Cash"/>
    <s v="Cancelled"/>
    <s v="No"/>
    <n v="2"/>
  </r>
  <r>
    <s v="ORD00346"/>
    <d v="2025-01-16T00:00:00"/>
    <s v="C1875"/>
    <x v="240"/>
    <s v="P1002"/>
    <x v="0"/>
    <x v="0"/>
    <x v="0"/>
    <x v="0"/>
    <n v="2"/>
    <n v="800"/>
    <n v="0"/>
    <n v="1600"/>
    <n v="1120"/>
    <n v="480"/>
    <x v="3"/>
    <s v="Karnataka"/>
    <s v="South"/>
    <s v="Card"/>
    <s v="Pending"/>
    <s v="No"/>
    <n v="3"/>
  </r>
  <r>
    <s v="ORD00347"/>
    <d v="2025-08-15T00:00:00"/>
    <s v="C1281"/>
    <x v="240"/>
    <s v="P1004"/>
    <x v="4"/>
    <x v="0"/>
    <x v="3"/>
    <x v="4"/>
    <n v="3"/>
    <n v="3500"/>
    <n v="5"/>
    <n v="9975"/>
    <n v="7349.9999999999991"/>
    <n v="2625.0000000000009"/>
    <x v="2"/>
    <s v="Maharashtra"/>
    <s v="West"/>
    <s v="Cash"/>
    <s v="Pending"/>
    <s v="No"/>
    <n v="1"/>
  </r>
  <r>
    <s v="ORD00348"/>
    <d v="2025-09-06T00:00:00"/>
    <s v="C1773"/>
    <x v="241"/>
    <s v="P1001"/>
    <x v="2"/>
    <x v="0"/>
    <x v="2"/>
    <x v="2"/>
    <n v="3"/>
    <n v="55000"/>
    <n v="15"/>
    <n v="140250"/>
    <n v="115500"/>
    <n v="24750.000000000011"/>
    <x v="0"/>
    <s v="Delhi"/>
    <s v="North"/>
    <s v="UPI"/>
    <s v="Delivered"/>
    <s v="No"/>
    <n v="4"/>
  </r>
  <r>
    <s v="ORD00349"/>
    <d v="2025-11-07T00:00:00"/>
    <s v="C1997"/>
    <x v="2"/>
    <s v="P1001"/>
    <x v="2"/>
    <x v="0"/>
    <x v="2"/>
    <x v="2"/>
    <n v="5"/>
    <n v="55000"/>
    <n v="10"/>
    <n v="247500"/>
    <n v="192500"/>
    <n v="55000"/>
    <x v="1"/>
    <s v="Gujarat"/>
    <s v="West"/>
    <s v="UPI"/>
    <s v="Delivered"/>
    <s v="Yes"/>
    <n v="1"/>
  </r>
  <r>
    <s v="ORD00350"/>
    <d v="2025-01-27T00:00:00"/>
    <s v="C1602"/>
    <x v="242"/>
    <s v="P1003"/>
    <x v="3"/>
    <x v="0"/>
    <x v="0"/>
    <x v="3"/>
    <n v="3"/>
    <n v="1500"/>
    <n v="10"/>
    <n v="4050"/>
    <n v="3150"/>
    <n v="900"/>
    <x v="3"/>
    <s v="Karnataka"/>
    <s v="South"/>
    <s v="UPI"/>
    <s v="Delivered"/>
    <s v="No"/>
    <n v="4"/>
  </r>
  <r>
    <s v="ORD00351"/>
    <d v="2025-01-24T00:00:00"/>
    <s v="C1843"/>
    <x v="134"/>
    <s v="P1002"/>
    <x v="0"/>
    <x v="0"/>
    <x v="0"/>
    <x v="0"/>
    <n v="5"/>
    <n v="800"/>
    <n v="10"/>
    <n v="3600"/>
    <n v="2800"/>
    <n v="800"/>
    <x v="1"/>
    <s v="Gujarat"/>
    <s v="West"/>
    <s v="Cash"/>
    <s v="Pending"/>
    <s v="Yes"/>
    <n v="5"/>
  </r>
  <r>
    <s v="ORD00352"/>
    <d v="2025-04-05T00:00:00"/>
    <s v="C1680"/>
    <x v="243"/>
    <s v="P1003"/>
    <x v="3"/>
    <x v="0"/>
    <x v="0"/>
    <x v="3"/>
    <n v="1"/>
    <n v="1500"/>
    <n v="0"/>
    <n v="1500"/>
    <n v="1050"/>
    <n v="450"/>
    <x v="0"/>
    <s v="Delhi"/>
    <s v="North"/>
    <s v="Card"/>
    <s v="Pending"/>
    <s v="Yes"/>
    <n v="2"/>
  </r>
  <r>
    <s v="ORD00353"/>
    <d v="2025-02-08T00:00:00"/>
    <s v="C1935"/>
    <x v="244"/>
    <s v="P1004"/>
    <x v="4"/>
    <x v="0"/>
    <x v="3"/>
    <x v="4"/>
    <n v="3"/>
    <n v="3500"/>
    <n v="0"/>
    <n v="10500"/>
    <n v="7349.9999999999991"/>
    <n v="3150.0000000000009"/>
    <x v="1"/>
    <s v="Gujarat"/>
    <s v="West"/>
    <s v="Card"/>
    <s v="Cancelled"/>
    <s v="No"/>
    <n v="3"/>
  </r>
  <r>
    <s v="ORD00354"/>
    <d v="2025-12-25T00:00:00"/>
    <s v="C1371"/>
    <x v="15"/>
    <s v="P1004"/>
    <x v="4"/>
    <x v="0"/>
    <x v="3"/>
    <x v="4"/>
    <n v="4"/>
    <n v="3500"/>
    <n v="15"/>
    <n v="11900"/>
    <n v="9800"/>
    <n v="2100"/>
    <x v="3"/>
    <s v="Karnataka"/>
    <s v="South"/>
    <s v="Cash"/>
    <s v="Delivered"/>
    <s v="Yes"/>
    <n v="4"/>
  </r>
  <r>
    <s v="ORD00355"/>
    <d v="2025-08-09T00:00:00"/>
    <s v="C1370"/>
    <x v="245"/>
    <s v="P1002"/>
    <x v="0"/>
    <x v="0"/>
    <x v="0"/>
    <x v="0"/>
    <n v="3"/>
    <n v="800"/>
    <n v="0"/>
    <n v="2400"/>
    <n v="1680"/>
    <n v="720"/>
    <x v="0"/>
    <s v="Delhi"/>
    <s v="North"/>
    <s v="Cash"/>
    <s v="Delivered"/>
    <s v="No"/>
    <n v="1"/>
  </r>
  <r>
    <s v="ORD00356"/>
    <d v="2025-06-26T00:00:00"/>
    <s v="C1115"/>
    <x v="200"/>
    <s v="P1005"/>
    <x v="1"/>
    <x v="1"/>
    <x v="1"/>
    <x v="1"/>
    <n v="4"/>
    <n v="4500"/>
    <n v="0"/>
    <n v="18000"/>
    <n v="12600"/>
    <n v="5400"/>
    <x v="1"/>
    <s v="Gujarat"/>
    <s v="West"/>
    <s v="UPI"/>
    <s v="Cancelled"/>
    <s v="No"/>
    <n v="1"/>
  </r>
  <r>
    <s v="ORD00357"/>
    <d v="2025-07-26T00:00:00"/>
    <s v="C1620"/>
    <x v="246"/>
    <s v="P1003"/>
    <x v="3"/>
    <x v="0"/>
    <x v="0"/>
    <x v="3"/>
    <n v="5"/>
    <n v="1500"/>
    <n v="10"/>
    <n v="6750"/>
    <n v="5250"/>
    <n v="1500"/>
    <x v="1"/>
    <s v="Gujarat"/>
    <s v="West"/>
    <s v="UPI"/>
    <s v="Delivered"/>
    <s v="Yes"/>
    <n v="1"/>
  </r>
  <r>
    <s v="ORD00358"/>
    <d v="2025-09-29T00:00:00"/>
    <s v="C1163"/>
    <x v="247"/>
    <s v="P1002"/>
    <x v="0"/>
    <x v="0"/>
    <x v="0"/>
    <x v="0"/>
    <n v="1"/>
    <n v="800"/>
    <n v="5"/>
    <n v="760"/>
    <n v="560"/>
    <n v="200"/>
    <x v="0"/>
    <s v="Delhi"/>
    <s v="North"/>
    <s v="Card"/>
    <s v="Pending"/>
    <s v="No"/>
    <n v="3"/>
  </r>
  <r>
    <s v="ORD00359"/>
    <d v="2025-09-18T00:00:00"/>
    <s v="C1140"/>
    <x v="248"/>
    <s v="P1002"/>
    <x v="0"/>
    <x v="0"/>
    <x v="0"/>
    <x v="0"/>
    <n v="2"/>
    <n v="800"/>
    <n v="15"/>
    <n v="1360"/>
    <n v="1120"/>
    <n v="240"/>
    <x v="0"/>
    <s v="Delhi"/>
    <s v="North"/>
    <s v="Cash"/>
    <s v="Delivered"/>
    <s v="No"/>
    <n v="2"/>
  </r>
  <r>
    <s v="ORD00360"/>
    <d v="2025-11-01T00:00:00"/>
    <s v="C1364"/>
    <x v="188"/>
    <s v="P1005"/>
    <x v="1"/>
    <x v="1"/>
    <x v="1"/>
    <x v="1"/>
    <n v="1"/>
    <n v="4500"/>
    <n v="5"/>
    <n v="4275"/>
    <n v="3150"/>
    <n v="1125"/>
    <x v="1"/>
    <s v="Gujarat"/>
    <s v="West"/>
    <s v="UPI"/>
    <s v="Cancelled"/>
    <s v="No"/>
    <n v="5"/>
  </r>
  <r>
    <s v="ORD00361"/>
    <d v="2025-11-15T00:00:00"/>
    <s v="C1034"/>
    <x v="249"/>
    <s v="P1003"/>
    <x v="3"/>
    <x v="0"/>
    <x v="0"/>
    <x v="3"/>
    <n v="4"/>
    <n v="1500"/>
    <n v="10"/>
    <n v="5400"/>
    <n v="4200"/>
    <n v="1200"/>
    <x v="3"/>
    <s v="Karnataka"/>
    <s v="South"/>
    <s v="UPI"/>
    <s v="Cancelled"/>
    <s v="No"/>
    <n v="1"/>
  </r>
  <r>
    <s v="ORD00362"/>
    <d v="2025-05-17T00:00:00"/>
    <s v="C1808"/>
    <x v="227"/>
    <s v="P1004"/>
    <x v="4"/>
    <x v="0"/>
    <x v="3"/>
    <x v="4"/>
    <n v="4"/>
    <n v="3500"/>
    <n v="10"/>
    <n v="12600"/>
    <n v="9800"/>
    <n v="2800"/>
    <x v="2"/>
    <s v="Maharashtra"/>
    <s v="West"/>
    <s v="UPI"/>
    <s v="Pending"/>
    <s v="Yes"/>
    <n v="2"/>
  </r>
  <r>
    <s v="ORD00363"/>
    <d v="2025-09-17T00:00:00"/>
    <s v="C1207"/>
    <x v="162"/>
    <s v="P1003"/>
    <x v="3"/>
    <x v="0"/>
    <x v="0"/>
    <x v="3"/>
    <n v="2"/>
    <n v="1500"/>
    <n v="15"/>
    <n v="2550"/>
    <n v="2100"/>
    <n v="450"/>
    <x v="2"/>
    <s v="Maharashtra"/>
    <s v="West"/>
    <s v="Card"/>
    <s v="Delivered"/>
    <s v="Yes"/>
    <n v="5"/>
  </r>
  <r>
    <s v="ORD00364"/>
    <d v="2025-05-05T00:00:00"/>
    <s v="C1610"/>
    <x v="250"/>
    <s v="P1005"/>
    <x v="1"/>
    <x v="1"/>
    <x v="1"/>
    <x v="1"/>
    <n v="2"/>
    <n v="4500"/>
    <n v="15"/>
    <n v="7650"/>
    <n v="6300"/>
    <n v="1350"/>
    <x v="2"/>
    <s v="Maharashtra"/>
    <s v="West"/>
    <s v="UPI"/>
    <s v="Cancelled"/>
    <s v="Yes"/>
    <n v="4"/>
  </r>
  <r>
    <s v="ORD00365"/>
    <d v="2025-11-24T00:00:00"/>
    <s v="C1211"/>
    <x v="251"/>
    <s v="P1001"/>
    <x v="2"/>
    <x v="0"/>
    <x v="2"/>
    <x v="2"/>
    <n v="2"/>
    <n v="55000"/>
    <n v="5"/>
    <n v="104500"/>
    <n v="77000"/>
    <n v="27500"/>
    <x v="0"/>
    <s v="Delhi"/>
    <s v="North"/>
    <s v="UPI"/>
    <s v="Cancelled"/>
    <s v="Yes"/>
    <n v="2"/>
  </r>
  <r>
    <s v="ORD00366"/>
    <d v="2025-11-26T00:00:00"/>
    <s v="C1539"/>
    <x v="252"/>
    <s v="P1001"/>
    <x v="2"/>
    <x v="0"/>
    <x v="2"/>
    <x v="2"/>
    <n v="2"/>
    <n v="55000"/>
    <n v="10"/>
    <n v="99000"/>
    <n v="77000"/>
    <n v="22000"/>
    <x v="3"/>
    <s v="Karnataka"/>
    <s v="South"/>
    <s v="UPI"/>
    <s v="Cancelled"/>
    <s v="No"/>
    <n v="3"/>
  </r>
  <r>
    <s v="ORD00367"/>
    <d v="2025-07-08T00:00:00"/>
    <s v="C1188"/>
    <x v="253"/>
    <s v="P1004"/>
    <x v="4"/>
    <x v="0"/>
    <x v="3"/>
    <x v="4"/>
    <n v="1"/>
    <n v="3500"/>
    <n v="10"/>
    <n v="3150"/>
    <n v="2450"/>
    <n v="700"/>
    <x v="0"/>
    <s v="Delhi"/>
    <s v="North"/>
    <s v="Cash"/>
    <s v="Delivered"/>
    <s v="Yes"/>
    <n v="2"/>
  </r>
  <r>
    <s v="ORD00368"/>
    <d v="2025-09-14T00:00:00"/>
    <s v="C1903"/>
    <x v="202"/>
    <s v="P1002"/>
    <x v="0"/>
    <x v="0"/>
    <x v="0"/>
    <x v="0"/>
    <n v="1"/>
    <n v="800"/>
    <n v="15"/>
    <n v="680"/>
    <n v="560"/>
    <n v="120"/>
    <x v="3"/>
    <s v="Karnataka"/>
    <s v="South"/>
    <s v="Cash"/>
    <s v="Cancelled"/>
    <s v="No"/>
    <n v="5"/>
  </r>
  <r>
    <s v="ORD00369"/>
    <d v="2025-04-19T00:00:00"/>
    <s v="C1419"/>
    <x v="68"/>
    <s v="P1001"/>
    <x v="2"/>
    <x v="0"/>
    <x v="2"/>
    <x v="2"/>
    <n v="4"/>
    <n v="55000"/>
    <n v="15"/>
    <n v="187000"/>
    <n v="154000"/>
    <n v="33000"/>
    <x v="0"/>
    <s v="Delhi"/>
    <s v="North"/>
    <s v="UPI"/>
    <s v="Pending"/>
    <s v="Yes"/>
    <n v="3"/>
  </r>
  <r>
    <s v="ORD00370"/>
    <d v="2025-06-13T00:00:00"/>
    <s v="C1746"/>
    <x v="254"/>
    <s v="P1005"/>
    <x v="1"/>
    <x v="1"/>
    <x v="1"/>
    <x v="1"/>
    <n v="4"/>
    <n v="4500"/>
    <n v="0"/>
    <n v="18000"/>
    <n v="12600"/>
    <n v="5400"/>
    <x v="2"/>
    <s v="Maharashtra"/>
    <s v="West"/>
    <s v="Card"/>
    <s v="Cancelled"/>
    <s v="Yes"/>
    <n v="5"/>
  </r>
  <r>
    <s v="ORD00371"/>
    <d v="2025-05-28T00:00:00"/>
    <s v="C1714"/>
    <x v="255"/>
    <s v="P1002"/>
    <x v="0"/>
    <x v="0"/>
    <x v="0"/>
    <x v="0"/>
    <n v="5"/>
    <n v="800"/>
    <n v="15"/>
    <n v="3400"/>
    <n v="2800"/>
    <n v="600"/>
    <x v="2"/>
    <s v="Maharashtra"/>
    <s v="West"/>
    <s v="Cash"/>
    <s v="Cancelled"/>
    <s v="Yes"/>
    <n v="5"/>
  </r>
  <r>
    <s v="ORD00372"/>
    <d v="2025-05-21T00:00:00"/>
    <s v="C1592"/>
    <x v="155"/>
    <s v="P1005"/>
    <x v="1"/>
    <x v="1"/>
    <x v="1"/>
    <x v="1"/>
    <n v="1"/>
    <n v="4500"/>
    <n v="5"/>
    <n v="4275"/>
    <n v="3150"/>
    <n v="1125"/>
    <x v="2"/>
    <s v="Maharashtra"/>
    <s v="West"/>
    <s v="Cash"/>
    <s v="Delivered"/>
    <s v="Yes"/>
    <n v="1"/>
  </r>
  <r>
    <s v="ORD00373"/>
    <d v="2025-12-31T00:00:00"/>
    <s v="C1916"/>
    <x v="256"/>
    <s v="P1005"/>
    <x v="1"/>
    <x v="1"/>
    <x v="1"/>
    <x v="1"/>
    <n v="5"/>
    <n v="4500"/>
    <n v="5"/>
    <n v="21375"/>
    <n v="15750"/>
    <n v="5625.0000000000018"/>
    <x v="1"/>
    <s v="Gujarat"/>
    <s v="West"/>
    <s v="UPI"/>
    <s v="Cancelled"/>
    <s v="Yes"/>
    <n v="3"/>
  </r>
  <r>
    <s v="ORD00374"/>
    <d v="2025-04-07T00:00:00"/>
    <s v="C1205"/>
    <x v="96"/>
    <s v="P1005"/>
    <x v="1"/>
    <x v="1"/>
    <x v="1"/>
    <x v="1"/>
    <n v="1"/>
    <n v="4500"/>
    <n v="0"/>
    <n v="4500"/>
    <n v="3150"/>
    <n v="1350"/>
    <x v="1"/>
    <s v="Gujarat"/>
    <s v="West"/>
    <s v="Card"/>
    <s v="Pending"/>
    <s v="Yes"/>
    <n v="3"/>
  </r>
  <r>
    <s v="ORD00375"/>
    <d v="2025-05-02T00:00:00"/>
    <s v="C1096"/>
    <x v="257"/>
    <s v="P1004"/>
    <x v="4"/>
    <x v="0"/>
    <x v="3"/>
    <x v="4"/>
    <n v="4"/>
    <n v="3500"/>
    <n v="10"/>
    <n v="12600"/>
    <n v="9800"/>
    <n v="2800"/>
    <x v="3"/>
    <s v="Karnataka"/>
    <s v="South"/>
    <s v="UPI"/>
    <s v="Delivered"/>
    <s v="No"/>
    <n v="3"/>
  </r>
  <r>
    <s v="ORD00376"/>
    <d v="2025-06-02T00:00:00"/>
    <s v="C1027"/>
    <x v="258"/>
    <s v="P1003"/>
    <x v="3"/>
    <x v="0"/>
    <x v="0"/>
    <x v="3"/>
    <n v="3"/>
    <n v="1500"/>
    <n v="10"/>
    <n v="4050"/>
    <n v="3150"/>
    <n v="900"/>
    <x v="1"/>
    <s v="Gujarat"/>
    <s v="West"/>
    <s v="Cash"/>
    <s v="Pending"/>
    <s v="Yes"/>
    <n v="4"/>
  </r>
  <r>
    <s v="ORD00377"/>
    <d v="2025-08-26T00:00:00"/>
    <s v="C1010"/>
    <x v="123"/>
    <s v="P1002"/>
    <x v="0"/>
    <x v="0"/>
    <x v="0"/>
    <x v="0"/>
    <n v="3"/>
    <n v="800"/>
    <n v="15"/>
    <n v="2040"/>
    <n v="1680"/>
    <n v="360"/>
    <x v="1"/>
    <s v="Gujarat"/>
    <s v="West"/>
    <s v="UPI"/>
    <s v="Pending"/>
    <s v="No"/>
    <n v="5"/>
  </r>
  <r>
    <s v="ORD00378"/>
    <d v="2025-09-08T00:00:00"/>
    <s v="C1474"/>
    <x v="259"/>
    <s v="P1002"/>
    <x v="0"/>
    <x v="0"/>
    <x v="0"/>
    <x v="0"/>
    <n v="2"/>
    <n v="800"/>
    <n v="15"/>
    <n v="1360"/>
    <n v="1120"/>
    <n v="240"/>
    <x v="1"/>
    <s v="Gujarat"/>
    <s v="West"/>
    <s v="Cash"/>
    <s v="Cancelled"/>
    <s v="No"/>
    <n v="1"/>
  </r>
  <r>
    <s v="ORD00379"/>
    <d v="2025-09-30T00:00:00"/>
    <s v="C1344"/>
    <x v="229"/>
    <s v="P1002"/>
    <x v="0"/>
    <x v="0"/>
    <x v="0"/>
    <x v="0"/>
    <n v="1"/>
    <n v="800"/>
    <n v="15"/>
    <n v="680"/>
    <n v="560"/>
    <n v="120"/>
    <x v="0"/>
    <s v="Delhi"/>
    <s v="North"/>
    <s v="UPI"/>
    <s v="Delivered"/>
    <s v="No"/>
    <n v="3"/>
  </r>
  <r>
    <s v="ORD00380"/>
    <d v="2025-08-17T00:00:00"/>
    <s v="C1320"/>
    <x v="260"/>
    <s v="P1003"/>
    <x v="3"/>
    <x v="0"/>
    <x v="0"/>
    <x v="3"/>
    <n v="2"/>
    <n v="1500"/>
    <n v="0"/>
    <n v="3000"/>
    <n v="2100"/>
    <n v="900"/>
    <x v="1"/>
    <s v="Gujarat"/>
    <s v="West"/>
    <s v="Card"/>
    <s v="Delivered"/>
    <s v="Yes"/>
    <n v="3"/>
  </r>
  <r>
    <s v="ORD00381"/>
    <d v="2025-06-04T00:00:00"/>
    <s v="C1038"/>
    <x v="261"/>
    <s v="P1003"/>
    <x v="3"/>
    <x v="0"/>
    <x v="0"/>
    <x v="3"/>
    <n v="2"/>
    <n v="1500"/>
    <n v="0"/>
    <n v="3000"/>
    <n v="2100"/>
    <n v="900"/>
    <x v="1"/>
    <s v="Gujarat"/>
    <s v="West"/>
    <s v="Card"/>
    <s v="Delivered"/>
    <s v="Yes"/>
    <n v="4"/>
  </r>
  <r>
    <s v="ORD00382"/>
    <d v="2025-02-01T00:00:00"/>
    <s v="C1863"/>
    <x v="262"/>
    <s v="P1004"/>
    <x v="4"/>
    <x v="0"/>
    <x v="3"/>
    <x v="4"/>
    <n v="3"/>
    <n v="3500"/>
    <n v="10"/>
    <n v="9450"/>
    <n v="7349.9999999999991"/>
    <n v="2100.0000000000009"/>
    <x v="1"/>
    <s v="Gujarat"/>
    <s v="West"/>
    <s v="UPI"/>
    <s v="Pending"/>
    <s v="Yes"/>
    <n v="4"/>
  </r>
  <r>
    <s v="ORD00383"/>
    <d v="2025-03-11T00:00:00"/>
    <s v="C1727"/>
    <x v="263"/>
    <s v="P1002"/>
    <x v="0"/>
    <x v="0"/>
    <x v="0"/>
    <x v="0"/>
    <n v="1"/>
    <n v="800"/>
    <n v="0"/>
    <n v="800"/>
    <n v="560"/>
    <n v="240"/>
    <x v="1"/>
    <s v="Gujarat"/>
    <s v="West"/>
    <s v="UPI"/>
    <s v="Pending"/>
    <s v="No"/>
    <n v="5"/>
  </r>
  <r>
    <s v="ORD00384"/>
    <d v="2025-06-17T00:00:00"/>
    <s v="C1946"/>
    <x v="264"/>
    <s v="P1004"/>
    <x v="4"/>
    <x v="0"/>
    <x v="3"/>
    <x v="4"/>
    <n v="4"/>
    <n v="3500"/>
    <n v="10"/>
    <n v="12600"/>
    <n v="9800"/>
    <n v="2800"/>
    <x v="0"/>
    <s v="Delhi"/>
    <s v="North"/>
    <s v="UPI"/>
    <s v="Delivered"/>
    <s v="No"/>
    <n v="1"/>
  </r>
  <r>
    <s v="ORD00385"/>
    <d v="2025-03-06T00:00:00"/>
    <s v="C1390"/>
    <x v="107"/>
    <s v="P1004"/>
    <x v="4"/>
    <x v="0"/>
    <x v="3"/>
    <x v="4"/>
    <n v="4"/>
    <n v="3500"/>
    <n v="5"/>
    <n v="13300"/>
    <n v="9800"/>
    <n v="3500"/>
    <x v="3"/>
    <s v="Karnataka"/>
    <s v="South"/>
    <s v="UPI"/>
    <s v="Delivered"/>
    <s v="No"/>
    <n v="3"/>
  </r>
  <r>
    <s v="ORD00386"/>
    <d v="2025-07-09T00:00:00"/>
    <s v="C1739"/>
    <x v="265"/>
    <s v="P1002"/>
    <x v="0"/>
    <x v="0"/>
    <x v="0"/>
    <x v="0"/>
    <n v="4"/>
    <n v="800"/>
    <n v="15"/>
    <n v="2720"/>
    <n v="2240"/>
    <n v="480"/>
    <x v="3"/>
    <s v="Karnataka"/>
    <s v="South"/>
    <s v="Cash"/>
    <s v="Pending"/>
    <s v="Yes"/>
    <n v="4"/>
  </r>
  <r>
    <s v="ORD00387"/>
    <d v="2025-01-06T00:00:00"/>
    <s v="C1665"/>
    <x v="15"/>
    <s v="P1001"/>
    <x v="2"/>
    <x v="0"/>
    <x v="2"/>
    <x v="2"/>
    <n v="4"/>
    <n v="55000"/>
    <n v="5"/>
    <n v="209000"/>
    <n v="154000"/>
    <n v="55000"/>
    <x v="0"/>
    <s v="Delhi"/>
    <s v="North"/>
    <s v="Cash"/>
    <s v="Delivered"/>
    <s v="Yes"/>
    <n v="2"/>
  </r>
  <r>
    <s v="ORD00388"/>
    <d v="2025-05-30T00:00:00"/>
    <s v="C1178"/>
    <x v="206"/>
    <s v="P1002"/>
    <x v="0"/>
    <x v="0"/>
    <x v="0"/>
    <x v="0"/>
    <n v="3"/>
    <n v="800"/>
    <n v="15"/>
    <n v="2040"/>
    <n v="1680"/>
    <n v="360"/>
    <x v="1"/>
    <s v="Gujarat"/>
    <s v="West"/>
    <s v="Card"/>
    <s v="Cancelled"/>
    <s v="No"/>
    <n v="1"/>
  </r>
  <r>
    <s v="ORD00389"/>
    <d v="2025-03-15T00:00:00"/>
    <s v="C1825"/>
    <x v="84"/>
    <s v="P1001"/>
    <x v="2"/>
    <x v="0"/>
    <x v="2"/>
    <x v="2"/>
    <n v="4"/>
    <n v="55000"/>
    <n v="15"/>
    <n v="187000"/>
    <n v="154000"/>
    <n v="33000"/>
    <x v="0"/>
    <s v="Delhi"/>
    <s v="North"/>
    <s v="Card"/>
    <s v="Pending"/>
    <s v="No"/>
    <n v="5"/>
  </r>
  <r>
    <s v="ORD00390"/>
    <d v="2025-08-10T00:00:00"/>
    <s v="C1561"/>
    <x v="263"/>
    <s v="P1005"/>
    <x v="1"/>
    <x v="1"/>
    <x v="1"/>
    <x v="1"/>
    <n v="5"/>
    <n v="4500"/>
    <n v="10"/>
    <n v="20250"/>
    <n v="15750"/>
    <n v="4500.0000000000018"/>
    <x v="2"/>
    <s v="Maharashtra"/>
    <s v="West"/>
    <s v="UPI"/>
    <s v="Cancelled"/>
    <s v="No"/>
    <n v="3"/>
  </r>
  <r>
    <s v="ORD00391"/>
    <d v="2025-03-18T00:00:00"/>
    <s v="C1608"/>
    <x v="257"/>
    <s v="P1004"/>
    <x v="4"/>
    <x v="0"/>
    <x v="3"/>
    <x v="4"/>
    <n v="2"/>
    <n v="3500"/>
    <n v="10"/>
    <n v="6300"/>
    <n v="4900"/>
    <n v="1400"/>
    <x v="1"/>
    <s v="Gujarat"/>
    <s v="West"/>
    <s v="Card"/>
    <s v="Pending"/>
    <s v="No"/>
    <n v="5"/>
  </r>
  <r>
    <s v="ORD00392"/>
    <d v="2025-06-29T00:00:00"/>
    <s v="C1432"/>
    <x v="145"/>
    <s v="P1003"/>
    <x v="3"/>
    <x v="0"/>
    <x v="0"/>
    <x v="3"/>
    <n v="2"/>
    <n v="1500"/>
    <n v="5"/>
    <n v="2850"/>
    <n v="2100"/>
    <n v="750"/>
    <x v="0"/>
    <s v="Delhi"/>
    <s v="North"/>
    <s v="Card"/>
    <s v="Pending"/>
    <s v="Yes"/>
    <n v="1"/>
  </r>
  <r>
    <s v="ORD00393"/>
    <d v="2025-12-05T00:00:00"/>
    <s v="C1147"/>
    <x v="209"/>
    <s v="P1002"/>
    <x v="0"/>
    <x v="0"/>
    <x v="0"/>
    <x v="0"/>
    <n v="1"/>
    <n v="800"/>
    <n v="5"/>
    <n v="760"/>
    <n v="560"/>
    <n v="200"/>
    <x v="1"/>
    <s v="Gujarat"/>
    <s v="West"/>
    <s v="UPI"/>
    <s v="Pending"/>
    <s v="No"/>
    <n v="5"/>
  </r>
  <r>
    <s v="ORD00394"/>
    <d v="2025-10-29T00:00:00"/>
    <s v="C1499"/>
    <x v="266"/>
    <s v="P1004"/>
    <x v="4"/>
    <x v="0"/>
    <x v="3"/>
    <x v="4"/>
    <n v="1"/>
    <n v="3500"/>
    <n v="5"/>
    <n v="3325"/>
    <n v="2450"/>
    <n v="875"/>
    <x v="1"/>
    <s v="Gujarat"/>
    <s v="West"/>
    <s v="Card"/>
    <s v="Pending"/>
    <s v="Yes"/>
    <n v="5"/>
  </r>
  <r>
    <s v="ORD00395"/>
    <d v="2025-06-19T00:00:00"/>
    <s v="C1522"/>
    <x v="267"/>
    <s v="P1002"/>
    <x v="0"/>
    <x v="0"/>
    <x v="0"/>
    <x v="0"/>
    <n v="1"/>
    <n v="800"/>
    <n v="0"/>
    <n v="800"/>
    <n v="560"/>
    <n v="240"/>
    <x v="1"/>
    <s v="Gujarat"/>
    <s v="West"/>
    <s v="UPI"/>
    <s v="Cancelled"/>
    <s v="No"/>
    <n v="2"/>
  </r>
  <r>
    <s v="ORD00396"/>
    <d v="2025-05-13T00:00:00"/>
    <s v="C1419"/>
    <x v="268"/>
    <s v="P1004"/>
    <x v="4"/>
    <x v="0"/>
    <x v="3"/>
    <x v="4"/>
    <n v="3"/>
    <n v="3500"/>
    <n v="5"/>
    <n v="9975"/>
    <n v="7349.9999999999991"/>
    <n v="2625.0000000000009"/>
    <x v="1"/>
    <s v="Gujarat"/>
    <s v="West"/>
    <s v="UPI"/>
    <s v="Cancelled"/>
    <s v="Yes"/>
    <n v="5"/>
  </r>
  <r>
    <s v="ORD00397"/>
    <d v="2025-07-30T00:00:00"/>
    <s v="C1220"/>
    <x v="124"/>
    <s v="P1004"/>
    <x v="4"/>
    <x v="0"/>
    <x v="3"/>
    <x v="4"/>
    <n v="5"/>
    <n v="3500"/>
    <n v="15"/>
    <n v="14875"/>
    <n v="12250"/>
    <n v="2625"/>
    <x v="0"/>
    <s v="Delhi"/>
    <s v="North"/>
    <s v="Card"/>
    <s v="Cancelled"/>
    <s v="Yes"/>
    <n v="2"/>
  </r>
  <r>
    <s v="ORD00398"/>
    <d v="2025-04-24T00:00:00"/>
    <s v="C1895"/>
    <x v="6"/>
    <s v="P1002"/>
    <x v="0"/>
    <x v="0"/>
    <x v="0"/>
    <x v="0"/>
    <n v="4"/>
    <n v="800"/>
    <n v="10"/>
    <n v="2880"/>
    <n v="2240"/>
    <n v="640"/>
    <x v="3"/>
    <s v="Karnataka"/>
    <s v="South"/>
    <s v="UPI"/>
    <s v="Cancelled"/>
    <s v="Yes"/>
    <n v="2"/>
  </r>
  <r>
    <s v="ORD00399"/>
    <d v="2025-11-11T00:00:00"/>
    <s v="C1905"/>
    <x v="269"/>
    <s v="P1003"/>
    <x v="3"/>
    <x v="0"/>
    <x v="0"/>
    <x v="3"/>
    <n v="3"/>
    <n v="1500"/>
    <n v="5"/>
    <n v="4275"/>
    <n v="3150"/>
    <n v="1125"/>
    <x v="1"/>
    <s v="Gujarat"/>
    <s v="West"/>
    <s v="Cash"/>
    <s v="Pending"/>
    <s v="Yes"/>
    <n v="5"/>
  </r>
  <r>
    <s v="ORD00400"/>
    <d v="2025-06-28T00:00:00"/>
    <s v="C1462"/>
    <x v="54"/>
    <s v="P1003"/>
    <x v="3"/>
    <x v="0"/>
    <x v="0"/>
    <x v="3"/>
    <n v="4"/>
    <n v="1500"/>
    <n v="5"/>
    <n v="5700"/>
    <n v="4200"/>
    <n v="1500"/>
    <x v="1"/>
    <s v="Gujarat"/>
    <s v="West"/>
    <s v="Cash"/>
    <s v="Cancelled"/>
    <s v="No"/>
    <n v="3"/>
  </r>
  <r>
    <s v="ORD00401"/>
    <d v="2025-05-17T00:00:00"/>
    <s v="C1814"/>
    <x v="53"/>
    <s v="P1001"/>
    <x v="2"/>
    <x v="0"/>
    <x v="2"/>
    <x v="2"/>
    <n v="1"/>
    <n v="55000"/>
    <n v="15"/>
    <n v="46750"/>
    <n v="38500"/>
    <n v="8250"/>
    <x v="2"/>
    <s v="Maharashtra"/>
    <s v="West"/>
    <s v="Cash"/>
    <s v="Delivered"/>
    <s v="No"/>
    <n v="1"/>
  </r>
  <r>
    <s v="ORD00402"/>
    <d v="2025-12-05T00:00:00"/>
    <s v="C1980"/>
    <x v="270"/>
    <s v="P1005"/>
    <x v="1"/>
    <x v="1"/>
    <x v="1"/>
    <x v="1"/>
    <n v="5"/>
    <n v="4500"/>
    <n v="10"/>
    <n v="20250"/>
    <n v="15750"/>
    <n v="4500.0000000000018"/>
    <x v="2"/>
    <s v="Maharashtra"/>
    <s v="West"/>
    <s v="UPI"/>
    <s v="Cancelled"/>
    <s v="Yes"/>
    <n v="5"/>
  </r>
  <r>
    <s v="ORD00403"/>
    <d v="2025-01-30T00:00:00"/>
    <s v="C1164"/>
    <x v="271"/>
    <s v="P1004"/>
    <x v="4"/>
    <x v="0"/>
    <x v="3"/>
    <x v="4"/>
    <n v="2"/>
    <n v="3500"/>
    <n v="0"/>
    <n v="7000"/>
    <n v="4900"/>
    <n v="2100"/>
    <x v="0"/>
    <s v="Delhi"/>
    <s v="North"/>
    <s v="Cash"/>
    <s v="Cancelled"/>
    <s v="No"/>
    <n v="2"/>
  </r>
  <r>
    <s v="ORD00404"/>
    <d v="2025-11-01T00:00:00"/>
    <s v="C1968"/>
    <x v="160"/>
    <s v="P1002"/>
    <x v="0"/>
    <x v="0"/>
    <x v="0"/>
    <x v="0"/>
    <n v="1"/>
    <n v="800"/>
    <n v="5"/>
    <n v="760"/>
    <n v="560"/>
    <n v="200"/>
    <x v="2"/>
    <s v="Maharashtra"/>
    <s v="West"/>
    <s v="UPI"/>
    <s v="Delivered"/>
    <s v="Yes"/>
    <n v="3"/>
  </r>
  <r>
    <s v="ORD00405"/>
    <d v="2025-04-28T00:00:00"/>
    <s v="C1661"/>
    <x v="272"/>
    <s v="P1005"/>
    <x v="1"/>
    <x v="1"/>
    <x v="1"/>
    <x v="1"/>
    <n v="2"/>
    <n v="4500"/>
    <n v="0"/>
    <n v="9000"/>
    <n v="6300"/>
    <n v="2700"/>
    <x v="0"/>
    <s v="Delhi"/>
    <s v="North"/>
    <s v="Cash"/>
    <s v="Delivered"/>
    <s v="Yes"/>
    <n v="4"/>
  </r>
  <r>
    <s v="ORD00406"/>
    <d v="2025-11-29T00:00:00"/>
    <s v="C1074"/>
    <x v="38"/>
    <s v="P1002"/>
    <x v="0"/>
    <x v="0"/>
    <x v="0"/>
    <x v="0"/>
    <n v="4"/>
    <n v="800"/>
    <n v="10"/>
    <n v="2880"/>
    <n v="2240"/>
    <n v="640"/>
    <x v="2"/>
    <s v="Maharashtra"/>
    <s v="West"/>
    <s v="UPI"/>
    <s v="Pending"/>
    <s v="Yes"/>
    <n v="1"/>
  </r>
  <r>
    <s v="ORD00407"/>
    <d v="2025-03-29T00:00:00"/>
    <s v="C1685"/>
    <x v="148"/>
    <s v="P1005"/>
    <x v="1"/>
    <x v="1"/>
    <x v="1"/>
    <x v="1"/>
    <n v="5"/>
    <n v="4500"/>
    <n v="15"/>
    <n v="19125"/>
    <n v="15750"/>
    <n v="3375.0000000000018"/>
    <x v="3"/>
    <s v="Karnataka"/>
    <s v="South"/>
    <s v="Card"/>
    <s v="Delivered"/>
    <s v="No"/>
    <n v="4"/>
  </r>
  <r>
    <s v="ORD00408"/>
    <d v="2025-10-14T00:00:00"/>
    <s v="C1358"/>
    <x v="65"/>
    <s v="P1004"/>
    <x v="4"/>
    <x v="0"/>
    <x v="3"/>
    <x v="4"/>
    <n v="5"/>
    <n v="3500"/>
    <n v="15"/>
    <n v="14875"/>
    <n v="12250"/>
    <n v="2625"/>
    <x v="3"/>
    <s v="Karnataka"/>
    <s v="South"/>
    <s v="UPI"/>
    <s v="Delivered"/>
    <s v="No"/>
    <n v="2"/>
  </r>
  <r>
    <s v="ORD00409"/>
    <d v="2025-04-21T00:00:00"/>
    <s v="C1385"/>
    <x v="222"/>
    <s v="P1001"/>
    <x v="2"/>
    <x v="0"/>
    <x v="2"/>
    <x v="2"/>
    <n v="2"/>
    <n v="55000"/>
    <n v="5"/>
    <n v="104500"/>
    <n v="77000"/>
    <n v="27500"/>
    <x v="2"/>
    <s v="Maharashtra"/>
    <s v="West"/>
    <s v="Card"/>
    <s v="Cancelled"/>
    <s v="Yes"/>
    <n v="5"/>
  </r>
  <r>
    <s v="ORD00410"/>
    <d v="2025-10-18T00:00:00"/>
    <s v="C1479"/>
    <x v="273"/>
    <s v="P1003"/>
    <x v="3"/>
    <x v="0"/>
    <x v="0"/>
    <x v="3"/>
    <n v="3"/>
    <n v="1500"/>
    <n v="5"/>
    <n v="4275"/>
    <n v="3150"/>
    <n v="1125"/>
    <x v="1"/>
    <s v="Gujarat"/>
    <s v="West"/>
    <s v="Cash"/>
    <s v="Delivered"/>
    <s v="Yes"/>
    <n v="2"/>
  </r>
  <r>
    <s v="ORD00411"/>
    <d v="2025-07-28T00:00:00"/>
    <s v="C1805"/>
    <x v="148"/>
    <s v="P1001"/>
    <x v="2"/>
    <x v="0"/>
    <x v="2"/>
    <x v="2"/>
    <n v="3"/>
    <n v="55000"/>
    <n v="10"/>
    <n v="148500"/>
    <n v="115500"/>
    <n v="33000.000000000007"/>
    <x v="3"/>
    <s v="Karnataka"/>
    <s v="South"/>
    <s v="Cash"/>
    <s v="Cancelled"/>
    <s v="No"/>
    <n v="1"/>
  </r>
  <r>
    <s v="ORD00412"/>
    <d v="2025-03-18T00:00:00"/>
    <s v="C1227"/>
    <x v="274"/>
    <s v="P1002"/>
    <x v="0"/>
    <x v="0"/>
    <x v="0"/>
    <x v="0"/>
    <n v="3"/>
    <n v="800"/>
    <n v="15"/>
    <n v="2040"/>
    <n v="1680"/>
    <n v="360"/>
    <x v="0"/>
    <s v="Delhi"/>
    <s v="North"/>
    <s v="Card"/>
    <s v="Pending"/>
    <s v="Yes"/>
    <n v="3"/>
  </r>
  <r>
    <s v="ORD00413"/>
    <d v="2025-02-25T00:00:00"/>
    <s v="C1274"/>
    <x v="275"/>
    <s v="P1002"/>
    <x v="0"/>
    <x v="0"/>
    <x v="0"/>
    <x v="0"/>
    <n v="2"/>
    <n v="800"/>
    <n v="15"/>
    <n v="1360"/>
    <n v="1120"/>
    <n v="240"/>
    <x v="2"/>
    <s v="Maharashtra"/>
    <s v="West"/>
    <s v="Card"/>
    <s v="Pending"/>
    <s v="No"/>
    <n v="5"/>
  </r>
  <r>
    <s v="ORD00414"/>
    <d v="2025-04-10T00:00:00"/>
    <s v="C1155"/>
    <x v="246"/>
    <s v="P1002"/>
    <x v="0"/>
    <x v="0"/>
    <x v="0"/>
    <x v="0"/>
    <n v="2"/>
    <n v="800"/>
    <n v="0"/>
    <n v="1600"/>
    <n v="1120"/>
    <n v="480"/>
    <x v="2"/>
    <s v="Maharashtra"/>
    <s v="West"/>
    <s v="UPI"/>
    <s v="Pending"/>
    <s v="Yes"/>
    <n v="5"/>
  </r>
  <r>
    <s v="ORD00415"/>
    <d v="2025-02-25T00:00:00"/>
    <s v="C1865"/>
    <x v="18"/>
    <s v="P1002"/>
    <x v="0"/>
    <x v="0"/>
    <x v="0"/>
    <x v="0"/>
    <n v="2"/>
    <n v="800"/>
    <n v="10"/>
    <n v="1440"/>
    <n v="1120"/>
    <n v="320"/>
    <x v="1"/>
    <s v="Gujarat"/>
    <s v="West"/>
    <s v="Card"/>
    <s v="Delivered"/>
    <s v="Yes"/>
    <n v="3"/>
  </r>
  <r>
    <s v="ORD00416"/>
    <d v="2025-08-31T00:00:00"/>
    <s v="C1278"/>
    <x v="276"/>
    <s v="P1005"/>
    <x v="1"/>
    <x v="1"/>
    <x v="1"/>
    <x v="1"/>
    <n v="4"/>
    <n v="4500"/>
    <n v="0"/>
    <n v="18000"/>
    <n v="12600"/>
    <n v="5400"/>
    <x v="0"/>
    <s v="Delhi"/>
    <s v="North"/>
    <s v="Cash"/>
    <s v="Cancelled"/>
    <s v="Yes"/>
    <n v="2"/>
  </r>
  <r>
    <s v="ORD00417"/>
    <d v="2025-03-12T00:00:00"/>
    <s v="C1054"/>
    <x v="277"/>
    <s v="P1004"/>
    <x v="4"/>
    <x v="0"/>
    <x v="3"/>
    <x v="4"/>
    <n v="4"/>
    <n v="3500"/>
    <n v="5"/>
    <n v="13300"/>
    <n v="9800"/>
    <n v="3500"/>
    <x v="3"/>
    <s v="Karnataka"/>
    <s v="South"/>
    <s v="UPI"/>
    <s v="Delivered"/>
    <s v="Yes"/>
    <n v="1"/>
  </r>
  <r>
    <s v="ORD00418"/>
    <d v="2025-05-10T00:00:00"/>
    <s v="C1115"/>
    <x v="278"/>
    <s v="P1005"/>
    <x v="1"/>
    <x v="1"/>
    <x v="1"/>
    <x v="1"/>
    <n v="3"/>
    <n v="4500"/>
    <n v="5"/>
    <n v="12825"/>
    <n v="9450"/>
    <n v="3375"/>
    <x v="1"/>
    <s v="Gujarat"/>
    <s v="West"/>
    <s v="UPI"/>
    <s v="Delivered"/>
    <s v="Yes"/>
    <n v="2"/>
  </r>
  <r>
    <s v="ORD00419"/>
    <d v="2025-03-28T00:00:00"/>
    <s v="C1541"/>
    <x v="158"/>
    <s v="P1004"/>
    <x v="4"/>
    <x v="0"/>
    <x v="3"/>
    <x v="4"/>
    <n v="4"/>
    <n v="3500"/>
    <n v="5"/>
    <n v="13300"/>
    <n v="9800"/>
    <n v="3500"/>
    <x v="0"/>
    <s v="Delhi"/>
    <s v="North"/>
    <s v="UPI"/>
    <s v="Cancelled"/>
    <s v="No"/>
    <n v="2"/>
  </r>
  <r>
    <s v="ORD00420"/>
    <d v="2025-12-24T00:00:00"/>
    <s v="C1618"/>
    <x v="279"/>
    <s v="P1001"/>
    <x v="2"/>
    <x v="0"/>
    <x v="2"/>
    <x v="2"/>
    <n v="1"/>
    <n v="55000"/>
    <n v="15"/>
    <n v="46750"/>
    <n v="38500"/>
    <n v="8250"/>
    <x v="2"/>
    <s v="Maharashtra"/>
    <s v="West"/>
    <s v="Card"/>
    <s v="Pending"/>
    <s v="No"/>
    <n v="5"/>
  </r>
  <r>
    <s v="ORD00421"/>
    <d v="2025-10-19T00:00:00"/>
    <s v="C1342"/>
    <x v="280"/>
    <s v="P1004"/>
    <x v="4"/>
    <x v="0"/>
    <x v="3"/>
    <x v="4"/>
    <n v="1"/>
    <n v="3500"/>
    <n v="0"/>
    <n v="3500"/>
    <n v="2450"/>
    <n v="1050"/>
    <x v="0"/>
    <s v="Delhi"/>
    <s v="North"/>
    <s v="UPI"/>
    <s v="Pending"/>
    <s v="No"/>
    <n v="2"/>
  </r>
  <r>
    <s v="ORD00422"/>
    <d v="2025-03-16T00:00:00"/>
    <s v="C1157"/>
    <x v="245"/>
    <s v="P1004"/>
    <x v="4"/>
    <x v="0"/>
    <x v="3"/>
    <x v="4"/>
    <n v="2"/>
    <n v="3500"/>
    <n v="5"/>
    <n v="6650"/>
    <n v="4900"/>
    <n v="1750"/>
    <x v="3"/>
    <s v="Karnataka"/>
    <s v="South"/>
    <s v="UPI"/>
    <s v="Cancelled"/>
    <s v="Yes"/>
    <n v="4"/>
  </r>
  <r>
    <s v="ORD00423"/>
    <d v="2025-01-14T00:00:00"/>
    <s v="C1641"/>
    <x v="231"/>
    <s v="P1005"/>
    <x v="1"/>
    <x v="1"/>
    <x v="1"/>
    <x v="1"/>
    <n v="2"/>
    <n v="4500"/>
    <n v="5"/>
    <n v="8550"/>
    <n v="6300"/>
    <n v="2250"/>
    <x v="1"/>
    <s v="Gujarat"/>
    <s v="West"/>
    <s v="Card"/>
    <s v="Cancelled"/>
    <s v="Yes"/>
    <n v="3"/>
  </r>
  <r>
    <s v="ORD00424"/>
    <d v="2025-04-30T00:00:00"/>
    <s v="C1220"/>
    <x v="74"/>
    <s v="P1004"/>
    <x v="4"/>
    <x v="0"/>
    <x v="3"/>
    <x v="4"/>
    <n v="5"/>
    <n v="3500"/>
    <n v="10"/>
    <n v="15750"/>
    <n v="12250"/>
    <n v="3500"/>
    <x v="3"/>
    <s v="Karnataka"/>
    <s v="South"/>
    <s v="UPI"/>
    <s v="Pending"/>
    <s v="Yes"/>
    <n v="1"/>
  </r>
  <r>
    <s v="ORD00425"/>
    <d v="2025-08-14T00:00:00"/>
    <s v="C1747"/>
    <x v="281"/>
    <s v="P1004"/>
    <x v="4"/>
    <x v="0"/>
    <x v="3"/>
    <x v="4"/>
    <n v="3"/>
    <n v="3500"/>
    <n v="15"/>
    <n v="8925"/>
    <n v="7349.9999999999991"/>
    <n v="1575.0000000000009"/>
    <x v="1"/>
    <s v="Gujarat"/>
    <s v="West"/>
    <s v="Cash"/>
    <s v="Pending"/>
    <s v="Yes"/>
    <n v="2"/>
  </r>
  <r>
    <s v="ORD00426"/>
    <d v="2025-10-28T00:00:00"/>
    <s v="C1417"/>
    <x v="164"/>
    <s v="P1005"/>
    <x v="1"/>
    <x v="1"/>
    <x v="1"/>
    <x v="1"/>
    <n v="5"/>
    <n v="4500"/>
    <n v="10"/>
    <n v="20250"/>
    <n v="15750"/>
    <n v="4500.0000000000018"/>
    <x v="2"/>
    <s v="Maharashtra"/>
    <s v="West"/>
    <s v="Cash"/>
    <s v="Cancelled"/>
    <s v="Yes"/>
    <n v="4"/>
  </r>
  <r>
    <s v="ORD00427"/>
    <d v="2025-03-06T00:00:00"/>
    <s v="C1524"/>
    <x v="282"/>
    <s v="P1004"/>
    <x v="4"/>
    <x v="0"/>
    <x v="3"/>
    <x v="4"/>
    <n v="2"/>
    <n v="3500"/>
    <n v="15"/>
    <n v="5950"/>
    <n v="4900"/>
    <n v="1050"/>
    <x v="1"/>
    <s v="Gujarat"/>
    <s v="West"/>
    <s v="Cash"/>
    <s v="Cancelled"/>
    <s v="No"/>
    <n v="3"/>
  </r>
  <r>
    <s v="ORD00428"/>
    <d v="2025-08-28T00:00:00"/>
    <s v="C1440"/>
    <x v="193"/>
    <s v="P1003"/>
    <x v="3"/>
    <x v="0"/>
    <x v="0"/>
    <x v="3"/>
    <n v="4"/>
    <n v="1500"/>
    <n v="5"/>
    <n v="5700"/>
    <n v="4200"/>
    <n v="1500"/>
    <x v="0"/>
    <s v="Delhi"/>
    <s v="North"/>
    <s v="UPI"/>
    <s v="Pending"/>
    <s v="No"/>
    <n v="1"/>
  </r>
  <r>
    <s v="ORD00429"/>
    <d v="2025-04-24T00:00:00"/>
    <s v="C1811"/>
    <x v="283"/>
    <s v="P1001"/>
    <x v="2"/>
    <x v="0"/>
    <x v="2"/>
    <x v="2"/>
    <n v="5"/>
    <n v="55000"/>
    <n v="5"/>
    <n v="261250"/>
    <n v="192500"/>
    <n v="68750"/>
    <x v="1"/>
    <s v="Gujarat"/>
    <s v="West"/>
    <s v="Card"/>
    <s v="Pending"/>
    <s v="Yes"/>
    <n v="4"/>
  </r>
  <r>
    <s v="ORD00430"/>
    <d v="2025-09-06T00:00:00"/>
    <s v="C1474"/>
    <x v="261"/>
    <s v="P1003"/>
    <x v="3"/>
    <x v="0"/>
    <x v="0"/>
    <x v="3"/>
    <n v="4"/>
    <n v="1500"/>
    <n v="5"/>
    <n v="5700"/>
    <n v="4200"/>
    <n v="1500"/>
    <x v="3"/>
    <s v="Karnataka"/>
    <s v="South"/>
    <s v="UPI"/>
    <s v="Cancelled"/>
    <s v="Yes"/>
    <n v="1"/>
  </r>
  <r>
    <s v="ORD00431"/>
    <d v="2025-01-26T00:00:00"/>
    <s v="C1417"/>
    <x v="284"/>
    <s v="P1001"/>
    <x v="2"/>
    <x v="0"/>
    <x v="2"/>
    <x v="2"/>
    <n v="1"/>
    <n v="55000"/>
    <n v="10"/>
    <n v="49500"/>
    <n v="38500"/>
    <n v="11000"/>
    <x v="1"/>
    <s v="Gujarat"/>
    <s v="West"/>
    <s v="Card"/>
    <s v="Cancelled"/>
    <s v="No"/>
    <n v="5"/>
  </r>
  <r>
    <s v="ORD00432"/>
    <d v="2025-09-23T00:00:00"/>
    <s v="C1652"/>
    <x v="60"/>
    <s v="P1004"/>
    <x v="4"/>
    <x v="0"/>
    <x v="3"/>
    <x v="4"/>
    <n v="3"/>
    <n v="3500"/>
    <n v="10"/>
    <n v="9450"/>
    <n v="7349.9999999999991"/>
    <n v="2100.0000000000009"/>
    <x v="0"/>
    <s v="Delhi"/>
    <s v="North"/>
    <s v="UPI"/>
    <s v="Cancelled"/>
    <s v="No"/>
    <n v="5"/>
  </r>
  <r>
    <s v="ORD00433"/>
    <d v="2025-11-15T00:00:00"/>
    <s v="C1172"/>
    <x v="285"/>
    <s v="P1003"/>
    <x v="3"/>
    <x v="0"/>
    <x v="0"/>
    <x v="3"/>
    <n v="3"/>
    <n v="1500"/>
    <n v="5"/>
    <n v="4275"/>
    <n v="3150"/>
    <n v="1125"/>
    <x v="2"/>
    <s v="Maharashtra"/>
    <s v="West"/>
    <s v="UPI"/>
    <s v="Cancelled"/>
    <s v="Yes"/>
    <n v="2"/>
  </r>
  <r>
    <s v="ORD00434"/>
    <d v="2025-01-20T00:00:00"/>
    <s v="C1733"/>
    <x v="286"/>
    <s v="P1001"/>
    <x v="2"/>
    <x v="0"/>
    <x v="2"/>
    <x v="2"/>
    <n v="2"/>
    <n v="55000"/>
    <n v="5"/>
    <n v="104500"/>
    <n v="77000"/>
    <n v="27500"/>
    <x v="2"/>
    <s v="Maharashtra"/>
    <s v="West"/>
    <s v="Cash"/>
    <s v="Delivered"/>
    <s v="No"/>
    <n v="1"/>
  </r>
  <r>
    <s v="ORD00435"/>
    <d v="2025-01-05T00:00:00"/>
    <s v="C1214"/>
    <x v="287"/>
    <s v="P1005"/>
    <x v="1"/>
    <x v="1"/>
    <x v="1"/>
    <x v="1"/>
    <n v="5"/>
    <n v="4500"/>
    <n v="10"/>
    <n v="20250"/>
    <n v="15750"/>
    <n v="4500.0000000000018"/>
    <x v="2"/>
    <s v="Maharashtra"/>
    <s v="West"/>
    <s v="UPI"/>
    <s v="Cancelled"/>
    <s v="Yes"/>
    <n v="4"/>
  </r>
  <r>
    <s v="ORD00436"/>
    <d v="2025-05-28T00:00:00"/>
    <s v="C1745"/>
    <x v="7"/>
    <s v="P1003"/>
    <x v="3"/>
    <x v="0"/>
    <x v="0"/>
    <x v="3"/>
    <n v="2"/>
    <n v="1500"/>
    <n v="0"/>
    <n v="3000"/>
    <n v="2100"/>
    <n v="900"/>
    <x v="1"/>
    <s v="Gujarat"/>
    <s v="West"/>
    <s v="Card"/>
    <s v="Delivered"/>
    <s v="No"/>
    <n v="3"/>
  </r>
  <r>
    <s v="ORD00437"/>
    <d v="2025-09-29T00:00:00"/>
    <s v="C1816"/>
    <x v="288"/>
    <s v="P1005"/>
    <x v="1"/>
    <x v="1"/>
    <x v="1"/>
    <x v="1"/>
    <n v="5"/>
    <n v="4500"/>
    <n v="10"/>
    <n v="20250"/>
    <n v="15750"/>
    <n v="4500.0000000000018"/>
    <x v="3"/>
    <s v="Karnataka"/>
    <s v="South"/>
    <s v="Cash"/>
    <s v="Cancelled"/>
    <s v="Yes"/>
    <n v="5"/>
  </r>
  <r>
    <s v="ORD00438"/>
    <d v="2025-11-17T00:00:00"/>
    <s v="C1107"/>
    <x v="289"/>
    <s v="P1001"/>
    <x v="2"/>
    <x v="0"/>
    <x v="2"/>
    <x v="2"/>
    <n v="3"/>
    <n v="55000"/>
    <n v="5"/>
    <n v="156750"/>
    <n v="115500"/>
    <n v="41250.000000000007"/>
    <x v="2"/>
    <s v="Maharashtra"/>
    <s v="West"/>
    <s v="Card"/>
    <s v="Cancelled"/>
    <s v="Yes"/>
    <n v="1"/>
  </r>
  <r>
    <s v="ORD00439"/>
    <d v="2025-09-10T00:00:00"/>
    <s v="C1019"/>
    <x v="290"/>
    <s v="P1003"/>
    <x v="3"/>
    <x v="0"/>
    <x v="0"/>
    <x v="3"/>
    <n v="2"/>
    <n v="1500"/>
    <n v="0"/>
    <n v="3000"/>
    <n v="2100"/>
    <n v="900"/>
    <x v="2"/>
    <s v="Maharashtra"/>
    <s v="West"/>
    <s v="Card"/>
    <s v="Delivered"/>
    <s v="No"/>
    <n v="2"/>
  </r>
  <r>
    <s v="ORD00440"/>
    <d v="2025-06-10T00:00:00"/>
    <s v="C1787"/>
    <x v="118"/>
    <s v="P1003"/>
    <x v="3"/>
    <x v="0"/>
    <x v="0"/>
    <x v="3"/>
    <n v="5"/>
    <n v="1500"/>
    <n v="0"/>
    <n v="7500"/>
    <n v="5250"/>
    <n v="2250"/>
    <x v="1"/>
    <s v="Gujarat"/>
    <s v="West"/>
    <s v="Card"/>
    <s v="Pending"/>
    <s v="Yes"/>
    <n v="1"/>
  </r>
  <r>
    <s v="ORD00441"/>
    <d v="2025-05-26T00:00:00"/>
    <s v="C1823"/>
    <x v="172"/>
    <s v="P1003"/>
    <x v="3"/>
    <x v="0"/>
    <x v="0"/>
    <x v="3"/>
    <n v="3"/>
    <n v="1500"/>
    <n v="15"/>
    <n v="3825"/>
    <n v="3150"/>
    <n v="675"/>
    <x v="0"/>
    <s v="Delhi"/>
    <s v="North"/>
    <s v="Card"/>
    <s v="Delivered"/>
    <s v="Yes"/>
    <n v="2"/>
  </r>
  <r>
    <s v="ORD00442"/>
    <d v="2025-11-18T00:00:00"/>
    <s v="C1332"/>
    <x v="291"/>
    <s v="P1002"/>
    <x v="0"/>
    <x v="0"/>
    <x v="0"/>
    <x v="0"/>
    <n v="5"/>
    <n v="800"/>
    <n v="0"/>
    <n v="4000"/>
    <n v="2800"/>
    <n v="1200"/>
    <x v="3"/>
    <s v="Karnataka"/>
    <s v="South"/>
    <s v="Cash"/>
    <s v="Delivered"/>
    <s v="Yes"/>
    <n v="5"/>
  </r>
  <r>
    <s v="ORD00443"/>
    <d v="2025-12-22T00:00:00"/>
    <s v="C1373"/>
    <x v="161"/>
    <s v="P1002"/>
    <x v="0"/>
    <x v="0"/>
    <x v="0"/>
    <x v="0"/>
    <n v="2"/>
    <n v="800"/>
    <n v="15"/>
    <n v="1360"/>
    <n v="1120"/>
    <n v="240"/>
    <x v="1"/>
    <s v="Gujarat"/>
    <s v="West"/>
    <s v="UPI"/>
    <s v="Pending"/>
    <s v="No"/>
    <n v="1"/>
  </r>
  <r>
    <s v="ORD00444"/>
    <d v="2025-11-30T00:00:00"/>
    <s v="C1329"/>
    <x v="181"/>
    <s v="P1001"/>
    <x v="2"/>
    <x v="0"/>
    <x v="2"/>
    <x v="2"/>
    <n v="4"/>
    <n v="55000"/>
    <n v="5"/>
    <n v="209000"/>
    <n v="154000"/>
    <n v="55000"/>
    <x v="3"/>
    <s v="Karnataka"/>
    <s v="South"/>
    <s v="Cash"/>
    <s v="Cancelled"/>
    <s v="Yes"/>
    <n v="3"/>
  </r>
  <r>
    <s v="ORD00445"/>
    <d v="2025-05-28T00:00:00"/>
    <s v="C1750"/>
    <x v="214"/>
    <s v="P1002"/>
    <x v="0"/>
    <x v="0"/>
    <x v="0"/>
    <x v="0"/>
    <n v="5"/>
    <n v="800"/>
    <n v="15"/>
    <n v="3400"/>
    <n v="2800"/>
    <n v="600"/>
    <x v="2"/>
    <s v="Maharashtra"/>
    <s v="West"/>
    <s v="UPI"/>
    <s v="Pending"/>
    <s v="No"/>
    <n v="4"/>
  </r>
  <r>
    <s v="ORD00446"/>
    <d v="2025-09-19T00:00:00"/>
    <s v="C1881"/>
    <x v="155"/>
    <s v="P1001"/>
    <x v="2"/>
    <x v="0"/>
    <x v="2"/>
    <x v="2"/>
    <n v="2"/>
    <n v="55000"/>
    <n v="15"/>
    <n v="93500"/>
    <n v="77000"/>
    <n v="16500"/>
    <x v="3"/>
    <s v="Karnataka"/>
    <s v="South"/>
    <s v="Cash"/>
    <s v="Delivered"/>
    <s v="No"/>
    <n v="4"/>
  </r>
  <r>
    <s v="ORD00447"/>
    <d v="2025-05-26T00:00:00"/>
    <s v="C1260"/>
    <x v="292"/>
    <s v="P1003"/>
    <x v="3"/>
    <x v="0"/>
    <x v="0"/>
    <x v="3"/>
    <n v="5"/>
    <n v="1500"/>
    <n v="10"/>
    <n v="6750"/>
    <n v="5250"/>
    <n v="1500"/>
    <x v="1"/>
    <s v="Gujarat"/>
    <s v="West"/>
    <s v="UPI"/>
    <s v="Delivered"/>
    <s v="Yes"/>
    <n v="3"/>
  </r>
  <r>
    <s v="ORD00448"/>
    <d v="2025-02-04T00:00:00"/>
    <s v="C1839"/>
    <x v="3"/>
    <s v="P1004"/>
    <x v="4"/>
    <x v="0"/>
    <x v="3"/>
    <x v="4"/>
    <n v="3"/>
    <n v="3500"/>
    <n v="15"/>
    <n v="8925"/>
    <n v="7349.9999999999991"/>
    <n v="1575.0000000000009"/>
    <x v="1"/>
    <s v="Gujarat"/>
    <s v="West"/>
    <s v="Card"/>
    <s v="Cancelled"/>
    <s v="Yes"/>
    <n v="2"/>
  </r>
  <r>
    <s v="ORD00449"/>
    <d v="2025-08-03T00:00:00"/>
    <s v="C1460"/>
    <x v="200"/>
    <s v="P1001"/>
    <x v="2"/>
    <x v="0"/>
    <x v="2"/>
    <x v="2"/>
    <n v="5"/>
    <n v="55000"/>
    <n v="15"/>
    <n v="233750"/>
    <n v="192500"/>
    <n v="41250"/>
    <x v="2"/>
    <s v="Maharashtra"/>
    <s v="West"/>
    <s v="Card"/>
    <s v="Cancelled"/>
    <s v="No"/>
    <n v="1"/>
  </r>
  <r>
    <s v="ORD00450"/>
    <d v="2025-12-15T00:00:00"/>
    <s v="C1188"/>
    <x v="210"/>
    <s v="P1002"/>
    <x v="0"/>
    <x v="0"/>
    <x v="0"/>
    <x v="0"/>
    <n v="3"/>
    <n v="800"/>
    <n v="10"/>
    <n v="2160"/>
    <n v="1680"/>
    <n v="480"/>
    <x v="3"/>
    <s v="Karnataka"/>
    <s v="South"/>
    <s v="Card"/>
    <s v="Delivered"/>
    <s v="Yes"/>
    <n v="2"/>
  </r>
  <r>
    <s v="ORD00451"/>
    <d v="2025-01-27T00:00:00"/>
    <s v="C1601"/>
    <x v="49"/>
    <s v="P1005"/>
    <x v="1"/>
    <x v="1"/>
    <x v="1"/>
    <x v="1"/>
    <n v="3"/>
    <n v="4500"/>
    <n v="15"/>
    <n v="11475"/>
    <n v="9450"/>
    <n v="2025"/>
    <x v="1"/>
    <s v="Gujarat"/>
    <s v="West"/>
    <s v="Cash"/>
    <s v="Delivered"/>
    <s v="No"/>
    <n v="3"/>
  </r>
  <r>
    <s v="ORD00452"/>
    <d v="2025-09-11T00:00:00"/>
    <s v="C1346"/>
    <x v="79"/>
    <s v="P1003"/>
    <x v="3"/>
    <x v="0"/>
    <x v="0"/>
    <x v="3"/>
    <n v="5"/>
    <n v="1500"/>
    <n v="10"/>
    <n v="6750"/>
    <n v="5250"/>
    <n v="1500"/>
    <x v="3"/>
    <s v="Karnataka"/>
    <s v="South"/>
    <s v="UPI"/>
    <s v="Delivered"/>
    <s v="Yes"/>
    <n v="3"/>
  </r>
  <r>
    <s v="ORD00453"/>
    <d v="2025-09-29T00:00:00"/>
    <s v="C1824"/>
    <x v="213"/>
    <s v="P1004"/>
    <x v="4"/>
    <x v="0"/>
    <x v="3"/>
    <x v="4"/>
    <n v="5"/>
    <n v="3500"/>
    <n v="5"/>
    <n v="16625"/>
    <n v="12250"/>
    <n v="4375"/>
    <x v="0"/>
    <s v="Delhi"/>
    <s v="North"/>
    <s v="UPI"/>
    <s v="Pending"/>
    <s v="Yes"/>
    <n v="3"/>
  </r>
  <r>
    <s v="ORD00454"/>
    <d v="2025-09-05T00:00:00"/>
    <s v="C1085"/>
    <x v="49"/>
    <s v="P1002"/>
    <x v="0"/>
    <x v="0"/>
    <x v="0"/>
    <x v="0"/>
    <n v="1"/>
    <n v="800"/>
    <n v="0"/>
    <n v="800"/>
    <n v="560"/>
    <n v="240"/>
    <x v="3"/>
    <s v="Karnataka"/>
    <s v="South"/>
    <s v="UPI"/>
    <s v="Cancelled"/>
    <s v="Yes"/>
    <n v="3"/>
  </r>
  <r>
    <s v="ORD00455"/>
    <d v="2025-02-07T00:00:00"/>
    <s v="C1169"/>
    <x v="164"/>
    <s v="P1003"/>
    <x v="3"/>
    <x v="0"/>
    <x v="0"/>
    <x v="3"/>
    <n v="2"/>
    <n v="1500"/>
    <n v="10"/>
    <n v="2700"/>
    <n v="2100"/>
    <n v="600"/>
    <x v="0"/>
    <s v="Delhi"/>
    <s v="North"/>
    <s v="Card"/>
    <s v="Cancelled"/>
    <s v="No"/>
    <n v="4"/>
  </r>
  <r>
    <s v="ORD00456"/>
    <d v="2025-07-12T00:00:00"/>
    <s v="C1298"/>
    <x v="293"/>
    <s v="P1003"/>
    <x v="3"/>
    <x v="0"/>
    <x v="0"/>
    <x v="3"/>
    <n v="4"/>
    <n v="1500"/>
    <n v="10"/>
    <n v="5400"/>
    <n v="4200"/>
    <n v="1200"/>
    <x v="1"/>
    <s v="Gujarat"/>
    <s v="West"/>
    <s v="UPI"/>
    <s v="Pending"/>
    <s v="No"/>
    <n v="1"/>
  </r>
  <r>
    <s v="ORD00457"/>
    <d v="2025-05-25T00:00:00"/>
    <s v="C1172"/>
    <x v="233"/>
    <s v="P1004"/>
    <x v="4"/>
    <x v="0"/>
    <x v="3"/>
    <x v="4"/>
    <n v="3"/>
    <n v="3500"/>
    <n v="10"/>
    <n v="9450"/>
    <n v="7349.9999999999991"/>
    <n v="2100.0000000000009"/>
    <x v="0"/>
    <s v="Delhi"/>
    <s v="North"/>
    <s v="Cash"/>
    <s v="Delivered"/>
    <s v="No"/>
    <n v="4"/>
  </r>
  <r>
    <s v="ORD00458"/>
    <d v="2025-05-10T00:00:00"/>
    <s v="C1070"/>
    <x v="294"/>
    <s v="P1004"/>
    <x v="4"/>
    <x v="0"/>
    <x v="3"/>
    <x v="4"/>
    <n v="4"/>
    <n v="3500"/>
    <n v="5"/>
    <n v="13300"/>
    <n v="9800"/>
    <n v="3500"/>
    <x v="2"/>
    <s v="Maharashtra"/>
    <s v="West"/>
    <s v="UPI"/>
    <s v="Pending"/>
    <s v="Yes"/>
    <n v="5"/>
  </r>
  <r>
    <s v="ORD00459"/>
    <d v="2025-04-14T00:00:00"/>
    <s v="C1428"/>
    <x v="295"/>
    <s v="P1004"/>
    <x v="4"/>
    <x v="0"/>
    <x v="3"/>
    <x v="4"/>
    <n v="4"/>
    <n v="3500"/>
    <n v="5"/>
    <n v="13300"/>
    <n v="9800"/>
    <n v="3500"/>
    <x v="3"/>
    <s v="Karnataka"/>
    <s v="South"/>
    <s v="Card"/>
    <s v="Cancelled"/>
    <s v="No"/>
    <n v="4"/>
  </r>
  <r>
    <s v="ORD00460"/>
    <d v="2025-01-07T00:00:00"/>
    <s v="C1356"/>
    <x v="39"/>
    <s v="P1004"/>
    <x v="4"/>
    <x v="0"/>
    <x v="3"/>
    <x v="4"/>
    <n v="4"/>
    <n v="3500"/>
    <n v="10"/>
    <n v="12600"/>
    <n v="9800"/>
    <n v="2800"/>
    <x v="2"/>
    <s v="Maharashtra"/>
    <s v="West"/>
    <s v="Cash"/>
    <s v="Pending"/>
    <s v="No"/>
    <n v="3"/>
  </r>
  <r>
    <s v="ORD00461"/>
    <d v="2025-07-24T00:00:00"/>
    <s v="C1475"/>
    <x v="136"/>
    <s v="P1004"/>
    <x v="4"/>
    <x v="0"/>
    <x v="3"/>
    <x v="4"/>
    <n v="1"/>
    <n v="3500"/>
    <n v="15"/>
    <n v="2975"/>
    <n v="2450"/>
    <n v="525"/>
    <x v="0"/>
    <s v="Delhi"/>
    <s v="North"/>
    <s v="UPI"/>
    <s v="Cancelled"/>
    <s v="No"/>
    <n v="2"/>
  </r>
  <r>
    <s v="ORD00462"/>
    <d v="2025-12-21T00:00:00"/>
    <s v="C1854"/>
    <x v="61"/>
    <s v="P1001"/>
    <x v="2"/>
    <x v="0"/>
    <x v="2"/>
    <x v="2"/>
    <n v="5"/>
    <n v="55000"/>
    <n v="5"/>
    <n v="261250"/>
    <n v="192500"/>
    <n v="68750"/>
    <x v="3"/>
    <s v="Karnataka"/>
    <s v="South"/>
    <s v="Cash"/>
    <s v="Pending"/>
    <s v="Yes"/>
    <n v="2"/>
  </r>
  <r>
    <s v="ORD00463"/>
    <d v="2025-02-21T00:00:00"/>
    <s v="C1020"/>
    <x v="81"/>
    <s v="P1001"/>
    <x v="2"/>
    <x v="0"/>
    <x v="2"/>
    <x v="2"/>
    <n v="3"/>
    <n v="55000"/>
    <n v="0"/>
    <n v="165000"/>
    <n v="115500"/>
    <n v="49500.000000000007"/>
    <x v="0"/>
    <s v="Delhi"/>
    <s v="North"/>
    <s v="Card"/>
    <s v="Pending"/>
    <s v="No"/>
    <n v="3"/>
  </r>
  <r>
    <s v="ORD00464"/>
    <d v="2025-01-15T00:00:00"/>
    <s v="C1765"/>
    <x v="289"/>
    <s v="P1003"/>
    <x v="3"/>
    <x v="0"/>
    <x v="0"/>
    <x v="3"/>
    <n v="3"/>
    <n v="1500"/>
    <n v="0"/>
    <n v="4500"/>
    <n v="3150"/>
    <n v="1350"/>
    <x v="2"/>
    <s v="Maharashtra"/>
    <s v="West"/>
    <s v="Cash"/>
    <s v="Cancelled"/>
    <s v="No"/>
    <n v="1"/>
  </r>
  <r>
    <s v="ORD00465"/>
    <d v="2025-05-24T00:00:00"/>
    <s v="C1066"/>
    <x v="140"/>
    <s v="P1004"/>
    <x v="4"/>
    <x v="0"/>
    <x v="3"/>
    <x v="4"/>
    <n v="1"/>
    <n v="3500"/>
    <n v="10"/>
    <n v="3150"/>
    <n v="2450"/>
    <n v="700"/>
    <x v="3"/>
    <s v="Karnataka"/>
    <s v="South"/>
    <s v="Cash"/>
    <s v="Cancelled"/>
    <s v="No"/>
    <n v="2"/>
  </r>
  <r>
    <s v="ORD00466"/>
    <d v="2025-04-24T00:00:00"/>
    <s v="C1923"/>
    <x v="218"/>
    <s v="P1004"/>
    <x v="4"/>
    <x v="0"/>
    <x v="3"/>
    <x v="4"/>
    <n v="2"/>
    <n v="3500"/>
    <n v="10"/>
    <n v="6300"/>
    <n v="4900"/>
    <n v="1400"/>
    <x v="1"/>
    <s v="Gujarat"/>
    <s v="West"/>
    <s v="UPI"/>
    <s v="Delivered"/>
    <s v="No"/>
    <n v="1"/>
  </r>
  <r>
    <s v="ORD00467"/>
    <d v="2025-12-20T00:00:00"/>
    <s v="C1262"/>
    <x v="296"/>
    <s v="P1003"/>
    <x v="3"/>
    <x v="0"/>
    <x v="0"/>
    <x v="3"/>
    <n v="4"/>
    <n v="1500"/>
    <n v="10"/>
    <n v="5400"/>
    <n v="4200"/>
    <n v="1200"/>
    <x v="1"/>
    <s v="Gujarat"/>
    <s v="West"/>
    <s v="UPI"/>
    <s v="Pending"/>
    <s v="No"/>
    <n v="2"/>
  </r>
  <r>
    <s v="ORD00468"/>
    <d v="2025-06-24T00:00:00"/>
    <s v="C1317"/>
    <x v="132"/>
    <s v="P1004"/>
    <x v="4"/>
    <x v="0"/>
    <x v="3"/>
    <x v="4"/>
    <n v="2"/>
    <n v="3500"/>
    <n v="15"/>
    <n v="5950"/>
    <n v="4900"/>
    <n v="1050"/>
    <x v="1"/>
    <s v="Gujarat"/>
    <s v="West"/>
    <s v="Cash"/>
    <s v="Delivered"/>
    <s v="No"/>
    <n v="5"/>
  </r>
  <r>
    <s v="ORD00469"/>
    <d v="2025-04-01T00:00:00"/>
    <s v="C1601"/>
    <x v="129"/>
    <s v="P1004"/>
    <x v="4"/>
    <x v="0"/>
    <x v="3"/>
    <x v="4"/>
    <n v="3"/>
    <n v="3500"/>
    <n v="5"/>
    <n v="9975"/>
    <n v="7349.9999999999991"/>
    <n v="2625.0000000000009"/>
    <x v="0"/>
    <s v="Delhi"/>
    <s v="North"/>
    <s v="UPI"/>
    <s v="Cancelled"/>
    <s v="No"/>
    <n v="2"/>
  </r>
  <r>
    <s v="ORD00470"/>
    <d v="2025-06-12T00:00:00"/>
    <s v="C1534"/>
    <x v="142"/>
    <s v="P1005"/>
    <x v="1"/>
    <x v="1"/>
    <x v="1"/>
    <x v="1"/>
    <n v="2"/>
    <n v="4500"/>
    <n v="15"/>
    <n v="7650"/>
    <n v="6300"/>
    <n v="1350"/>
    <x v="1"/>
    <s v="Gujarat"/>
    <s v="West"/>
    <s v="UPI"/>
    <s v="Delivered"/>
    <s v="No"/>
    <n v="4"/>
  </r>
  <r>
    <s v="ORD00471"/>
    <d v="2025-03-05T00:00:00"/>
    <s v="C1929"/>
    <x v="297"/>
    <s v="P1002"/>
    <x v="0"/>
    <x v="0"/>
    <x v="0"/>
    <x v="0"/>
    <n v="4"/>
    <n v="800"/>
    <n v="0"/>
    <n v="3200"/>
    <n v="2240"/>
    <n v="960"/>
    <x v="2"/>
    <s v="Maharashtra"/>
    <s v="West"/>
    <s v="Card"/>
    <s v="Cancelled"/>
    <s v="No"/>
    <n v="4"/>
  </r>
  <r>
    <s v="ORD00472"/>
    <d v="2025-10-10T00:00:00"/>
    <s v="C1865"/>
    <x v="298"/>
    <s v="P1003"/>
    <x v="3"/>
    <x v="0"/>
    <x v="0"/>
    <x v="3"/>
    <n v="4"/>
    <n v="1500"/>
    <n v="10"/>
    <n v="5400"/>
    <n v="4200"/>
    <n v="1200"/>
    <x v="1"/>
    <s v="Gujarat"/>
    <s v="West"/>
    <s v="UPI"/>
    <s v="Cancelled"/>
    <s v="No"/>
    <n v="2"/>
  </r>
  <r>
    <s v="ORD00473"/>
    <d v="2025-09-08T00:00:00"/>
    <s v="C1439"/>
    <x v="141"/>
    <s v="P1004"/>
    <x v="4"/>
    <x v="0"/>
    <x v="3"/>
    <x v="4"/>
    <n v="2"/>
    <n v="3500"/>
    <n v="15"/>
    <n v="5950"/>
    <n v="4900"/>
    <n v="1050"/>
    <x v="0"/>
    <s v="Delhi"/>
    <s v="North"/>
    <s v="Card"/>
    <s v="Pending"/>
    <s v="No"/>
    <n v="4"/>
  </r>
  <r>
    <s v="ORD00474"/>
    <d v="2025-11-27T00:00:00"/>
    <s v="C1584"/>
    <x v="153"/>
    <s v="P1003"/>
    <x v="3"/>
    <x v="0"/>
    <x v="0"/>
    <x v="3"/>
    <n v="3"/>
    <n v="1500"/>
    <n v="15"/>
    <n v="3825"/>
    <n v="3150"/>
    <n v="675"/>
    <x v="0"/>
    <s v="Delhi"/>
    <s v="North"/>
    <s v="UPI"/>
    <s v="Cancelled"/>
    <s v="Yes"/>
    <n v="2"/>
  </r>
  <r>
    <s v="ORD00475"/>
    <d v="2025-10-13T00:00:00"/>
    <s v="C1706"/>
    <x v="10"/>
    <s v="P1001"/>
    <x v="2"/>
    <x v="0"/>
    <x v="2"/>
    <x v="2"/>
    <n v="4"/>
    <n v="55000"/>
    <n v="15"/>
    <n v="187000"/>
    <n v="154000"/>
    <n v="33000"/>
    <x v="2"/>
    <s v="Maharashtra"/>
    <s v="West"/>
    <s v="Card"/>
    <s v="Pending"/>
    <s v="Yes"/>
    <n v="3"/>
  </r>
  <r>
    <s v="ORD00476"/>
    <d v="2025-12-11T00:00:00"/>
    <s v="C1041"/>
    <x v="239"/>
    <s v="P1001"/>
    <x v="2"/>
    <x v="0"/>
    <x v="2"/>
    <x v="2"/>
    <n v="1"/>
    <n v="55000"/>
    <n v="15"/>
    <n v="46750"/>
    <n v="38500"/>
    <n v="8250"/>
    <x v="3"/>
    <s v="Karnataka"/>
    <s v="South"/>
    <s v="Card"/>
    <s v="Delivered"/>
    <s v="Yes"/>
    <n v="2"/>
  </r>
  <r>
    <s v="ORD00477"/>
    <d v="2025-07-23T00:00:00"/>
    <s v="C1888"/>
    <x v="299"/>
    <s v="P1003"/>
    <x v="3"/>
    <x v="0"/>
    <x v="0"/>
    <x v="3"/>
    <n v="3"/>
    <n v="1500"/>
    <n v="0"/>
    <n v="4500"/>
    <n v="3150"/>
    <n v="1350"/>
    <x v="2"/>
    <s v="Maharashtra"/>
    <s v="West"/>
    <s v="Cash"/>
    <s v="Delivered"/>
    <s v="No"/>
    <n v="1"/>
  </r>
  <r>
    <s v="ORD00478"/>
    <d v="2025-09-06T00:00:00"/>
    <s v="C1084"/>
    <x v="38"/>
    <s v="P1003"/>
    <x v="3"/>
    <x v="0"/>
    <x v="0"/>
    <x v="3"/>
    <n v="5"/>
    <n v="1500"/>
    <n v="15"/>
    <n v="6375"/>
    <n v="5250"/>
    <n v="1125"/>
    <x v="0"/>
    <s v="Delhi"/>
    <s v="North"/>
    <s v="Card"/>
    <s v="Pending"/>
    <s v="No"/>
    <n v="3"/>
  </r>
  <r>
    <s v="ORD00479"/>
    <d v="2025-09-11T00:00:00"/>
    <s v="C1577"/>
    <x v="295"/>
    <s v="P1001"/>
    <x v="2"/>
    <x v="0"/>
    <x v="2"/>
    <x v="2"/>
    <n v="1"/>
    <n v="55000"/>
    <n v="15"/>
    <n v="46750"/>
    <n v="38500"/>
    <n v="8250"/>
    <x v="2"/>
    <s v="Maharashtra"/>
    <s v="West"/>
    <s v="UPI"/>
    <s v="Cancelled"/>
    <s v="No"/>
    <n v="5"/>
  </r>
  <r>
    <s v="ORD00480"/>
    <d v="2025-03-14T00:00:00"/>
    <s v="C1257"/>
    <x v="267"/>
    <s v="P1005"/>
    <x v="1"/>
    <x v="1"/>
    <x v="1"/>
    <x v="1"/>
    <n v="4"/>
    <n v="4500"/>
    <n v="10"/>
    <n v="16200"/>
    <n v="12600"/>
    <n v="3600"/>
    <x v="2"/>
    <s v="Maharashtra"/>
    <s v="West"/>
    <s v="UPI"/>
    <s v="Pending"/>
    <s v="Yes"/>
    <n v="4"/>
  </r>
  <r>
    <s v="ORD00481"/>
    <d v="2025-12-07T00:00:00"/>
    <s v="C1353"/>
    <x v="300"/>
    <s v="P1001"/>
    <x v="2"/>
    <x v="0"/>
    <x v="2"/>
    <x v="2"/>
    <n v="3"/>
    <n v="55000"/>
    <n v="15"/>
    <n v="140250"/>
    <n v="115500"/>
    <n v="24750.000000000011"/>
    <x v="1"/>
    <s v="Gujarat"/>
    <s v="West"/>
    <s v="Cash"/>
    <s v="Cancelled"/>
    <s v="No"/>
    <n v="1"/>
  </r>
  <r>
    <s v="ORD00482"/>
    <d v="2025-11-30T00:00:00"/>
    <s v="C1164"/>
    <x v="179"/>
    <s v="P1004"/>
    <x v="4"/>
    <x v="0"/>
    <x v="3"/>
    <x v="4"/>
    <n v="3"/>
    <n v="3500"/>
    <n v="5"/>
    <n v="9975"/>
    <n v="7349.9999999999991"/>
    <n v="2625.0000000000009"/>
    <x v="1"/>
    <s v="Gujarat"/>
    <s v="West"/>
    <s v="Cash"/>
    <s v="Cancelled"/>
    <s v="Yes"/>
    <n v="5"/>
  </r>
  <r>
    <s v="ORD00483"/>
    <d v="2025-03-30T00:00:00"/>
    <s v="C1671"/>
    <x v="43"/>
    <s v="P1002"/>
    <x v="0"/>
    <x v="0"/>
    <x v="0"/>
    <x v="0"/>
    <n v="1"/>
    <n v="800"/>
    <n v="15"/>
    <n v="680"/>
    <n v="560"/>
    <n v="120"/>
    <x v="3"/>
    <s v="Karnataka"/>
    <s v="South"/>
    <s v="Cash"/>
    <s v="Delivered"/>
    <s v="No"/>
    <n v="5"/>
  </r>
  <r>
    <s v="ORD00484"/>
    <d v="2025-10-17T00:00:00"/>
    <s v="C1879"/>
    <x v="301"/>
    <s v="P1002"/>
    <x v="0"/>
    <x v="0"/>
    <x v="0"/>
    <x v="0"/>
    <n v="1"/>
    <n v="800"/>
    <n v="10"/>
    <n v="720"/>
    <n v="560"/>
    <n v="160"/>
    <x v="0"/>
    <s v="Delhi"/>
    <s v="North"/>
    <s v="Cash"/>
    <s v="Pending"/>
    <s v="No"/>
    <n v="4"/>
  </r>
  <r>
    <s v="ORD00485"/>
    <d v="2025-12-20T00:00:00"/>
    <s v="C1014"/>
    <x v="293"/>
    <s v="P1004"/>
    <x v="4"/>
    <x v="0"/>
    <x v="3"/>
    <x v="4"/>
    <n v="1"/>
    <n v="3500"/>
    <n v="10"/>
    <n v="3150"/>
    <n v="2450"/>
    <n v="700"/>
    <x v="1"/>
    <s v="Gujarat"/>
    <s v="West"/>
    <s v="UPI"/>
    <s v="Cancelled"/>
    <s v="No"/>
    <n v="3"/>
  </r>
  <r>
    <s v="ORD00486"/>
    <d v="2025-06-25T00:00:00"/>
    <s v="C1973"/>
    <x v="126"/>
    <s v="P1005"/>
    <x v="1"/>
    <x v="1"/>
    <x v="1"/>
    <x v="1"/>
    <n v="4"/>
    <n v="4500"/>
    <n v="15"/>
    <n v="15300"/>
    <n v="12600"/>
    <n v="2700"/>
    <x v="3"/>
    <s v="Karnataka"/>
    <s v="South"/>
    <s v="Cash"/>
    <s v="Delivered"/>
    <s v="No"/>
    <n v="5"/>
  </r>
  <r>
    <s v="ORD00487"/>
    <d v="2025-01-09T00:00:00"/>
    <s v="C1913"/>
    <x v="302"/>
    <s v="P1005"/>
    <x v="1"/>
    <x v="1"/>
    <x v="1"/>
    <x v="1"/>
    <n v="5"/>
    <n v="4500"/>
    <n v="15"/>
    <n v="19125"/>
    <n v="15750"/>
    <n v="3375.0000000000018"/>
    <x v="0"/>
    <s v="Delhi"/>
    <s v="North"/>
    <s v="Card"/>
    <s v="Cancelled"/>
    <s v="Yes"/>
    <n v="3"/>
  </r>
  <r>
    <s v="ORD00488"/>
    <d v="2025-01-24T00:00:00"/>
    <s v="C1339"/>
    <x v="267"/>
    <s v="P1002"/>
    <x v="0"/>
    <x v="0"/>
    <x v="0"/>
    <x v="0"/>
    <n v="3"/>
    <n v="800"/>
    <n v="10"/>
    <n v="2160"/>
    <n v="1680"/>
    <n v="480"/>
    <x v="2"/>
    <s v="Maharashtra"/>
    <s v="West"/>
    <s v="Card"/>
    <s v="Delivered"/>
    <s v="Yes"/>
    <n v="4"/>
  </r>
  <r>
    <s v="ORD00489"/>
    <d v="2025-12-01T00:00:00"/>
    <s v="C1558"/>
    <x v="303"/>
    <s v="P1004"/>
    <x v="4"/>
    <x v="0"/>
    <x v="3"/>
    <x v="4"/>
    <n v="5"/>
    <n v="3500"/>
    <n v="5"/>
    <n v="16625"/>
    <n v="12250"/>
    <n v="4375"/>
    <x v="1"/>
    <s v="Gujarat"/>
    <s v="West"/>
    <s v="Card"/>
    <s v="Pending"/>
    <s v="No"/>
    <n v="1"/>
  </r>
  <r>
    <s v="ORD00490"/>
    <d v="2025-12-19T00:00:00"/>
    <s v="C1916"/>
    <x v="304"/>
    <s v="P1003"/>
    <x v="3"/>
    <x v="0"/>
    <x v="0"/>
    <x v="3"/>
    <n v="4"/>
    <n v="1500"/>
    <n v="15"/>
    <n v="5100"/>
    <n v="4200"/>
    <n v="900"/>
    <x v="1"/>
    <s v="Gujarat"/>
    <s v="West"/>
    <s v="Cash"/>
    <s v="Pending"/>
    <s v="Yes"/>
    <n v="4"/>
  </r>
  <r>
    <s v="ORD00491"/>
    <d v="2025-07-21T00:00:00"/>
    <s v="C1935"/>
    <x v="305"/>
    <s v="P1002"/>
    <x v="0"/>
    <x v="0"/>
    <x v="0"/>
    <x v="0"/>
    <n v="4"/>
    <n v="800"/>
    <n v="0"/>
    <n v="3200"/>
    <n v="2240"/>
    <n v="960"/>
    <x v="1"/>
    <s v="Gujarat"/>
    <s v="West"/>
    <s v="Cash"/>
    <s v="Delivered"/>
    <s v="Yes"/>
    <n v="4"/>
  </r>
  <r>
    <s v="ORD00492"/>
    <d v="2025-07-17T00:00:00"/>
    <s v="C1034"/>
    <x v="26"/>
    <s v="P1003"/>
    <x v="3"/>
    <x v="0"/>
    <x v="0"/>
    <x v="3"/>
    <n v="1"/>
    <n v="1500"/>
    <n v="10"/>
    <n v="1350"/>
    <n v="1050"/>
    <n v="300"/>
    <x v="1"/>
    <s v="Gujarat"/>
    <s v="West"/>
    <s v="UPI"/>
    <s v="Delivered"/>
    <s v="Yes"/>
    <n v="3"/>
  </r>
  <r>
    <s v="ORD00493"/>
    <d v="2025-07-03T00:00:00"/>
    <s v="C1308"/>
    <x v="306"/>
    <s v="P1003"/>
    <x v="3"/>
    <x v="0"/>
    <x v="0"/>
    <x v="3"/>
    <n v="5"/>
    <n v="1500"/>
    <n v="0"/>
    <n v="7500"/>
    <n v="5250"/>
    <n v="2250"/>
    <x v="3"/>
    <s v="Karnataka"/>
    <s v="South"/>
    <s v="Card"/>
    <s v="Delivered"/>
    <s v="No"/>
    <n v="2"/>
  </r>
  <r>
    <s v="ORD00494"/>
    <d v="2025-06-21T00:00:00"/>
    <s v="C1503"/>
    <x v="180"/>
    <s v="P1003"/>
    <x v="3"/>
    <x v="0"/>
    <x v="0"/>
    <x v="3"/>
    <n v="5"/>
    <n v="1500"/>
    <n v="0"/>
    <n v="7500"/>
    <n v="5250"/>
    <n v="2250"/>
    <x v="3"/>
    <s v="Karnataka"/>
    <s v="South"/>
    <s v="Cash"/>
    <s v="Cancelled"/>
    <s v="No"/>
    <n v="5"/>
  </r>
  <r>
    <s v="ORD00495"/>
    <d v="2025-04-12T00:00:00"/>
    <s v="C1177"/>
    <x v="307"/>
    <s v="P1003"/>
    <x v="3"/>
    <x v="0"/>
    <x v="0"/>
    <x v="3"/>
    <n v="2"/>
    <n v="1500"/>
    <n v="0"/>
    <n v="3000"/>
    <n v="2100"/>
    <n v="900"/>
    <x v="0"/>
    <s v="Delhi"/>
    <s v="North"/>
    <s v="UPI"/>
    <s v="Delivered"/>
    <s v="No"/>
    <n v="3"/>
  </r>
  <r>
    <s v="ORD00496"/>
    <d v="2025-03-06T00:00:00"/>
    <s v="C1875"/>
    <x v="116"/>
    <s v="P1001"/>
    <x v="2"/>
    <x v="0"/>
    <x v="2"/>
    <x v="2"/>
    <n v="3"/>
    <n v="55000"/>
    <n v="15"/>
    <n v="140250"/>
    <n v="115500"/>
    <n v="24750.000000000011"/>
    <x v="1"/>
    <s v="Gujarat"/>
    <s v="West"/>
    <s v="Card"/>
    <s v="Cancelled"/>
    <s v="Yes"/>
    <n v="3"/>
  </r>
  <r>
    <s v="ORD00497"/>
    <d v="2025-06-07T00:00:00"/>
    <s v="C1060"/>
    <x v="242"/>
    <s v="P1002"/>
    <x v="0"/>
    <x v="0"/>
    <x v="0"/>
    <x v="0"/>
    <n v="1"/>
    <n v="800"/>
    <n v="10"/>
    <n v="720"/>
    <n v="560"/>
    <n v="160"/>
    <x v="0"/>
    <s v="Delhi"/>
    <s v="North"/>
    <s v="Card"/>
    <s v="Pending"/>
    <s v="Yes"/>
    <n v="4"/>
  </r>
  <r>
    <s v="ORD00498"/>
    <d v="2025-07-28T00:00:00"/>
    <s v="C1653"/>
    <x v="308"/>
    <s v="P1003"/>
    <x v="3"/>
    <x v="0"/>
    <x v="0"/>
    <x v="3"/>
    <n v="3"/>
    <n v="1500"/>
    <n v="0"/>
    <n v="4500"/>
    <n v="3150"/>
    <n v="1350"/>
    <x v="3"/>
    <s v="Karnataka"/>
    <s v="South"/>
    <s v="Card"/>
    <s v="Cancelled"/>
    <s v="Yes"/>
    <n v="4"/>
  </r>
  <r>
    <s v="ORD00499"/>
    <d v="2025-07-08T00:00:00"/>
    <s v="C1581"/>
    <x v="309"/>
    <s v="P1003"/>
    <x v="3"/>
    <x v="0"/>
    <x v="0"/>
    <x v="3"/>
    <n v="5"/>
    <n v="1500"/>
    <n v="15"/>
    <n v="6375"/>
    <n v="5250"/>
    <n v="1125"/>
    <x v="1"/>
    <s v="Gujarat"/>
    <s v="West"/>
    <s v="Card"/>
    <s v="Delivered"/>
    <s v="Yes"/>
    <n v="5"/>
  </r>
  <r>
    <s v="ORD00500"/>
    <d v="2025-07-25T00:00:00"/>
    <s v="C1539"/>
    <x v="15"/>
    <s v="P1002"/>
    <x v="0"/>
    <x v="0"/>
    <x v="0"/>
    <x v="0"/>
    <n v="4"/>
    <n v="800"/>
    <n v="10"/>
    <n v="2880"/>
    <n v="2240"/>
    <n v="640"/>
    <x v="1"/>
    <s v="Gujarat"/>
    <s v="West"/>
    <s v="Cash"/>
    <s v="Pending"/>
    <s v="No"/>
    <n v="1"/>
  </r>
  <r>
    <s v="ORD00501"/>
    <d v="2025-06-16T00:00:00"/>
    <s v="C1495"/>
    <x v="189"/>
    <s v="P1004"/>
    <x v="4"/>
    <x v="0"/>
    <x v="3"/>
    <x v="4"/>
    <n v="3"/>
    <n v="3500"/>
    <n v="0"/>
    <n v="10500"/>
    <n v="7349.9999999999991"/>
    <n v="3150.0000000000009"/>
    <x v="1"/>
    <s v="Gujarat"/>
    <s v="West"/>
    <s v="Card"/>
    <s v="Pending"/>
    <s v="Yes"/>
    <n v="5"/>
  </r>
  <r>
    <s v="ORD00502"/>
    <d v="2025-01-06T00:00:00"/>
    <s v="C1043"/>
    <x v="3"/>
    <s v="P1003"/>
    <x v="3"/>
    <x v="0"/>
    <x v="0"/>
    <x v="3"/>
    <n v="5"/>
    <n v="1500"/>
    <n v="15"/>
    <n v="6375"/>
    <n v="5250"/>
    <n v="1125"/>
    <x v="0"/>
    <s v="Delhi"/>
    <s v="North"/>
    <s v="Card"/>
    <s v="Cancelled"/>
    <s v="Yes"/>
    <n v="5"/>
  </r>
  <r>
    <s v="ORD00503"/>
    <d v="2025-10-18T00:00:00"/>
    <s v="C1836"/>
    <x v="47"/>
    <s v="P1003"/>
    <x v="3"/>
    <x v="0"/>
    <x v="0"/>
    <x v="3"/>
    <n v="2"/>
    <n v="1500"/>
    <n v="5"/>
    <n v="2850"/>
    <n v="2100"/>
    <n v="750"/>
    <x v="2"/>
    <s v="Maharashtra"/>
    <s v="West"/>
    <s v="UPI"/>
    <s v="Pending"/>
    <s v="No"/>
    <n v="4"/>
  </r>
  <r>
    <s v="ORD00504"/>
    <d v="2025-04-16T00:00:00"/>
    <s v="C1035"/>
    <x v="310"/>
    <s v="P1005"/>
    <x v="1"/>
    <x v="1"/>
    <x v="1"/>
    <x v="1"/>
    <n v="4"/>
    <n v="4500"/>
    <n v="10"/>
    <n v="16200"/>
    <n v="12600"/>
    <n v="3600"/>
    <x v="2"/>
    <s v="Maharashtra"/>
    <s v="West"/>
    <s v="UPI"/>
    <s v="Delivered"/>
    <s v="No"/>
    <n v="3"/>
  </r>
  <r>
    <s v="ORD00505"/>
    <d v="2025-11-03T00:00:00"/>
    <s v="C1572"/>
    <x v="165"/>
    <s v="P1001"/>
    <x v="2"/>
    <x v="0"/>
    <x v="2"/>
    <x v="2"/>
    <n v="2"/>
    <n v="55000"/>
    <n v="5"/>
    <n v="104500"/>
    <n v="77000"/>
    <n v="27500"/>
    <x v="3"/>
    <s v="Karnataka"/>
    <s v="South"/>
    <s v="Card"/>
    <s v="Cancelled"/>
    <s v="Yes"/>
    <n v="2"/>
  </r>
  <r>
    <s v="ORD00506"/>
    <d v="2025-04-07T00:00:00"/>
    <s v="C1113"/>
    <x v="94"/>
    <s v="P1001"/>
    <x v="2"/>
    <x v="0"/>
    <x v="2"/>
    <x v="2"/>
    <n v="4"/>
    <n v="55000"/>
    <n v="5"/>
    <n v="209000"/>
    <n v="154000"/>
    <n v="55000"/>
    <x v="1"/>
    <s v="Gujarat"/>
    <s v="West"/>
    <s v="Card"/>
    <s v="Delivered"/>
    <s v="No"/>
    <n v="2"/>
  </r>
  <r>
    <s v="ORD00507"/>
    <d v="2025-10-15T00:00:00"/>
    <s v="C1691"/>
    <x v="311"/>
    <s v="P1004"/>
    <x v="4"/>
    <x v="0"/>
    <x v="3"/>
    <x v="4"/>
    <n v="3"/>
    <n v="3500"/>
    <n v="5"/>
    <n v="9975"/>
    <n v="7349.9999999999991"/>
    <n v="2625.0000000000009"/>
    <x v="3"/>
    <s v="Karnataka"/>
    <s v="South"/>
    <s v="Cash"/>
    <s v="Pending"/>
    <s v="Yes"/>
    <n v="2"/>
  </r>
  <r>
    <s v="ORD00508"/>
    <d v="2025-01-28T00:00:00"/>
    <s v="C1942"/>
    <x v="106"/>
    <s v="P1002"/>
    <x v="0"/>
    <x v="0"/>
    <x v="0"/>
    <x v="0"/>
    <n v="1"/>
    <n v="800"/>
    <n v="5"/>
    <n v="760"/>
    <n v="560"/>
    <n v="200"/>
    <x v="0"/>
    <s v="Delhi"/>
    <s v="North"/>
    <s v="Card"/>
    <s v="Delivered"/>
    <s v="Yes"/>
    <n v="2"/>
  </r>
  <r>
    <s v="ORD00509"/>
    <d v="2025-11-30T00:00:00"/>
    <s v="C1033"/>
    <x v="173"/>
    <s v="P1002"/>
    <x v="0"/>
    <x v="0"/>
    <x v="0"/>
    <x v="0"/>
    <n v="5"/>
    <n v="800"/>
    <n v="10"/>
    <n v="3600"/>
    <n v="2800"/>
    <n v="800"/>
    <x v="2"/>
    <s v="Maharashtra"/>
    <s v="West"/>
    <s v="UPI"/>
    <s v="Cancelled"/>
    <s v="No"/>
    <n v="5"/>
  </r>
  <r>
    <s v="ORD00510"/>
    <d v="2025-09-24T00:00:00"/>
    <s v="C1899"/>
    <x v="312"/>
    <s v="P1002"/>
    <x v="0"/>
    <x v="0"/>
    <x v="0"/>
    <x v="0"/>
    <n v="1"/>
    <n v="800"/>
    <n v="10"/>
    <n v="720"/>
    <n v="560"/>
    <n v="160"/>
    <x v="2"/>
    <s v="Maharashtra"/>
    <s v="West"/>
    <s v="Cash"/>
    <s v="Delivered"/>
    <s v="No"/>
    <n v="5"/>
  </r>
  <r>
    <s v="ORD00511"/>
    <d v="2025-01-09T00:00:00"/>
    <s v="C1884"/>
    <x v="313"/>
    <s v="P1003"/>
    <x v="3"/>
    <x v="0"/>
    <x v="0"/>
    <x v="3"/>
    <n v="1"/>
    <n v="1500"/>
    <n v="10"/>
    <n v="1350"/>
    <n v="1050"/>
    <n v="300"/>
    <x v="2"/>
    <s v="Maharashtra"/>
    <s v="West"/>
    <s v="Cash"/>
    <s v="Cancelled"/>
    <s v="No"/>
    <n v="5"/>
  </r>
  <r>
    <s v="ORD00512"/>
    <d v="2025-09-11T00:00:00"/>
    <s v="C1188"/>
    <x v="225"/>
    <s v="P1004"/>
    <x v="4"/>
    <x v="0"/>
    <x v="3"/>
    <x v="4"/>
    <n v="2"/>
    <n v="3500"/>
    <n v="0"/>
    <n v="7000"/>
    <n v="4900"/>
    <n v="2100"/>
    <x v="1"/>
    <s v="Gujarat"/>
    <s v="West"/>
    <s v="UPI"/>
    <s v="Cancelled"/>
    <s v="No"/>
    <n v="5"/>
  </r>
  <r>
    <s v="ORD00513"/>
    <d v="2025-09-18T00:00:00"/>
    <s v="C1799"/>
    <x v="314"/>
    <s v="P1002"/>
    <x v="0"/>
    <x v="0"/>
    <x v="0"/>
    <x v="0"/>
    <n v="5"/>
    <n v="800"/>
    <n v="0"/>
    <n v="4000"/>
    <n v="2800"/>
    <n v="1200"/>
    <x v="0"/>
    <s v="Delhi"/>
    <s v="North"/>
    <s v="Card"/>
    <s v="Pending"/>
    <s v="Yes"/>
    <n v="4"/>
  </r>
  <r>
    <s v="ORD00514"/>
    <d v="2025-11-09T00:00:00"/>
    <s v="C1633"/>
    <x v="315"/>
    <s v="P1003"/>
    <x v="3"/>
    <x v="0"/>
    <x v="0"/>
    <x v="3"/>
    <n v="2"/>
    <n v="1500"/>
    <n v="10"/>
    <n v="2700"/>
    <n v="2100"/>
    <n v="600"/>
    <x v="2"/>
    <s v="Maharashtra"/>
    <s v="West"/>
    <s v="Cash"/>
    <s v="Cancelled"/>
    <s v="No"/>
    <n v="3"/>
  </r>
  <r>
    <s v="ORD00515"/>
    <d v="2025-12-20T00:00:00"/>
    <s v="C1909"/>
    <x v="316"/>
    <s v="P1005"/>
    <x v="1"/>
    <x v="1"/>
    <x v="1"/>
    <x v="1"/>
    <n v="2"/>
    <n v="4500"/>
    <n v="0"/>
    <n v="9000"/>
    <n v="6300"/>
    <n v="2700"/>
    <x v="1"/>
    <s v="Gujarat"/>
    <s v="West"/>
    <s v="Cash"/>
    <s v="Pending"/>
    <s v="No"/>
    <n v="5"/>
  </r>
  <r>
    <s v="ORD00516"/>
    <d v="2025-06-15T00:00:00"/>
    <s v="C1253"/>
    <x v="61"/>
    <s v="P1005"/>
    <x v="1"/>
    <x v="1"/>
    <x v="1"/>
    <x v="1"/>
    <n v="2"/>
    <n v="4500"/>
    <n v="15"/>
    <n v="7650"/>
    <n v="6300"/>
    <n v="1350"/>
    <x v="0"/>
    <s v="Delhi"/>
    <s v="North"/>
    <s v="Card"/>
    <s v="Pending"/>
    <s v="No"/>
    <n v="2"/>
  </r>
  <r>
    <s v="ORD00517"/>
    <d v="2025-08-02T00:00:00"/>
    <s v="C1346"/>
    <x v="317"/>
    <s v="P1002"/>
    <x v="0"/>
    <x v="0"/>
    <x v="0"/>
    <x v="0"/>
    <n v="1"/>
    <n v="800"/>
    <n v="10"/>
    <n v="720"/>
    <n v="560"/>
    <n v="160"/>
    <x v="0"/>
    <s v="Delhi"/>
    <s v="North"/>
    <s v="Card"/>
    <s v="Pending"/>
    <s v="No"/>
    <n v="3"/>
  </r>
  <r>
    <s v="ORD00518"/>
    <d v="2025-03-18T00:00:00"/>
    <s v="C1948"/>
    <x v="217"/>
    <s v="P1004"/>
    <x v="4"/>
    <x v="0"/>
    <x v="3"/>
    <x v="4"/>
    <n v="4"/>
    <n v="3500"/>
    <n v="0"/>
    <n v="14000"/>
    <n v="9800"/>
    <n v="4200"/>
    <x v="0"/>
    <s v="Delhi"/>
    <s v="North"/>
    <s v="UPI"/>
    <s v="Cancelled"/>
    <s v="No"/>
    <n v="3"/>
  </r>
  <r>
    <s v="ORD00519"/>
    <d v="2025-05-19T00:00:00"/>
    <s v="C1698"/>
    <x v="67"/>
    <s v="P1002"/>
    <x v="0"/>
    <x v="0"/>
    <x v="0"/>
    <x v="0"/>
    <n v="4"/>
    <n v="800"/>
    <n v="10"/>
    <n v="2880"/>
    <n v="2240"/>
    <n v="640"/>
    <x v="3"/>
    <s v="Karnataka"/>
    <s v="South"/>
    <s v="Cash"/>
    <s v="Cancelled"/>
    <s v="No"/>
    <n v="3"/>
  </r>
  <r>
    <s v="ORD00520"/>
    <d v="2025-11-15T00:00:00"/>
    <s v="C1620"/>
    <x v="85"/>
    <s v="P1003"/>
    <x v="3"/>
    <x v="0"/>
    <x v="0"/>
    <x v="3"/>
    <n v="1"/>
    <n v="1500"/>
    <n v="10"/>
    <n v="1350"/>
    <n v="1050"/>
    <n v="300"/>
    <x v="1"/>
    <s v="Gujarat"/>
    <s v="West"/>
    <s v="Card"/>
    <s v="Pending"/>
    <s v="Yes"/>
    <n v="1"/>
  </r>
  <r>
    <s v="ORD00521"/>
    <d v="2025-08-06T00:00:00"/>
    <s v="C1291"/>
    <x v="154"/>
    <s v="P1002"/>
    <x v="0"/>
    <x v="0"/>
    <x v="0"/>
    <x v="0"/>
    <n v="2"/>
    <n v="800"/>
    <n v="15"/>
    <n v="1360"/>
    <n v="1120"/>
    <n v="240"/>
    <x v="3"/>
    <s v="Karnataka"/>
    <s v="South"/>
    <s v="Cash"/>
    <s v="Pending"/>
    <s v="No"/>
    <n v="4"/>
  </r>
  <r>
    <s v="ORD00522"/>
    <d v="2025-10-05T00:00:00"/>
    <s v="C1189"/>
    <x v="318"/>
    <s v="P1004"/>
    <x v="4"/>
    <x v="0"/>
    <x v="3"/>
    <x v="4"/>
    <n v="1"/>
    <n v="3500"/>
    <n v="10"/>
    <n v="3150"/>
    <n v="2450"/>
    <n v="700"/>
    <x v="2"/>
    <s v="Maharashtra"/>
    <s v="West"/>
    <s v="Card"/>
    <s v="Pending"/>
    <s v="Yes"/>
    <n v="2"/>
  </r>
  <r>
    <s v="ORD00523"/>
    <d v="2025-09-23T00:00:00"/>
    <s v="C1450"/>
    <x v="314"/>
    <s v="P1001"/>
    <x v="2"/>
    <x v="0"/>
    <x v="2"/>
    <x v="2"/>
    <n v="3"/>
    <n v="55000"/>
    <n v="15"/>
    <n v="140250"/>
    <n v="115500"/>
    <n v="24750.000000000011"/>
    <x v="3"/>
    <s v="Karnataka"/>
    <s v="South"/>
    <s v="Card"/>
    <s v="Delivered"/>
    <s v="No"/>
    <n v="3"/>
  </r>
  <r>
    <s v="ORD00524"/>
    <d v="2025-10-17T00:00:00"/>
    <s v="C1139"/>
    <x v="99"/>
    <s v="P1003"/>
    <x v="3"/>
    <x v="0"/>
    <x v="0"/>
    <x v="3"/>
    <n v="1"/>
    <n v="1500"/>
    <n v="0"/>
    <n v="1500"/>
    <n v="1050"/>
    <n v="450"/>
    <x v="1"/>
    <s v="Gujarat"/>
    <s v="West"/>
    <s v="Card"/>
    <s v="Pending"/>
    <s v="No"/>
    <n v="2"/>
  </r>
  <r>
    <s v="ORD00525"/>
    <d v="2025-01-26T00:00:00"/>
    <s v="C1707"/>
    <x v="319"/>
    <s v="P1003"/>
    <x v="3"/>
    <x v="0"/>
    <x v="0"/>
    <x v="3"/>
    <n v="3"/>
    <n v="1500"/>
    <n v="15"/>
    <n v="3825"/>
    <n v="3150"/>
    <n v="675"/>
    <x v="2"/>
    <s v="Maharashtra"/>
    <s v="West"/>
    <s v="Card"/>
    <s v="Delivered"/>
    <s v="Yes"/>
    <n v="3"/>
  </r>
  <r>
    <s v="ORD00526"/>
    <d v="2025-12-17T00:00:00"/>
    <s v="C1628"/>
    <x v="23"/>
    <s v="P1005"/>
    <x v="1"/>
    <x v="1"/>
    <x v="1"/>
    <x v="1"/>
    <n v="2"/>
    <n v="4500"/>
    <n v="15"/>
    <n v="7650"/>
    <n v="6300"/>
    <n v="1350"/>
    <x v="2"/>
    <s v="Maharashtra"/>
    <s v="West"/>
    <s v="UPI"/>
    <s v="Pending"/>
    <s v="Yes"/>
    <n v="1"/>
  </r>
  <r>
    <s v="ORD00527"/>
    <d v="2025-10-10T00:00:00"/>
    <s v="C1736"/>
    <x v="320"/>
    <s v="P1002"/>
    <x v="0"/>
    <x v="0"/>
    <x v="0"/>
    <x v="0"/>
    <n v="4"/>
    <n v="800"/>
    <n v="5"/>
    <n v="3040"/>
    <n v="2240"/>
    <n v="800"/>
    <x v="1"/>
    <s v="Gujarat"/>
    <s v="West"/>
    <s v="Cash"/>
    <s v="Cancelled"/>
    <s v="Yes"/>
    <n v="4"/>
  </r>
  <r>
    <s v="ORD00528"/>
    <d v="2025-03-02T00:00:00"/>
    <s v="C1118"/>
    <x v="299"/>
    <s v="P1002"/>
    <x v="0"/>
    <x v="0"/>
    <x v="0"/>
    <x v="0"/>
    <n v="2"/>
    <n v="800"/>
    <n v="10"/>
    <n v="1440"/>
    <n v="1120"/>
    <n v="320"/>
    <x v="1"/>
    <s v="Gujarat"/>
    <s v="West"/>
    <s v="Cash"/>
    <s v="Pending"/>
    <s v="Yes"/>
    <n v="1"/>
  </r>
  <r>
    <s v="ORD00529"/>
    <d v="2025-10-17T00:00:00"/>
    <s v="C1379"/>
    <x v="63"/>
    <s v="P1002"/>
    <x v="0"/>
    <x v="0"/>
    <x v="0"/>
    <x v="0"/>
    <n v="2"/>
    <n v="800"/>
    <n v="15"/>
    <n v="1360"/>
    <n v="1120"/>
    <n v="240"/>
    <x v="0"/>
    <s v="Delhi"/>
    <s v="North"/>
    <s v="Cash"/>
    <s v="Pending"/>
    <s v="Yes"/>
    <n v="3"/>
  </r>
  <r>
    <s v="ORD00530"/>
    <d v="2025-09-06T00:00:00"/>
    <s v="C1715"/>
    <x v="110"/>
    <s v="P1004"/>
    <x v="4"/>
    <x v="0"/>
    <x v="3"/>
    <x v="4"/>
    <n v="1"/>
    <n v="3500"/>
    <n v="0"/>
    <n v="3500"/>
    <n v="2450"/>
    <n v="1050"/>
    <x v="0"/>
    <s v="Delhi"/>
    <s v="North"/>
    <s v="Cash"/>
    <s v="Pending"/>
    <s v="Yes"/>
    <n v="1"/>
  </r>
  <r>
    <s v="ORD00531"/>
    <d v="2025-02-21T00:00:00"/>
    <s v="C1624"/>
    <x v="321"/>
    <s v="P1002"/>
    <x v="0"/>
    <x v="0"/>
    <x v="0"/>
    <x v="0"/>
    <n v="4"/>
    <n v="800"/>
    <n v="15"/>
    <n v="2720"/>
    <n v="2240"/>
    <n v="480"/>
    <x v="3"/>
    <s v="Karnataka"/>
    <s v="South"/>
    <s v="Card"/>
    <s v="Pending"/>
    <s v="Yes"/>
    <n v="4"/>
  </r>
  <r>
    <s v="ORD00532"/>
    <d v="2025-07-26T00:00:00"/>
    <s v="C1920"/>
    <x v="13"/>
    <s v="P1001"/>
    <x v="2"/>
    <x v="0"/>
    <x v="2"/>
    <x v="2"/>
    <n v="2"/>
    <n v="55000"/>
    <n v="15"/>
    <n v="93500"/>
    <n v="77000"/>
    <n v="16500"/>
    <x v="0"/>
    <s v="Delhi"/>
    <s v="North"/>
    <s v="Cash"/>
    <s v="Cancelled"/>
    <s v="Yes"/>
    <n v="4"/>
  </r>
  <r>
    <s v="ORD00533"/>
    <d v="2025-05-30T00:00:00"/>
    <s v="C1369"/>
    <x v="174"/>
    <s v="P1001"/>
    <x v="2"/>
    <x v="0"/>
    <x v="2"/>
    <x v="2"/>
    <n v="5"/>
    <n v="55000"/>
    <n v="10"/>
    <n v="247500"/>
    <n v="192500"/>
    <n v="55000"/>
    <x v="1"/>
    <s v="Gujarat"/>
    <s v="West"/>
    <s v="Cash"/>
    <s v="Pending"/>
    <s v="Yes"/>
    <n v="4"/>
  </r>
  <r>
    <s v="ORD00534"/>
    <d v="2025-12-20T00:00:00"/>
    <s v="C1187"/>
    <x v="55"/>
    <s v="P1001"/>
    <x v="2"/>
    <x v="0"/>
    <x v="2"/>
    <x v="2"/>
    <n v="3"/>
    <n v="55000"/>
    <n v="5"/>
    <n v="156750"/>
    <n v="115500"/>
    <n v="41250.000000000007"/>
    <x v="2"/>
    <s v="Maharashtra"/>
    <s v="West"/>
    <s v="Card"/>
    <s v="Pending"/>
    <s v="Yes"/>
    <n v="3"/>
  </r>
  <r>
    <s v="ORD00535"/>
    <d v="2025-09-09T00:00:00"/>
    <s v="C1598"/>
    <x v="37"/>
    <s v="P1004"/>
    <x v="4"/>
    <x v="0"/>
    <x v="3"/>
    <x v="4"/>
    <n v="1"/>
    <n v="3500"/>
    <n v="15"/>
    <n v="2975"/>
    <n v="2450"/>
    <n v="525"/>
    <x v="2"/>
    <s v="Maharashtra"/>
    <s v="West"/>
    <s v="Cash"/>
    <s v="Delivered"/>
    <s v="No"/>
    <n v="1"/>
  </r>
  <r>
    <s v="ORD00536"/>
    <d v="2025-01-03T00:00:00"/>
    <s v="C1892"/>
    <x v="269"/>
    <s v="P1002"/>
    <x v="0"/>
    <x v="0"/>
    <x v="0"/>
    <x v="0"/>
    <n v="2"/>
    <n v="800"/>
    <n v="5"/>
    <n v="1520"/>
    <n v="1120"/>
    <n v="400"/>
    <x v="2"/>
    <s v="Maharashtra"/>
    <s v="West"/>
    <s v="Card"/>
    <s v="Pending"/>
    <s v="Yes"/>
    <n v="1"/>
  </r>
  <r>
    <s v="ORD00537"/>
    <d v="2025-05-26T00:00:00"/>
    <s v="C1566"/>
    <x v="322"/>
    <s v="P1005"/>
    <x v="1"/>
    <x v="1"/>
    <x v="1"/>
    <x v="1"/>
    <n v="4"/>
    <n v="4500"/>
    <n v="5"/>
    <n v="17100"/>
    <n v="12600"/>
    <n v="4500"/>
    <x v="3"/>
    <s v="Karnataka"/>
    <s v="South"/>
    <s v="UPI"/>
    <s v="Pending"/>
    <s v="Yes"/>
    <n v="2"/>
  </r>
  <r>
    <s v="ORD00538"/>
    <d v="2025-10-17T00:00:00"/>
    <s v="C1292"/>
    <x v="14"/>
    <s v="P1001"/>
    <x v="2"/>
    <x v="0"/>
    <x v="2"/>
    <x v="2"/>
    <n v="2"/>
    <n v="55000"/>
    <n v="10"/>
    <n v="99000"/>
    <n v="77000"/>
    <n v="22000"/>
    <x v="3"/>
    <s v="Karnataka"/>
    <s v="South"/>
    <s v="UPI"/>
    <s v="Pending"/>
    <s v="Yes"/>
    <n v="3"/>
  </r>
  <r>
    <s v="ORD00539"/>
    <d v="2025-06-02T00:00:00"/>
    <s v="C1308"/>
    <x v="269"/>
    <s v="P1003"/>
    <x v="3"/>
    <x v="0"/>
    <x v="0"/>
    <x v="3"/>
    <n v="5"/>
    <n v="1500"/>
    <n v="10"/>
    <n v="6750"/>
    <n v="5250"/>
    <n v="1500"/>
    <x v="0"/>
    <s v="Delhi"/>
    <s v="North"/>
    <s v="UPI"/>
    <s v="Cancelled"/>
    <s v="Yes"/>
    <n v="1"/>
  </r>
  <r>
    <s v="ORD00540"/>
    <d v="2025-08-26T00:00:00"/>
    <s v="C1807"/>
    <x v="129"/>
    <s v="P1002"/>
    <x v="0"/>
    <x v="0"/>
    <x v="0"/>
    <x v="0"/>
    <n v="3"/>
    <n v="800"/>
    <n v="0"/>
    <n v="2400"/>
    <n v="1680"/>
    <n v="720"/>
    <x v="0"/>
    <s v="Delhi"/>
    <s v="North"/>
    <s v="Cash"/>
    <s v="Delivered"/>
    <s v="No"/>
    <n v="4"/>
  </r>
  <r>
    <s v="ORD00541"/>
    <d v="2025-12-28T00:00:00"/>
    <s v="C1885"/>
    <x v="323"/>
    <s v="P1001"/>
    <x v="2"/>
    <x v="0"/>
    <x v="2"/>
    <x v="2"/>
    <n v="2"/>
    <n v="55000"/>
    <n v="10"/>
    <n v="99000"/>
    <n v="77000"/>
    <n v="22000"/>
    <x v="2"/>
    <s v="Maharashtra"/>
    <s v="West"/>
    <s v="UPI"/>
    <s v="Delivered"/>
    <s v="Yes"/>
    <n v="4"/>
  </r>
  <r>
    <s v="ORD00542"/>
    <d v="2025-11-05T00:00:00"/>
    <s v="C1932"/>
    <x v="25"/>
    <s v="P1005"/>
    <x v="1"/>
    <x v="1"/>
    <x v="1"/>
    <x v="1"/>
    <n v="4"/>
    <n v="4500"/>
    <n v="0"/>
    <n v="18000"/>
    <n v="12600"/>
    <n v="5400"/>
    <x v="2"/>
    <s v="Maharashtra"/>
    <s v="West"/>
    <s v="Cash"/>
    <s v="Delivered"/>
    <s v="Yes"/>
    <n v="3"/>
  </r>
  <r>
    <s v="ORD00543"/>
    <d v="2025-06-24T00:00:00"/>
    <s v="C1087"/>
    <x v="324"/>
    <s v="P1003"/>
    <x v="3"/>
    <x v="0"/>
    <x v="0"/>
    <x v="3"/>
    <n v="2"/>
    <n v="1500"/>
    <n v="10"/>
    <n v="2700"/>
    <n v="2100"/>
    <n v="600"/>
    <x v="1"/>
    <s v="Gujarat"/>
    <s v="West"/>
    <s v="Card"/>
    <s v="Delivered"/>
    <s v="No"/>
    <n v="2"/>
  </r>
  <r>
    <s v="ORD00544"/>
    <d v="2025-11-03T00:00:00"/>
    <s v="C1911"/>
    <x v="325"/>
    <s v="P1004"/>
    <x v="4"/>
    <x v="0"/>
    <x v="3"/>
    <x v="4"/>
    <n v="4"/>
    <n v="3500"/>
    <n v="10"/>
    <n v="12600"/>
    <n v="9800"/>
    <n v="2800"/>
    <x v="0"/>
    <s v="Delhi"/>
    <s v="North"/>
    <s v="UPI"/>
    <s v="Pending"/>
    <s v="Yes"/>
    <n v="3"/>
  </r>
  <r>
    <s v="ORD00545"/>
    <d v="2025-11-01T00:00:00"/>
    <s v="C1101"/>
    <x v="243"/>
    <s v="P1005"/>
    <x v="1"/>
    <x v="1"/>
    <x v="1"/>
    <x v="1"/>
    <n v="1"/>
    <n v="4500"/>
    <n v="10"/>
    <n v="4050"/>
    <n v="3150"/>
    <n v="900"/>
    <x v="2"/>
    <s v="Maharashtra"/>
    <s v="West"/>
    <s v="Card"/>
    <s v="Delivered"/>
    <s v="Yes"/>
    <n v="3"/>
  </r>
  <r>
    <s v="ORD00546"/>
    <d v="2025-01-10T00:00:00"/>
    <s v="C1947"/>
    <x v="107"/>
    <s v="P1005"/>
    <x v="1"/>
    <x v="1"/>
    <x v="1"/>
    <x v="1"/>
    <n v="5"/>
    <n v="4500"/>
    <n v="15"/>
    <n v="19125"/>
    <n v="15750"/>
    <n v="3375.0000000000018"/>
    <x v="0"/>
    <s v="Delhi"/>
    <s v="North"/>
    <s v="Cash"/>
    <s v="Cancelled"/>
    <s v="Yes"/>
    <n v="1"/>
  </r>
  <r>
    <s v="ORD00547"/>
    <d v="2025-04-26T00:00:00"/>
    <s v="C1612"/>
    <x v="326"/>
    <s v="P1003"/>
    <x v="3"/>
    <x v="0"/>
    <x v="0"/>
    <x v="3"/>
    <n v="2"/>
    <n v="1500"/>
    <n v="5"/>
    <n v="2850"/>
    <n v="2100"/>
    <n v="750"/>
    <x v="0"/>
    <s v="Delhi"/>
    <s v="North"/>
    <s v="Cash"/>
    <s v="Cancelled"/>
    <s v="No"/>
    <n v="2"/>
  </r>
  <r>
    <s v="ORD00548"/>
    <d v="2025-12-21T00:00:00"/>
    <s v="C1058"/>
    <x v="327"/>
    <s v="P1005"/>
    <x v="1"/>
    <x v="1"/>
    <x v="1"/>
    <x v="1"/>
    <n v="5"/>
    <n v="4500"/>
    <n v="0"/>
    <n v="22500"/>
    <n v="15750"/>
    <n v="6750.0000000000018"/>
    <x v="3"/>
    <s v="Karnataka"/>
    <s v="South"/>
    <s v="Cash"/>
    <s v="Pending"/>
    <s v="No"/>
    <n v="5"/>
  </r>
  <r>
    <s v="ORD00549"/>
    <d v="2025-09-08T00:00:00"/>
    <s v="C1701"/>
    <x v="231"/>
    <s v="P1004"/>
    <x v="4"/>
    <x v="0"/>
    <x v="3"/>
    <x v="4"/>
    <n v="1"/>
    <n v="3500"/>
    <n v="15"/>
    <n v="2975"/>
    <n v="2450"/>
    <n v="525"/>
    <x v="1"/>
    <s v="Gujarat"/>
    <s v="West"/>
    <s v="Card"/>
    <s v="Cancelled"/>
    <s v="No"/>
    <n v="3"/>
  </r>
  <r>
    <s v="ORD00550"/>
    <d v="2025-05-09T00:00:00"/>
    <s v="C1400"/>
    <x v="328"/>
    <s v="P1003"/>
    <x v="3"/>
    <x v="0"/>
    <x v="0"/>
    <x v="3"/>
    <n v="3"/>
    <n v="1500"/>
    <n v="0"/>
    <n v="4500"/>
    <n v="3150"/>
    <n v="1350"/>
    <x v="2"/>
    <s v="Maharashtra"/>
    <s v="West"/>
    <s v="Card"/>
    <s v="Pending"/>
    <s v="No"/>
    <n v="2"/>
  </r>
  <r>
    <s v="ORD00551"/>
    <d v="2025-01-01T00:00:00"/>
    <s v="C1253"/>
    <x v="146"/>
    <s v="P1004"/>
    <x v="4"/>
    <x v="0"/>
    <x v="3"/>
    <x v="4"/>
    <n v="5"/>
    <n v="3500"/>
    <n v="0"/>
    <n v="17500"/>
    <n v="12250"/>
    <n v="5250"/>
    <x v="3"/>
    <s v="Karnataka"/>
    <s v="South"/>
    <s v="UPI"/>
    <s v="Pending"/>
    <s v="No"/>
    <n v="3"/>
  </r>
  <r>
    <s v="ORD00552"/>
    <d v="2025-08-01T00:00:00"/>
    <s v="C1636"/>
    <x v="259"/>
    <s v="P1003"/>
    <x v="3"/>
    <x v="0"/>
    <x v="0"/>
    <x v="3"/>
    <n v="2"/>
    <n v="1500"/>
    <n v="5"/>
    <n v="2850"/>
    <n v="2100"/>
    <n v="750"/>
    <x v="0"/>
    <s v="Delhi"/>
    <s v="North"/>
    <s v="UPI"/>
    <s v="Pending"/>
    <s v="No"/>
    <n v="1"/>
  </r>
  <r>
    <s v="ORD00553"/>
    <d v="2025-09-28T00:00:00"/>
    <s v="C1318"/>
    <x v="329"/>
    <s v="P1004"/>
    <x v="4"/>
    <x v="0"/>
    <x v="3"/>
    <x v="4"/>
    <n v="3"/>
    <n v="3500"/>
    <n v="15"/>
    <n v="8925"/>
    <n v="7349.9999999999991"/>
    <n v="1575.0000000000009"/>
    <x v="1"/>
    <s v="Gujarat"/>
    <s v="West"/>
    <s v="Card"/>
    <s v="Pending"/>
    <s v="No"/>
    <n v="4"/>
  </r>
  <r>
    <s v="ORD00554"/>
    <d v="2025-06-04T00:00:00"/>
    <s v="C1521"/>
    <x v="227"/>
    <s v="P1005"/>
    <x v="1"/>
    <x v="1"/>
    <x v="1"/>
    <x v="1"/>
    <n v="5"/>
    <n v="4500"/>
    <n v="0"/>
    <n v="22500"/>
    <n v="15750"/>
    <n v="6750.0000000000018"/>
    <x v="1"/>
    <s v="Gujarat"/>
    <s v="West"/>
    <s v="Card"/>
    <s v="Delivered"/>
    <s v="Yes"/>
    <n v="4"/>
  </r>
  <r>
    <s v="ORD00555"/>
    <d v="2025-06-21T00:00:00"/>
    <s v="C1978"/>
    <x v="11"/>
    <s v="P1005"/>
    <x v="1"/>
    <x v="1"/>
    <x v="1"/>
    <x v="1"/>
    <n v="1"/>
    <n v="4500"/>
    <n v="0"/>
    <n v="4500"/>
    <n v="3150"/>
    <n v="1350"/>
    <x v="0"/>
    <s v="Delhi"/>
    <s v="North"/>
    <s v="Cash"/>
    <s v="Cancelled"/>
    <s v="No"/>
    <n v="3"/>
  </r>
  <r>
    <s v="ORD00556"/>
    <d v="2025-09-09T00:00:00"/>
    <s v="C1677"/>
    <x v="185"/>
    <s v="P1005"/>
    <x v="1"/>
    <x v="1"/>
    <x v="1"/>
    <x v="1"/>
    <n v="5"/>
    <n v="4500"/>
    <n v="15"/>
    <n v="19125"/>
    <n v="15750"/>
    <n v="3375.0000000000018"/>
    <x v="2"/>
    <s v="Maharashtra"/>
    <s v="West"/>
    <s v="Cash"/>
    <s v="Cancelled"/>
    <s v="No"/>
    <n v="5"/>
  </r>
  <r>
    <s v="ORD00557"/>
    <d v="2025-12-29T00:00:00"/>
    <s v="C1725"/>
    <x v="83"/>
    <s v="P1005"/>
    <x v="1"/>
    <x v="1"/>
    <x v="1"/>
    <x v="1"/>
    <n v="5"/>
    <n v="4500"/>
    <n v="0"/>
    <n v="22500"/>
    <n v="15750"/>
    <n v="6750.0000000000018"/>
    <x v="2"/>
    <s v="Maharashtra"/>
    <s v="West"/>
    <s v="UPI"/>
    <s v="Pending"/>
    <s v="No"/>
    <n v="4"/>
  </r>
  <r>
    <s v="ORD00558"/>
    <d v="2025-06-06T00:00:00"/>
    <s v="C1791"/>
    <x v="330"/>
    <s v="P1004"/>
    <x v="4"/>
    <x v="0"/>
    <x v="3"/>
    <x v="4"/>
    <n v="5"/>
    <n v="3500"/>
    <n v="10"/>
    <n v="15750"/>
    <n v="12250"/>
    <n v="3500"/>
    <x v="1"/>
    <s v="Gujarat"/>
    <s v="West"/>
    <s v="Card"/>
    <s v="Delivered"/>
    <s v="Yes"/>
    <n v="1"/>
  </r>
  <r>
    <s v="ORD00559"/>
    <d v="2025-10-18T00:00:00"/>
    <s v="C1933"/>
    <x v="119"/>
    <s v="P1003"/>
    <x v="3"/>
    <x v="0"/>
    <x v="0"/>
    <x v="3"/>
    <n v="4"/>
    <n v="1500"/>
    <n v="0"/>
    <n v="6000"/>
    <n v="4200"/>
    <n v="1800"/>
    <x v="3"/>
    <s v="Karnataka"/>
    <s v="South"/>
    <s v="UPI"/>
    <s v="Delivered"/>
    <s v="No"/>
    <n v="3"/>
  </r>
  <r>
    <s v="ORD00560"/>
    <d v="2025-11-03T00:00:00"/>
    <s v="C1158"/>
    <x v="105"/>
    <s v="P1002"/>
    <x v="0"/>
    <x v="0"/>
    <x v="0"/>
    <x v="0"/>
    <n v="2"/>
    <n v="800"/>
    <n v="0"/>
    <n v="1600"/>
    <n v="1120"/>
    <n v="480"/>
    <x v="0"/>
    <s v="Delhi"/>
    <s v="North"/>
    <s v="Cash"/>
    <s v="Pending"/>
    <s v="Yes"/>
    <n v="3"/>
  </r>
  <r>
    <s v="ORD00561"/>
    <d v="2025-12-04T00:00:00"/>
    <s v="C1889"/>
    <x v="330"/>
    <s v="P1004"/>
    <x v="4"/>
    <x v="0"/>
    <x v="3"/>
    <x v="4"/>
    <n v="5"/>
    <n v="3500"/>
    <n v="15"/>
    <n v="14875"/>
    <n v="12250"/>
    <n v="2625"/>
    <x v="3"/>
    <s v="Karnataka"/>
    <s v="South"/>
    <s v="Cash"/>
    <s v="Cancelled"/>
    <s v="Yes"/>
    <n v="2"/>
  </r>
  <r>
    <s v="ORD00562"/>
    <d v="2025-02-22T00:00:00"/>
    <s v="C1440"/>
    <x v="107"/>
    <s v="P1005"/>
    <x v="1"/>
    <x v="1"/>
    <x v="1"/>
    <x v="1"/>
    <n v="4"/>
    <n v="4500"/>
    <n v="0"/>
    <n v="18000"/>
    <n v="12600"/>
    <n v="5400"/>
    <x v="0"/>
    <s v="Delhi"/>
    <s v="North"/>
    <s v="Cash"/>
    <s v="Cancelled"/>
    <s v="No"/>
    <n v="2"/>
  </r>
  <r>
    <s v="ORD00563"/>
    <d v="2025-04-25T00:00:00"/>
    <s v="C1854"/>
    <x v="233"/>
    <s v="P1002"/>
    <x v="0"/>
    <x v="0"/>
    <x v="0"/>
    <x v="0"/>
    <n v="4"/>
    <n v="800"/>
    <n v="0"/>
    <n v="3200"/>
    <n v="2240"/>
    <n v="960"/>
    <x v="1"/>
    <s v="Gujarat"/>
    <s v="West"/>
    <s v="Cash"/>
    <s v="Delivered"/>
    <s v="Yes"/>
    <n v="2"/>
  </r>
  <r>
    <s v="ORD00564"/>
    <d v="2025-11-25T00:00:00"/>
    <s v="C1740"/>
    <x v="189"/>
    <s v="P1005"/>
    <x v="1"/>
    <x v="1"/>
    <x v="1"/>
    <x v="1"/>
    <n v="3"/>
    <n v="4500"/>
    <n v="5"/>
    <n v="12825"/>
    <n v="9450"/>
    <n v="3375"/>
    <x v="1"/>
    <s v="Gujarat"/>
    <s v="West"/>
    <s v="UPI"/>
    <s v="Pending"/>
    <s v="No"/>
    <n v="2"/>
  </r>
  <r>
    <s v="ORD00565"/>
    <d v="2025-05-31T00:00:00"/>
    <s v="C1018"/>
    <x v="269"/>
    <s v="P1005"/>
    <x v="1"/>
    <x v="1"/>
    <x v="1"/>
    <x v="1"/>
    <n v="2"/>
    <n v="4500"/>
    <n v="0"/>
    <n v="9000"/>
    <n v="6300"/>
    <n v="2700"/>
    <x v="3"/>
    <s v="Karnataka"/>
    <s v="South"/>
    <s v="Card"/>
    <s v="Cancelled"/>
    <s v="Yes"/>
    <n v="1"/>
  </r>
  <r>
    <s v="ORD00566"/>
    <d v="2025-07-17T00:00:00"/>
    <s v="C1415"/>
    <x v="25"/>
    <s v="P1003"/>
    <x v="3"/>
    <x v="0"/>
    <x v="0"/>
    <x v="3"/>
    <n v="5"/>
    <n v="1500"/>
    <n v="10"/>
    <n v="6750"/>
    <n v="5250"/>
    <n v="1500"/>
    <x v="3"/>
    <s v="Karnataka"/>
    <s v="South"/>
    <s v="Cash"/>
    <s v="Delivered"/>
    <s v="Yes"/>
    <n v="3"/>
  </r>
  <r>
    <s v="ORD00567"/>
    <d v="2025-09-15T00:00:00"/>
    <s v="C1097"/>
    <x v="331"/>
    <s v="P1004"/>
    <x v="4"/>
    <x v="0"/>
    <x v="3"/>
    <x v="4"/>
    <n v="1"/>
    <n v="3500"/>
    <n v="5"/>
    <n v="3325"/>
    <n v="2450"/>
    <n v="875"/>
    <x v="0"/>
    <s v="Delhi"/>
    <s v="North"/>
    <s v="UPI"/>
    <s v="Pending"/>
    <s v="No"/>
    <n v="3"/>
  </r>
  <r>
    <s v="ORD00568"/>
    <d v="2025-09-03T00:00:00"/>
    <s v="C1807"/>
    <x v="80"/>
    <s v="P1003"/>
    <x v="3"/>
    <x v="0"/>
    <x v="0"/>
    <x v="3"/>
    <n v="2"/>
    <n v="1500"/>
    <n v="5"/>
    <n v="2850"/>
    <n v="2100"/>
    <n v="750"/>
    <x v="0"/>
    <s v="Delhi"/>
    <s v="North"/>
    <s v="Card"/>
    <s v="Pending"/>
    <s v="Yes"/>
    <n v="5"/>
  </r>
  <r>
    <s v="ORD00569"/>
    <d v="2025-08-29T00:00:00"/>
    <s v="C1577"/>
    <x v="75"/>
    <s v="P1003"/>
    <x v="3"/>
    <x v="0"/>
    <x v="0"/>
    <x v="3"/>
    <n v="2"/>
    <n v="1500"/>
    <n v="10"/>
    <n v="2700"/>
    <n v="2100"/>
    <n v="600"/>
    <x v="0"/>
    <s v="Delhi"/>
    <s v="North"/>
    <s v="UPI"/>
    <s v="Delivered"/>
    <s v="No"/>
    <n v="4"/>
  </r>
  <r>
    <s v="ORD00570"/>
    <d v="2025-11-12T00:00:00"/>
    <s v="C1020"/>
    <x v="124"/>
    <s v="P1005"/>
    <x v="1"/>
    <x v="1"/>
    <x v="1"/>
    <x v="1"/>
    <n v="4"/>
    <n v="4500"/>
    <n v="0"/>
    <n v="18000"/>
    <n v="12600"/>
    <n v="5400"/>
    <x v="1"/>
    <s v="Gujarat"/>
    <s v="West"/>
    <s v="Cash"/>
    <s v="Cancelled"/>
    <s v="No"/>
    <n v="1"/>
  </r>
  <r>
    <s v="ORD00571"/>
    <d v="2025-06-28T00:00:00"/>
    <s v="C1130"/>
    <x v="135"/>
    <s v="P1002"/>
    <x v="0"/>
    <x v="0"/>
    <x v="0"/>
    <x v="0"/>
    <n v="5"/>
    <n v="800"/>
    <n v="0"/>
    <n v="4000"/>
    <n v="2800"/>
    <n v="1200"/>
    <x v="2"/>
    <s v="Maharashtra"/>
    <s v="West"/>
    <s v="Cash"/>
    <s v="Delivered"/>
    <s v="No"/>
    <n v="3"/>
  </r>
  <r>
    <s v="ORD00572"/>
    <d v="2025-08-03T00:00:00"/>
    <s v="C1718"/>
    <x v="53"/>
    <s v="P1001"/>
    <x v="2"/>
    <x v="0"/>
    <x v="2"/>
    <x v="2"/>
    <n v="3"/>
    <n v="55000"/>
    <n v="5"/>
    <n v="156750"/>
    <n v="115500"/>
    <n v="41250.000000000007"/>
    <x v="0"/>
    <s v="Delhi"/>
    <s v="North"/>
    <s v="Cash"/>
    <s v="Cancelled"/>
    <s v="No"/>
    <n v="3"/>
  </r>
  <r>
    <s v="ORD00573"/>
    <d v="2025-07-24T00:00:00"/>
    <s v="C1603"/>
    <x v="305"/>
    <s v="P1001"/>
    <x v="2"/>
    <x v="0"/>
    <x v="2"/>
    <x v="2"/>
    <n v="2"/>
    <n v="55000"/>
    <n v="5"/>
    <n v="104500"/>
    <n v="77000"/>
    <n v="27500"/>
    <x v="3"/>
    <s v="Karnataka"/>
    <s v="South"/>
    <s v="Card"/>
    <s v="Delivered"/>
    <s v="No"/>
    <n v="4"/>
  </r>
  <r>
    <s v="ORD00574"/>
    <d v="2025-05-23T00:00:00"/>
    <s v="C1494"/>
    <x v="303"/>
    <s v="P1003"/>
    <x v="3"/>
    <x v="0"/>
    <x v="0"/>
    <x v="3"/>
    <n v="2"/>
    <n v="1500"/>
    <n v="15"/>
    <n v="2550"/>
    <n v="2100"/>
    <n v="450"/>
    <x v="3"/>
    <s v="Karnataka"/>
    <s v="South"/>
    <s v="UPI"/>
    <s v="Delivered"/>
    <s v="No"/>
    <n v="3"/>
  </r>
  <r>
    <s v="ORD00575"/>
    <d v="2025-07-06T00:00:00"/>
    <s v="C1153"/>
    <x v="85"/>
    <s v="P1003"/>
    <x v="3"/>
    <x v="0"/>
    <x v="0"/>
    <x v="3"/>
    <n v="3"/>
    <n v="1500"/>
    <n v="10"/>
    <n v="4050"/>
    <n v="3150"/>
    <n v="900"/>
    <x v="3"/>
    <s v="Karnataka"/>
    <s v="South"/>
    <s v="Card"/>
    <s v="Cancelled"/>
    <s v="Yes"/>
    <n v="2"/>
  </r>
  <r>
    <s v="ORD00576"/>
    <d v="2025-09-28T00:00:00"/>
    <s v="C1617"/>
    <x v="109"/>
    <s v="P1001"/>
    <x v="2"/>
    <x v="0"/>
    <x v="2"/>
    <x v="2"/>
    <n v="4"/>
    <n v="55000"/>
    <n v="10"/>
    <n v="198000"/>
    <n v="154000"/>
    <n v="44000"/>
    <x v="1"/>
    <s v="Gujarat"/>
    <s v="West"/>
    <s v="Card"/>
    <s v="Cancelled"/>
    <s v="No"/>
    <n v="3"/>
  </r>
  <r>
    <s v="ORD00577"/>
    <d v="2025-02-10T00:00:00"/>
    <s v="C1092"/>
    <x v="332"/>
    <s v="P1004"/>
    <x v="4"/>
    <x v="0"/>
    <x v="3"/>
    <x v="4"/>
    <n v="1"/>
    <n v="3500"/>
    <n v="0"/>
    <n v="3500"/>
    <n v="2450"/>
    <n v="1050"/>
    <x v="2"/>
    <s v="Maharashtra"/>
    <s v="West"/>
    <s v="UPI"/>
    <s v="Pending"/>
    <s v="No"/>
    <n v="4"/>
  </r>
  <r>
    <s v="ORD00578"/>
    <d v="2025-10-13T00:00:00"/>
    <s v="C1649"/>
    <x v="104"/>
    <s v="P1004"/>
    <x v="4"/>
    <x v="0"/>
    <x v="3"/>
    <x v="4"/>
    <n v="5"/>
    <n v="3500"/>
    <n v="5"/>
    <n v="16625"/>
    <n v="12250"/>
    <n v="4375"/>
    <x v="0"/>
    <s v="Delhi"/>
    <s v="North"/>
    <s v="Cash"/>
    <s v="Delivered"/>
    <s v="No"/>
    <n v="1"/>
  </r>
  <r>
    <s v="ORD00579"/>
    <d v="2025-11-19T00:00:00"/>
    <s v="C1865"/>
    <x v="333"/>
    <s v="P1004"/>
    <x v="4"/>
    <x v="0"/>
    <x v="3"/>
    <x v="4"/>
    <n v="5"/>
    <n v="3500"/>
    <n v="15"/>
    <n v="14875"/>
    <n v="12250"/>
    <n v="2625"/>
    <x v="3"/>
    <s v="Karnataka"/>
    <s v="South"/>
    <s v="UPI"/>
    <s v="Pending"/>
    <s v="No"/>
    <n v="5"/>
  </r>
  <r>
    <s v="ORD00580"/>
    <d v="2025-04-03T00:00:00"/>
    <s v="C1185"/>
    <x v="312"/>
    <s v="P1005"/>
    <x v="1"/>
    <x v="1"/>
    <x v="1"/>
    <x v="1"/>
    <n v="1"/>
    <n v="4500"/>
    <n v="5"/>
    <n v="4275"/>
    <n v="3150"/>
    <n v="1125"/>
    <x v="2"/>
    <s v="Maharashtra"/>
    <s v="West"/>
    <s v="UPI"/>
    <s v="Pending"/>
    <s v="No"/>
    <n v="5"/>
  </r>
  <r>
    <s v="ORD00581"/>
    <d v="2025-07-22T00:00:00"/>
    <s v="C1542"/>
    <x v="7"/>
    <s v="P1004"/>
    <x v="4"/>
    <x v="0"/>
    <x v="3"/>
    <x v="4"/>
    <n v="2"/>
    <n v="3500"/>
    <n v="0"/>
    <n v="7000"/>
    <n v="4900"/>
    <n v="2100"/>
    <x v="0"/>
    <s v="Delhi"/>
    <s v="North"/>
    <s v="UPI"/>
    <s v="Delivered"/>
    <s v="Yes"/>
    <n v="2"/>
  </r>
  <r>
    <s v="ORD00582"/>
    <d v="2025-10-06T00:00:00"/>
    <s v="C1639"/>
    <x v="243"/>
    <s v="P1005"/>
    <x v="1"/>
    <x v="1"/>
    <x v="1"/>
    <x v="1"/>
    <n v="4"/>
    <n v="4500"/>
    <n v="10"/>
    <n v="16200"/>
    <n v="12600"/>
    <n v="3600"/>
    <x v="3"/>
    <s v="Karnataka"/>
    <s v="South"/>
    <s v="Card"/>
    <s v="Delivered"/>
    <s v="No"/>
    <n v="5"/>
  </r>
  <r>
    <s v="ORD00583"/>
    <d v="2025-06-26T00:00:00"/>
    <s v="C1319"/>
    <x v="334"/>
    <s v="P1003"/>
    <x v="3"/>
    <x v="0"/>
    <x v="0"/>
    <x v="3"/>
    <n v="5"/>
    <n v="1500"/>
    <n v="0"/>
    <n v="7500"/>
    <n v="5250"/>
    <n v="2250"/>
    <x v="3"/>
    <s v="Karnataka"/>
    <s v="South"/>
    <s v="UPI"/>
    <s v="Cancelled"/>
    <s v="No"/>
    <n v="2"/>
  </r>
  <r>
    <s v="ORD00584"/>
    <d v="2025-08-25T00:00:00"/>
    <s v="C1904"/>
    <x v="15"/>
    <s v="P1001"/>
    <x v="2"/>
    <x v="0"/>
    <x v="2"/>
    <x v="2"/>
    <n v="4"/>
    <n v="55000"/>
    <n v="15"/>
    <n v="187000"/>
    <n v="154000"/>
    <n v="33000"/>
    <x v="2"/>
    <s v="Maharashtra"/>
    <s v="West"/>
    <s v="UPI"/>
    <s v="Pending"/>
    <s v="No"/>
    <n v="1"/>
  </r>
  <r>
    <s v="ORD00585"/>
    <d v="2025-09-19T00:00:00"/>
    <s v="C1136"/>
    <x v="103"/>
    <s v="P1004"/>
    <x v="4"/>
    <x v="0"/>
    <x v="3"/>
    <x v="4"/>
    <n v="2"/>
    <n v="3500"/>
    <n v="5"/>
    <n v="6650"/>
    <n v="4900"/>
    <n v="1750"/>
    <x v="3"/>
    <s v="Karnataka"/>
    <s v="South"/>
    <s v="Cash"/>
    <s v="Pending"/>
    <s v="Yes"/>
    <n v="5"/>
  </r>
  <r>
    <s v="ORD00586"/>
    <d v="2025-03-05T00:00:00"/>
    <s v="C1524"/>
    <x v="132"/>
    <s v="P1004"/>
    <x v="4"/>
    <x v="0"/>
    <x v="3"/>
    <x v="4"/>
    <n v="2"/>
    <n v="3500"/>
    <n v="15"/>
    <n v="5950"/>
    <n v="4900"/>
    <n v="1050"/>
    <x v="1"/>
    <s v="Gujarat"/>
    <s v="West"/>
    <s v="Card"/>
    <s v="Pending"/>
    <s v="Yes"/>
    <n v="4"/>
  </r>
  <r>
    <s v="ORD00587"/>
    <d v="2025-02-19T00:00:00"/>
    <s v="C1852"/>
    <x v="115"/>
    <s v="P1001"/>
    <x v="2"/>
    <x v="0"/>
    <x v="2"/>
    <x v="2"/>
    <n v="5"/>
    <n v="55000"/>
    <n v="15"/>
    <n v="233750"/>
    <n v="192500"/>
    <n v="41250"/>
    <x v="2"/>
    <s v="Maharashtra"/>
    <s v="West"/>
    <s v="Card"/>
    <s v="Cancelled"/>
    <s v="No"/>
    <n v="2"/>
  </r>
  <r>
    <s v="ORD00588"/>
    <d v="2025-02-07T00:00:00"/>
    <s v="C1007"/>
    <x v="335"/>
    <s v="P1001"/>
    <x v="2"/>
    <x v="0"/>
    <x v="2"/>
    <x v="2"/>
    <n v="3"/>
    <n v="55000"/>
    <n v="5"/>
    <n v="156750"/>
    <n v="115500"/>
    <n v="41250.000000000007"/>
    <x v="3"/>
    <s v="Karnataka"/>
    <s v="South"/>
    <s v="Card"/>
    <s v="Delivered"/>
    <s v="No"/>
    <n v="3"/>
  </r>
  <r>
    <s v="ORD00589"/>
    <d v="2025-11-04T00:00:00"/>
    <s v="C1819"/>
    <x v="258"/>
    <s v="P1004"/>
    <x v="4"/>
    <x v="0"/>
    <x v="3"/>
    <x v="4"/>
    <n v="4"/>
    <n v="3500"/>
    <n v="15"/>
    <n v="11900"/>
    <n v="9800"/>
    <n v="2100"/>
    <x v="1"/>
    <s v="Gujarat"/>
    <s v="West"/>
    <s v="Cash"/>
    <s v="Pending"/>
    <s v="No"/>
    <n v="2"/>
  </r>
  <r>
    <s v="ORD00590"/>
    <d v="2025-03-12T00:00:00"/>
    <s v="C1543"/>
    <x v="286"/>
    <s v="P1004"/>
    <x v="4"/>
    <x v="0"/>
    <x v="3"/>
    <x v="4"/>
    <n v="5"/>
    <n v="3500"/>
    <n v="15"/>
    <n v="14875"/>
    <n v="12250"/>
    <n v="2625"/>
    <x v="0"/>
    <s v="Delhi"/>
    <s v="North"/>
    <s v="Card"/>
    <s v="Delivered"/>
    <s v="No"/>
    <n v="4"/>
  </r>
  <r>
    <s v="ORD00591"/>
    <d v="2025-09-05T00:00:00"/>
    <s v="C1237"/>
    <x v="253"/>
    <s v="P1004"/>
    <x v="4"/>
    <x v="0"/>
    <x v="3"/>
    <x v="4"/>
    <n v="3"/>
    <n v="3500"/>
    <n v="10"/>
    <n v="9450"/>
    <n v="7349.9999999999991"/>
    <n v="2100.0000000000009"/>
    <x v="3"/>
    <s v="Karnataka"/>
    <s v="South"/>
    <s v="Cash"/>
    <s v="Delivered"/>
    <s v="No"/>
    <n v="1"/>
  </r>
  <r>
    <s v="ORD00592"/>
    <d v="2025-05-02T00:00:00"/>
    <s v="C1551"/>
    <x v="336"/>
    <s v="P1002"/>
    <x v="0"/>
    <x v="0"/>
    <x v="0"/>
    <x v="0"/>
    <n v="2"/>
    <n v="800"/>
    <n v="5"/>
    <n v="1520"/>
    <n v="1120"/>
    <n v="400"/>
    <x v="1"/>
    <s v="Gujarat"/>
    <s v="West"/>
    <s v="Card"/>
    <s v="Pending"/>
    <s v="Yes"/>
    <n v="2"/>
  </r>
  <r>
    <s v="ORD00593"/>
    <d v="2025-10-27T00:00:00"/>
    <s v="C1873"/>
    <x v="77"/>
    <s v="P1002"/>
    <x v="0"/>
    <x v="0"/>
    <x v="0"/>
    <x v="0"/>
    <n v="4"/>
    <n v="800"/>
    <n v="0"/>
    <n v="3200"/>
    <n v="2240"/>
    <n v="960"/>
    <x v="2"/>
    <s v="Maharashtra"/>
    <s v="West"/>
    <s v="Cash"/>
    <s v="Delivered"/>
    <s v="No"/>
    <n v="4"/>
  </r>
  <r>
    <s v="ORD00594"/>
    <d v="2025-04-09T00:00:00"/>
    <s v="C1000"/>
    <x v="337"/>
    <s v="P1003"/>
    <x v="3"/>
    <x v="0"/>
    <x v="0"/>
    <x v="3"/>
    <n v="2"/>
    <n v="1500"/>
    <n v="15"/>
    <n v="2550"/>
    <n v="2100"/>
    <n v="450"/>
    <x v="3"/>
    <s v="Karnataka"/>
    <s v="South"/>
    <s v="Cash"/>
    <s v="Cancelled"/>
    <s v="Yes"/>
    <n v="3"/>
  </r>
  <r>
    <s v="ORD00595"/>
    <d v="2025-12-15T00:00:00"/>
    <s v="C1745"/>
    <x v="123"/>
    <s v="P1002"/>
    <x v="0"/>
    <x v="0"/>
    <x v="0"/>
    <x v="0"/>
    <n v="4"/>
    <n v="800"/>
    <n v="0"/>
    <n v="3200"/>
    <n v="2240"/>
    <n v="960"/>
    <x v="2"/>
    <s v="Maharashtra"/>
    <s v="West"/>
    <s v="Card"/>
    <s v="Cancelled"/>
    <s v="No"/>
    <n v="1"/>
  </r>
  <r>
    <s v="ORD00596"/>
    <d v="2025-03-10T00:00:00"/>
    <s v="C1086"/>
    <x v="74"/>
    <s v="P1003"/>
    <x v="3"/>
    <x v="0"/>
    <x v="0"/>
    <x v="3"/>
    <n v="4"/>
    <n v="1500"/>
    <n v="0"/>
    <n v="6000"/>
    <n v="4200"/>
    <n v="1800"/>
    <x v="0"/>
    <s v="Delhi"/>
    <s v="North"/>
    <s v="Cash"/>
    <s v="Cancelled"/>
    <s v="Yes"/>
    <n v="3"/>
  </r>
  <r>
    <s v="ORD00597"/>
    <d v="2025-10-25T00:00:00"/>
    <s v="C1803"/>
    <x v="257"/>
    <s v="P1004"/>
    <x v="4"/>
    <x v="0"/>
    <x v="3"/>
    <x v="4"/>
    <n v="4"/>
    <n v="3500"/>
    <n v="15"/>
    <n v="11900"/>
    <n v="9800"/>
    <n v="2100"/>
    <x v="2"/>
    <s v="Maharashtra"/>
    <s v="West"/>
    <s v="UPI"/>
    <s v="Cancelled"/>
    <s v="No"/>
    <n v="4"/>
  </r>
  <r>
    <s v="ORD00598"/>
    <d v="2025-08-23T00:00:00"/>
    <s v="C1243"/>
    <x v="99"/>
    <s v="P1005"/>
    <x v="1"/>
    <x v="1"/>
    <x v="1"/>
    <x v="1"/>
    <n v="5"/>
    <n v="4500"/>
    <n v="5"/>
    <n v="21375"/>
    <n v="15750"/>
    <n v="5625.0000000000018"/>
    <x v="3"/>
    <s v="Karnataka"/>
    <s v="South"/>
    <s v="Card"/>
    <s v="Pending"/>
    <s v="No"/>
    <n v="4"/>
  </r>
  <r>
    <s v="ORD00599"/>
    <d v="2025-10-13T00:00:00"/>
    <s v="C1809"/>
    <x v="181"/>
    <s v="P1004"/>
    <x v="4"/>
    <x v="0"/>
    <x v="3"/>
    <x v="4"/>
    <n v="1"/>
    <n v="3500"/>
    <n v="15"/>
    <n v="2975"/>
    <n v="2450"/>
    <n v="525"/>
    <x v="3"/>
    <s v="Karnataka"/>
    <s v="South"/>
    <s v="UPI"/>
    <s v="Cancelled"/>
    <s v="Yes"/>
    <n v="2"/>
  </r>
  <r>
    <s v="ORD00600"/>
    <d v="2025-11-02T00:00:00"/>
    <s v="C1550"/>
    <x v="230"/>
    <s v="P1004"/>
    <x v="4"/>
    <x v="0"/>
    <x v="3"/>
    <x v="4"/>
    <n v="2"/>
    <n v="3500"/>
    <n v="15"/>
    <n v="5950"/>
    <n v="4900"/>
    <n v="1050"/>
    <x v="1"/>
    <s v="Gujarat"/>
    <s v="West"/>
    <s v="Card"/>
    <s v="Pending"/>
    <s v="Yes"/>
    <n v="3"/>
  </r>
  <r>
    <s v="ORD00601"/>
    <d v="2025-07-07T00:00:00"/>
    <s v="C1334"/>
    <x v="163"/>
    <s v="P1004"/>
    <x v="4"/>
    <x v="0"/>
    <x v="3"/>
    <x v="4"/>
    <n v="4"/>
    <n v="3500"/>
    <n v="5"/>
    <n v="13300"/>
    <n v="9800"/>
    <n v="3500"/>
    <x v="1"/>
    <s v="Gujarat"/>
    <s v="West"/>
    <s v="Card"/>
    <s v="Pending"/>
    <s v="No"/>
    <n v="2"/>
  </r>
  <r>
    <s v="ORD00602"/>
    <d v="2025-09-18T00:00:00"/>
    <s v="C1490"/>
    <x v="338"/>
    <s v="P1005"/>
    <x v="1"/>
    <x v="1"/>
    <x v="1"/>
    <x v="1"/>
    <n v="2"/>
    <n v="4500"/>
    <n v="0"/>
    <n v="9000"/>
    <n v="6300"/>
    <n v="2700"/>
    <x v="3"/>
    <s v="Karnataka"/>
    <s v="South"/>
    <s v="UPI"/>
    <s v="Cancelled"/>
    <s v="Yes"/>
    <n v="4"/>
  </r>
  <r>
    <s v="ORD00603"/>
    <d v="2025-08-31T00:00:00"/>
    <s v="C1603"/>
    <x v="32"/>
    <s v="P1004"/>
    <x v="4"/>
    <x v="0"/>
    <x v="3"/>
    <x v="4"/>
    <n v="4"/>
    <n v="3500"/>
    <n v="10"/>
    <n v="12600"/>
    <n v="9800"/>
    <n v="2800"/>
    <x v="0"/>
    <s v="Delhi"/>
    <s v="North"/>
    <s v="Cash"/>
    <s v="Delivered"/>
    <s v="No"/>
    <n v="2"/>
  </r>
  <r>
    <s v="ORD00604"/>
    <d v="2025-06-09T00:00:00"/>
    <s v="C1235"/>
    <x v="289"/>
    <s v="P1005"/>
    <x v="1"/>
    <x v="1"/>
    <x v="1"/>
    <x v="1"/>
    <n v="4"/>
    <n v="4500"/>
    <n v="10"/>
    <n v="16200"/>
    <n v="12600"/>
    <n v="3600"/>
    <x v="2"/>
    <s v="Maharashtra"/>
    <s v="West"/>
    <s v="Card"/>
    <s v="Delivered"/>
    <s v="Yes"/>
    <n v="5"/>
  </r>
  <r>
    <s v="ORD00605"/>
    <d v="2025-03-14T00:00:00"/>
    <s v="C1670"/>
    <x v="300"/>
    <s v="P1001"/>
    <x v="2"/>
    <x v="0"/>
    <x v="2"/>
    <x v="2"/>
    <n v="4"/>
    <n v="55000"/>
    <n v="10"/>
    <n v="198000"/>
    <n v="154000"/>
    <n v="44000"/>
    <x v="3"/>
    <s v="Karnataka"/>
    <s v="South"/>
    <s v="UPI"/>
    <s v="Pending"/>
    <s v="No"/>
    <n v="4"/>
  </r>
  <r>
    <s v="ORD00606"/>
    <d v="2025-07-11T00:00:00"/>
    <s v="C1197"/>
    <x v="339"/>
    <s v="P1003"/>
    <x v="3"/>
    <x v="0"/>
    <x v="0"/>
    <x v="3"/>
    <n v="5"/>
    <n v="1500"/>
    <n v="15"/>
    <n v="6375"/>
    <n v="5250"/>
    <n v="1125"/>
    <x v="0"/>
    <s v="Delhi"/>
    <s v="North"/>
    <s v="UPI"/>
    <s v="Delivered"/>
    <s v="Yes"/>
    <n v="3"/>
  </r>
  <r>
    <s v="ORD00607"/>
    <d v="2025-03-13T00:00:00"/>
    <s v="C1888"/>
    <x v="340"/>
    <s v="P1004"/>
    <x v="4"/>
    <x v="0"/>
    <x v="3"/>
    <x v="4"/>
    <n v="3"/>
    <n v="3500"/>
    <n v="0"/>
    <n v="10500"/>
    <n v="7349.9999999999991"/>
    <n v="3150.0000000000009"/>
    <x v="3"/>
    <s v="Karnataka"/>
    <s v="South"/>
    <s v="UPI"/>
    <s v="Cancelled"/>
    <s v="No"/>
    <n v="2"/>
  </r>
  <r>
    <s v="ORD00608"/>
    <d v="2025-04-11T00:00:00"/>
    <s v="C1492"/>
    <x v="341"/>
    <s v="P1003"/>
    <x v="3"/>
    <x v="0"/>
    <x v="0"/>
    <x v="3"/>
    <n v="4"/>
    <n v="1500"/>
    <n v="10"/>
    <n v="5400"/>
    <n v="4200"/>
    <n v="1200"/>
    <x v="3"/>
    <s v="Karnataka"/>
    <s v="South"/>
    <s v="Card"/>
    <s v="Delivered"/>
    <s v="No"/>
    <n v="1"/>
  </r>
  <r>
    <s v="ORD00609"/>
    <d v="2025-02-15T00:00:00"/>
    <s v="C1548"/>
    <x v="177"/>
    <s v="P1003"/>
    <x v="3"/>
    <x v="0"/>
    <x v="0"/>
    <x v="3"/>
    <n v="2"/>
    <n v="1500"/>
    <n v="5"/>
    <n v="2850"/>
    <n v="2100"/>
    <n v="750"/>
    <x v="0"/>
    <s v="Delhi"/>
    <s v="North"/>
    <s v="UPI"/>
    <s v="Delivered"/>
    <s v="No"/>
    <n v="5"/>
  </r>
  <r>
    <s v="ORD00610"/>
    <d v="2025-10-15T00:00:00"/>
    <s v="C1357"/>
    <x v="342"/>
    <s v="P1003"/>
    <x v="3"/>
    <x v="0"/>
    <x v="0"/>
    <x v="3"/>
    <n v="3"/>
    <n v="1500"/>
    <n v="0"/>
    <n v="4500"/>
    <n v="3150"/>
    <n v="1350"/>
    <x v="1"/>
    <s v="Gujarat"/>
    <s v="West"/>
    <s v="UPI"/>
    <s v="Cancelled"/>
    <s v="Yes"/>
    <n v="4"/>
  </r>
  <r>
    <s v="ORD00611"/>
    <d v="2025-11-04T00:00:00"/>
    <s v="C1026"/>
    <x v="343"/>
    <s v="P1002"/>
    <x v="0"/>
    <x v="0"/>
    <x v="0"/>
    <x v="0"/>
    <n v="3"/>
    <n v="800"/>
    <n v="5"/>
    <n v="2280"/>
    <n v="1680"/>
    <n v="600"/>
    <x v="2"/>
    <s v="Maharashtra"/>
    <s v="West"/>
    <s v="Card"/>
    <s v="Cancelled"/>
    <s v="Yes"/>
    <n v="2"/>
  </r>
  <r>
    <s v="ORD00612"/>
    <d v="2025-10-16T00:00:00"/>
    <s v="C1760"/>
    <x v="247"/>
    <s v="P1002"/>
    <x v="0"/>
    <x v="0"/>
    <x v="0"/>
    <x v="0"/>
    <n v="3"/>
    <n v="800"/>
    <n v="15"/>
    <n v="2040"/>
    <n v="1680"/>
    <n v="360"/>
    <x v="3"/>
    <s v="Karnataka"/>
    <s v="South"/>
    <s v="Card"/>
    <s v="Delivered"/>
    <s v="No"/>
    <n v="3"/>
  </r>
  <r>
    <s v="ORD00613"/>
    <d v="2025-03-11T00:00:00"/>
    <s v="C1063"/>
    <x v="344"/>
    <s v="P1002"/>
    <x v="0"/>
    <x v="0"/>
    <x v="0"/>
    <x v="0"/>
    <n v="3"/>
    <n v="800"/>
    <n v="5"/>
    <n v="2280"/>
    <n v="1680"/>
    <n v="600"/>
    <x v="0"/>
    <s v="Delhi"/>
    <s v="North"/>
    <s v="Cash"/>
    <s v="Cancelled"/>
    <s v="Yes"/>
    <n v="4"/>
  </r>
  <r>
    <s v="ORD00614"/>
    <d v="2025-09-21T00:00:00"/>
    <s v="C1317"/>
    <x v="80"/>
    <s v="P1002"/>
    <x v="0"/>
    <x v="0"/>
    <x v="0"/>
    <x v="0"/>
    <n v="4"/>
    <n v="800"/>
    <n v="15"/>
    <n v="2720"/>
    <n v="2240"/>
    <n v="480"/>
    <x v="2"/>
    <s v="Maharashtra"/>
    <s v="West"/>
    <s v="Card"/>
    <s v="Cancelled"/>
    <s v="No"/>
    <n v="5"/>
  </r>
  <r>
    <s v="ORD00615"/>
    <d v="2025-11-26T00:00:00"/>
    <s v="C1273"/>
    <x v="144"/>
    <s v="P1002"/>
    <x v="0"/>
    <x v="0"/>
    <x v="0"/>
    <x v="0"/>
    <n v="1"/>
    <n v="800"/>
    <n v="15"/>
    <n v="680"/>
    <n v="560"/>
    <n v="120"/>
    <x v="0"/>
    <s v="Delhi"/>
    <s v="North"/>
    <s v="Cash"/>
    <s v="Pending"/>
    <s v="Yes"/>
    <n v="3"/>
  </r>
  <r>
    <s v="ORD00616"/>
    <d v="2025-08-23T00:00:00"/>
    <s v="C1511"/>
    <x v="33"/>
    <s v="P1001"/>
    <x v="2"/>
    <x v="0"/>
    <x v="2"/>
    <x v="2"/>
    <n v="3"/>
    <n v="55000"/>
    <n v="5"/>
    <n v="156750"/>
    <n v="115500"/>
    <n v="41250.000000000007"/>
    <x v="1"/>
    <s v="Gujarat"/>
    <s v="West"/>
    <s v="Card"/>
    <s v="Cancelled"/>
    <s v="No"/>
    <n v="3"/>
  </r>
  <r>
    <s v="ORD00617"/>
    <d v="2025-02-18T00:00:00"/>
    <s v="C1068"/>
    <x v="345"/>
    <s v="P1005"/>
    <x v="1"/>
    <x v="1"/>
    <x v="1"/>
    <x v="1"/>
    <n v="4"/>
    <n v="4500"/>
    <n v="10"/>
    <n v="16200"/>
    <n v="12600"/>
    <n v="3600"/>
    <x v="0"/>
    <s v="Delhi"/>
    <s v="North"/>
    <s v="UPI"/>
    <s v="Cancelled"/>
    <s v="No"/>
    <n v="5"/>
  </r>
  <r>
    <s v="ORD00618"/>
    <d v="2025-11-10T00:00:00"/>
    <s v="C1566"/>
    <x v="239"/>
    <s v="P1001"/>
    <x v="2"/>
    <x v="0"/>
    <x v="2"/>
    <x v="2"/>
    <n v="3"/>
    <n v="55000"/>
    <n v="0"/>
    <n v="165000"/>
    <n v="115500"/>
    <n v="49500.000000000007"/>
    <x v="0"/>
    <s v="Delhi"/>
    <s v="North"/>
    <s v="UPI"/>
    <s v="Pending"/>
    <s v="Yes"/>
    <n v="5"/>
  </r>
  <r>
    <s v="ORD00619"/>
    <d v="2025-07-05T00:00:00"/>
    <s v="C1820"/>
    <x v="117"/>
    <s v="P1004"/>
    <x v="4"/>
    <x v="0"/>
    <x v="3"/>
    <x v="4"/>
    <n v="3"/>
    <n v="3500"/>
    <n v="10"/>
    <n v="9450"/>
    <n v="7349.9999999999991"/>
    <n v="2100.0000000000009"/>
    <x v="2"/>
    <s v="Maharashtra"/>
    <s v="West"/>
    <s v="Cash"/>
    <s v="Cancelled"/>
    <s v="No"/>
    <n v="3"/>
  </r>
  <r>
    <s v="ORD00620"/>
    <d v="2025-09-09T00:00:00"/>
    <s v="C1623"/>
    <x v="229"/>
    <s v="P1005"/>
    <x v="1"/>
    <x v="1"/>
    <x v="1"/>
    <x v="1"/>
    <n v="5"/>
    <n v="4500"/>
    <n v="0"/>
    <n v="22500"/>
    <n v="15750"/>
    <n v="6750.0000000000018"/>
    <x v="0"/>
    <s v="Delhi"/>
    <s v="North"/>
    <s v="UPI"/>
    <s v="Cancelled"/>
    <s v="Yes"/>
    <n v="3"/>
  </r>
  <r>
    <s v="ORD00621"/>
    <d v="2025-01-09T00:00:00"/>
    <s v="C1221"/>
    <x v="234"/>
    <s v="P1004"/>
    <x v="4"/>
    <x v="0"/>
    <x v="3"/>
    <x v="4"/>
    <n v="1"/>
    <n v="3500"/>
    <n v="0"/>
    <n v="3500"/>
    <n v="2450"/>
    <n v="1050"/>
    <x v="1"/>
    <s v="Gujarat"/>
    <s v="West"/>
    <s v="Card"/>
    <s v="Pending"/>
    <s v="Yes"/>
    <n v="2"/>
  </r>
  <r>
    <s v="ORD00622"/>
    <d v="2025-07-19T00:00:00"/>
    <s v="C1480"/>
    <x v="311"/>
    <s v="P1004"/>
    <x v="4"/>
    <x v="0"/>
    <x v="3"/>
    <x v="4"/>
    <n v="3"/>
    <n v="3500"/>
    <n v="5"/>
    <n v="9975"/>
    <n v="7349.9999999999991"/>
    <n v="2625.0000000000009"/>
    <x v="0"/>
    <s v="Delhi"/>
    <s v="North"/>
    <s v="UPI"/>
    <s v="Pending"/>
    <s v="Yes"/>
    <n v="4"/>
  </r>
  <r>
    <s v="ORD00623"/>
    <d v="2025-06-24T00:00:00"/>
    <s v="C1358"/>
    <x v="81"/>
    <s v="P1004"/>
    <x v="4"/>
    <x v="0"/>
    <x v="3"/>
    <x v="4"/>
    <n v="1"/>
    <n v="3500"/>
    <n v="15"/>
    <n v="2975"/>
    <n v="2450"/>
    <n v="525"/>
    <x v="0"/>
    <s v="Delhi"/>
    <s v="North"/>
    <s v="Cash"/>
    <s v="Cancelled"/>
    <s v="Yes"/>
    <n v="2"/>
  </r>
  <r>
    <s v="ORD00624"/>
    <d v="2025-05-26T00:00:00"/>
    <s v="C1572"/>
    <x v="55"/>
    <s v="P1002"/>
    <x v="0"/>
    <x v="0"/>
    <x v="0"/>
    <x v="0"/>
    <n v="4"/>
    <n v="800"/>
    <n v="15"/>
    <n v="2720"/>
    <n v="2240"/>
    <n v="480"/>
    <x v="1"/>
    <s v="Gujarat"/>
    <s v="West"/>
    <s v="UPI"/>
    <s v="Pending"/>
    <s v="No"/>
    <n v="5"/>
  </r>
  <r>
    <s v="ORD00625"/>
    <d v="2025-06-20T00:00:00"/>
    <s v="C1653"/>
    <x v="48"/>
    <s v="P1005"/>
    <x v="1"/>
    <x v="1"/>
    <x v="1"/>
    <x v="1"/>
    <n v="1"/>
    <n v="4500"/>
    <n v="15"/>
    <n v="3825"/>
    <n v="3150"/>
    <n v="675"/>
    <x v="0"/>
    <s v="Delhi"/>
    <s v="North"/>
    <s v="Card"/>
    <s v="Cancelled"/>
    <s v="No"/>
    <n v="2"/>
  </r>
  <r>
    <s v="ORD00626"/>
    <d v="2025-11-10T00:00:00"/>
    <s v="C1122"/>
    <x v="346"/>
    <s v="P1002"/>
    <x v="0"/>
    <x v="0"/>
    <x v="0"/>
    <x v="0"/>
    <n v="3"/>
    <n v="800"/>
    <n v="10"/>
    <n v="2160"/>
    <n v="1680"/>
    <n v="480"/>
    <x v="1"/>
    <s v="Gujarat"/>
    <s v="West"/>
    <s v="Cash"/>
    <s v="Pending"/>
    <s v="Yes"/>
    <n v="1"/>
  </r>
  <r>
    <s v="ORD00627"/>
    <d v="2025-10-27T00:00:00"/>
    <s v="C1951"/>
    <x v="347"/>
    <s v="P1005"/>
    <x v="1"/>
    <x v="1"/>
    <x v="1"/>
    <x v="1"/>
    <n v="3"/>
    <n v="4500"/>
    <n v="15"/>
    <n v="11475"/>
    <n v="9450"/>
    <n v="2025"/>
    <x v="3"/>
    <s v="Karnataka"/>
    <s v="South"/>
    <s v="Cash"/>
    <s v="Delivered"/>
    <s v="Yes"/>
    <n v="2"/>
  </r>
  <r>
    <s v="ORD00628"/>
    <d v="2025-02-03T00:00:00"/>
    <s v="C1747"/>
    <x v="344"/>
    <s v="P1002"/>
    <x v="0"/>
    <x v="0"/>
    <x v="0"/>
    <x v="0"/>
    <n v="4"/>
    <n v="800"/>
    <n v="5"/>
    <n v="3040"/>
    <n v="2240"/>
    <n v="800"/>
    <x v="1"/>
    <s v="Gujarat"/>
    <s v="West"/>
    <s v="UPI"/>
    <s v="Delivered"/>
    <s v="Yes"/>
    <n v="3"/>
  </r>
  <r>
    <s v="ORD00629"/>
    <d v="2025-11-08T00:00:00"/>
    <s v="C1054"/>
    <x v="80"/>
    <s v="P1002"/>
    <x v="0"/>
    <x v="0"/>
    <x v="0"/>
    <x v="0"/>
    <n v="2"/>
    <n v="800"/>
    <n v="5"/>
    <n v="1520"/>
    <n v="1120"/>
    <n v="400"/>
    <x v="2"/>
    <s v="Maharashtra"/>
    <s v="West"/>
    <s v="Card"/>
    <s v="Delivered"/>
    <s v="Yes"/>
    <n v="1"/>
  </r>
  <r>
    <s v="ORD00630"/>
    <d v="2025-04-05T00:00:00"/>
    <s v="C1586"/>
    <x v="235"/>
    <s v="P1005"/>
    <x v="1"/>
    <x v="1"/>
    <x v="1"/>
    <x v="1"/>
    <n v="5"/>
    <n v="4500"/>
    <n v="10"/>
    <n v="20250"/>
    <n v="15750"/>
    <n v="4500.0000000000018"/>
    <x v="2"/>
    <s v="Maharashtra"/>
    <s v="West"/>
    <s v="Cash"/>
    <s v="Pending"/>
    <s v="Yes"/>
    <n v="2"/>
  </r>
  <r>
    <s v="ORD00631"/>
    <d v="2025-02-04T00:00:00"/>
    <s v="C1920"/>
    <x v="288"/>
    <s v="P1001"/>
    <x v="2"/>
    <x v="0"/>
    <x v="2"/>
    <x v="2"/>
    <n v="3"/>
    <n v="55000"/>
    <n v="5"/>
    <n v="156750"/>
    <n v="115500"/>
    <n v="41250.000000000007"/>
    <x v="3"/>
    <s v="Karnataka"/>
    <s v="South"/>
    <s v="Card"/>
    <s v="Delivered"/>
    <s v="No"/>
    <n v="5"/>
  </r>
  <r>
    <s v="ORD00632"/>
    <d v="2025-11-27T00:00:00"/>
    <s v="C1453"/>
    <x v="348"/>
    <s v="P1001"/>
    <x v="2"/>
    <x v="0"/>
    <x v="2"/>
    <x v="2"/>
    <n v="4"/>
    <n v="55000"/>
    <n v="10"/>
    <n v="198000"/>
    <n v="154000"/>
    <n v="44000"/>
    <x v="0"/>
    <s v="Delhi"/>
    <s v="North"/>
    <s v="Cash"/>
    <s v="Delivered"/>
    <s v="No"/>
    <n v="3"/>
  </r>
  <r>
    <s v="ORD00633"/>
    <d v="2025-07-26T00:00:00"/>
    <s v="C1308"/>
    <x v="29"/>
    <s v="P1003"/>
    <x v="3"/>
    <x v="0"/>
    <x v="0"/>
    <x v="3"/>
    <n v="5"/>
    <n v="1500"/>
    <n v="10"/>
    <n v="6750"/>
    <n v="5250"/>
    <n v="1500"/>
    <x v="1"/>
    <s v="Gujarat"/>
    <s v="West"/>
    <s v="Cash"/>
    <s v="Delivered"/>
    <s v="Yes"/>
    <n v="4"/>
  </r>
  <r>
    <s v="ORD00634"/>
    <d v="2025-04-17T00:00:00"/>
    <s v="C1001"/>
    <x v="21"/>
    <s v="P1005"/>
    <x v="1"/>
    <x v="1"/>
    <x v="1"/>
    <x v="1"/>
    <n v="1"/>
    <n v="4500"/>
    <n v="5"/>
    <n v="4275"/>
    <n v="3150"/>
    <n v="1125"/>
    <x v="2"/>
    <s v="Maharashtra"/>
    <s v="West"/>
    <s v="UPI"/>
    <s v="Pending"/>
    <s v="Yes"/>
    <n v="5"/>
  </r>
  <r>
    <s v="ORD00635"/>
    <d v="2025-07-30T00:00:00"/>
    <s v="C1548"/>
    <x v="349"/>
    <s v="P1002"/>
    <x v="0"/>
    <x v="0"/>
    <x v="0"/>
    <x v="0"/>
    <n v="2"/>
    <n v="800"/>
    <n v="5"/>
    <n v="1520"/>
    <n v="1120"/>
    <n v="400"/>
    <x v="2"/>
    <s v="Maharashtra"/>
    <s v="West"/>
    <s v="UPI"/>
    <s v="Pending"/>
    <s v="No"/>
    <n v="2"/>
  </r>
  <r>
    <s v="ORD00636"/>
    <d v="2025-07-16T00:00:00"/>
    <s v="C1877"/>
    <x v="350"/>
    <s v="P1001"/>
    <x v="2"/>
    <x v="0"/>
    <x v="2"/>
    <x v="2"/>
    <n v="1"/>
    <n v="55000"/>
    <n v="5"/>
    <n v="52250"/>
    <n v="38500"/>
    <n v="13750"/>
    <x v="2"/>
    <s v="Maharashtra"/>
    <s v="West"/>
    <s v="UPI"/>
    <s v="Delivered"/>
    <s v="No"/>
    <n v="1"/>
  </r>
  <r>
    <s v="ORD00637"/>
    <d v="2025-12-22T00:00:00"/>
    <s v="C1764"/>
    <x v="45"/>
    <s v="P1001"/>
    <x v="2"/>
    <x v="0"/>
    <x v="2"/>
    <x v="2"/>
    <n v="5"/>
    <n v="55000"/>
    <n v="15"/>
    <n v="233750"/>
    <n v="192500"/>
    <n v="41250"/>
    <x v="1"/>
    <s v="Gujarat"/>
    <s v="West"/>
    <s v="UPI"/>
    <s v="Cancelled"/>
    <s v="Yes"/>
    <n v="1"/>
  </r>
  <r>
    <s v="ORD00638"/>
    <d v="2025-10-03T00:00:00"/>
    <s v="C1798"/>
    <x v="235"/>
    <s v="P1002"/>
    <x v="0"/>
    <x v="0"/>
    <x v="0"/>
    <x v="0"/>
    <n v="3"/>
    <n v="800"/>
    <n v="10"/>
    <n v="2160"/>
    <n v="1680"/>
    <n v="480"/>
    <x v="2"/>
    <s v="Maharashtra"/>
    <s v="West"/>
    <s v="Card"/>
    <s v="Pending"/>
    <s v="No"/>
    <n v="4"/>
  </r>
  <r>
    <s v="ORD00639"/>
    <d v="2025-02-06T00:00:00"/>
    <s v="C1325"/>
    <x v="135"/>
    <s v="P1005"/>
    <x v="1"/>
    <x v="1"/>
    <x v="1"/>
    <x v="1"/>
    <n v="2"/>
    <n v="4500"/>
    <n v="5"/>
    <n v="8550"/>
    <n v="6300"/>
    <n v="2250"/>
    <x v="2"/>
    <s v="Maharashtra"/>
    <s v="West"/>
    <s v="Card"/>
    <s v="Cancelled"/>
    <s v="Yes"/>
    <n v="2"/>
  </r>
  <r>
    <s v="ORD00640"/>
    <d v="2025-07-22T00:00:00"/>
    <s v="C1844"/>
    <x v="173"/>
    <s v="P1005"/>
    <x v="1"/>
    <x v="1"/>
    <x v="1"/>
    <x v="1"/>
    <n v="2"/>
    <n v="4500"/>
    <n v="5"/>
    <n v="8550"/>
    <n v="6300"/>
    <n v="2250"/>
    <x v="3"/>
    <s v="Karnataka"/>
    <s v="South"/>
    <s v="UPI"/>
    <s v="Delivered"/>
    <s v="Yes"/>
    <n v="1"/>
  </r>
  <r>
    <s v="ORD00641"/>
    <d v="2025-12-03T00:00:00"/>
    <s v="C1024"/>
    <x v="180"/>
    <s v="P1003"/>
    <x v="3"/>
    <x v="0"/>
    <x v="0"/>
    <x v="3"/>
    <n v="4"/>
    <n v="1500"/>
    <n v="0"/>
    <n v="6000"/>
    <n v="4200"/>
    <n v="1800"/>
    <x v="0"/>
    <s v="Delhi"/>
    <s v="North"/>
    <s v="Card"/>
    <s v="Pending"/>
    <s v="Yes"/>
    <n v="5"/>
  </r>
  <r>
    <s v="ORD00642"/>
    <d v="2025-08-13T00:00:00"/>
    <s v="C1572"/>
    <x v="204"/>
    <s v="P1002"/>
    <x v="0"/>
    <x v="0"/>
    <x v="0"/>
    <x v="0"/>
    <n v="2"/>
    <n v="800"/>
    <n v="5"/>
    <n v="1520"/>
    <n v="1120"/>
    <n v="400"/>
    <x v="2"/>
    <s v="Maharashtra"/>
    <s v="West"/>
    <s v="Card"/>
    <s v="Cancelled"/>
    <s v="No"/>
    <n v="2"/>
  </r>
  <r>
    <s v="ORD00643"/>
    <d v="2025-06-14T00:00:00"/>
    <s v="C1665"/>
    <x v="265"/>
    <s v="P1005"/>
    <x v="1"/>
    <x v="1"/>
    <x v="1"/>
    <x v="1"/>
    <n v="4"/>
    <n v="4500"/>
    <n v="10"/>
    <n v="16200"/>
    <n v="12600"/>
    <n v="3600"/>
    <x v="2"/>
    <s v="Maharashtra"/>
    <s v="West"/>
    <s v="Card"/>
    <s v="Cancelled"/>
    <s v="Yes"/>
    <n v="2"/>
  </r>
  <r>
    <s v="ORD00644"/>
    <d v="2025-09-14T00:00:00"/>
    <s v="C1791"/>
    <x v="161"/>
    <s v="P1003"/>
    <x v="3"/>
    <x v="0"/>
    <x v="0"/>
    <x v="3"/>
    <n v="2"/>
    <n v="1500"/>
    <n v="15"/>
    <n v="2550"/>
    <n v="2100"/>
    <n v="450"/>
    <x v="0"/>
    <s v="Delhi"/>
    <s v="North"/>
    <s v="Cash"/>
    <s v="Pending"/>
    <s v="Yes"/>
    <n v="2"/>
  </r>
  <r>
    <s v="ORD00645"/>
    <d v="2025-09-27T00:00:00"/>
    <s v="C1062"/>
    <x v="313"/>
    <s v="P1005"/>
    <x v="1"/>
    <x v="1"/>
    <x v="1"/>
    <x v="1"/>
    <n v="5"/>
    <n v="4500"/>
    <n v="10"/>
    <n v="20250"/>
    <n v="15750"/>
    <n v="4500.0000000000018"/>
    <x v="2"/>
    <s v="Maharashtra"/>
    <s v="West"/>
    <s v="Cash"/>
    <s v="Cancelled"/>
    <s v="Yes"/>
    <n v="3"/>
  </r>
  <r>
    <s v="ORD00646"/>
    <d v="2025-08-12T00:00:00"/>
    <s v="C1680"/>
    <x v="229"/>
    <s v="P1001"/>
    <x v="2"/>
    <x v="0"/>
    <x v="2"/>
    <x v="2"/>
    <n v="2"/>
    <n v="55000"/>
    <n v="5"/>
    <n v="104500"/>
    <n v="77000"/>
    <n v="27500"/>
    <x v="3"/>
    <s v="Karnataka"/>
    <s v="South"/>
    <s v="UPI"/>
    <s v="Cancelled"/>
    <s v="No"/>
    <n v="3"/>
  </r>
  <r>
    <s v="ORD00647"/>
    <d v="2025-01-09T00:00:00"/>
    <s v="C1138"/>
    <x v="351"/>
    <s v="P1004"/>
    <x v="4"/>
    <x v="0"/>
    <x v="3"/>
    <x v="4"/>
    <n v="3"/>
    <n v="3500"/>
    <n v="15"/>
    <n v="8925"/>
    <n v="7349.9999999999991"/>
    <n v="1575.0000000000009"/>
    <x v="0"/>
    <s v="Delhi"/>
    <s v="North"/>
    <s v="Cash"/>
    <s v="Pending"/>
    <s v="No"/>
    <n v="5"/>
  </r>
  <r>
    <s v="ORD00648"/>
    <d v="2025-07-09T00:00:00"/>
    <s v="C1498"/>
    <x v="33"/>
    <s v="P1002"/>
    <x v="0"/>
    <x v="0"/>
    <x v="0"/>
    <x v="0"/>
    <n v="4"/>
    <n v="800"/>
    <n v="5"/>
    <n v="3040"/>
    <n v="2240"/>
    <n v="800"/>
    <x v="3"/>
    <s v="Karnataka"/>
    <s v="South"/>
    <s v="Card"/>
    <s v="Pending"/>
    <s v="No"/>
    <n v="2"/>
  </r>
  <r>
    <s v="ORD00649"/>
    <d v="2025-11-28T00:00:00"/>
    <s v="C1307"/>
    <x v="173"/>
    <s v="P1001"/>
    <x v="2"/>
    <x v="0"/>
    <x v="2"/>
    <x v="2"/>
    <n v="2"/>
    <n v="55000"/>
    <n v="0"/>
    <n v="110000"/>
    <n v="77000"/>
    <n v="33000"/>
    <x v="0"/>
    <s v="Delhi"/>
    <s v="North"/>
    <s v="UPI"/>
    <s v="Cancelled"/>
    <s v="Yes"/>
    <n v="2"/>
  </r>
  <r>
    <s v="ORD00650"/>
    <d v="2025-09-03T00:00:00"/>
    <s v="C1974"/>
    <x v="337"/>
    <s v="P1004"/>
    <x v="4"/>
    <x v="0"/>
    <x v="3"/>
    <x v="4"/>
    <n v="2"/>
    <n v="3500"/>
    <n v="0"/>
    <n v="7000"/>
    <n v="4900"/>
    <n v="2100"/>
    <x v="2"/>
    <s v="Maharashtra"/>
    <s v="West"/>
    <s v="UPI"/>
    <s v="Cancelled"/>
    <s v="Yes"/>
    <n v="2"/>
  </r>
  <r>
    <s v="ORD00651"/>
    <d v="2025-12-09T00:00:00"/>
    <s v="C1149"/>
    <x v="124"/>
    <s v="P1004"/>
    <x v="4"/>
    <x v="0"/>
    <x v="3"/>
    <x v="4"/>
    <n v="5"/>
    <n v="3500"/>
    <n v="10"/>
    <n v="15750"/>
    <n v="12250"/>
    <n v="3500"/>
    <x v="3"/>
    <s v="Karnataka"/>
    <s v="South"/>
    <s v="UPI"/>
    <s v="Pending"/>
    <s v="No"/>
    <n v="2"/>
  </r>
  <r>
    <s v="ORD00652"/>
    <d v="2025-04-07T00:00:00"/>
    <s v="C1201"/>
    <x v="352"/>
    <s v="P1004"/>
    <x v="4"/>
    <x v="0"/>
    <x v="3"/>
    <x v="4"/>
    <n v="3"/>
    <n v="3500"/>
    <n v="10"/>
    <n v="9450"/>
    <n v="7349.9999999999991"/>
    <n v="2100.0000000000009"/>
    <x v="3"/>
    <s v="Karnataka"/>
    <s v="South"/>
    <s v="Cash"/>
    <s v="Delivered"/>
    <s v="No"/>
    <n v="5"/>
  </r>
  <r>
    <s v="ORD00653"/>
    <d v="2025-08-24T00:00:00"/>
    <s v="C1013"/>
    <x v="353"/>
    <s v="P1001"/>
    <x v="2"/>
    <x v="0"/>
    <x v="2"/>
    <x v="2"/>
    <n v="1"/>
    <n v="55000"/>
    <n v="15"/>
    <n v="46750"/>
    <n v="38500"/>
    <n v="8250"/>
    <x v="0"/>
    <s v="Delhi"/>
    <s v="North"/>
    <s v="UPI"/>
    <s v="Delivered"/>
    <s v="Yes"/>
    <n v="4"/>
  </r>
  <r>
    <s v="ORD00654"/>
    <d v="2025-06-06T00:00:00"/>
    <s v="C1900"/>
    <x v="354"/>
    <s v="P1003"/>
    <x v="3"/>
    <x v="0"/>
    <x v="0"/>
    <x v="3"/>
    <n v="4"/>
    <n v="1500"/>
    <n v="0"/>
    <n v="6000"/>
    <n v="4200"/>
    <n v="1800"/>
    <x v="0"/>
    <s v="Delhi"/>
    <s v="North"/>
    <s v="UPI"/>
    <s v="Delivered"/>
    <s v="Yes"/>
    <n v="3"/>
  </r>
  <r>
    <s v="ORD00655"/>
    <d v="2025-01-02T00:00:00"/>
    <s v="C1086"/>
    <x v="163"/>
    <s v="P1004"/>
    <x v="4"/>
    <x v="0"/>
    <x v="3"/>
    <x v="4"/>
    <n v="2"/>
    <n v="3500"/>
    <n v="15"/>
    <n v="5950"/>
    <n v="4900"/>
    <n v="1050"/>
    <x v="1"/>
    <s v="Gujarat"/>
    <s v="West"/>
    <s v="UPI"/>
    <s v="Pending"/>
    <s v="No"/>
    <n v="5"/>
  </r>
  <r>
    <s v="ORD00656"/>
    <d v="2025-12-02T00:00:00"/>
    <s v="C1552"/>
    <x v="271"/>
    <s v="P1001"/>
    <x v="2"/>
    <x v="0"/>
    <x v="2"/>
    <x v="2"/>
    <n v="5"/>
    <n v="55000"/>
    <n v="0"/>
    <n v="275000"/>
    <n v="192500"/>
    <n v="82500"/>
    <x v="2"/>
    <s v="Maharashtra"/>
    <s v="West"/>
    <s v="Cash"/>
    <s v="Delivered"/>
    <s v="Yes"/>
    <n v="1"/>
  </r>
  <r>
    <s v="ORD00657"/>
    <d v="2025-05-14T00:00:00"/>
    <s v="C1142"/>
    <x v="355"/>
    <s v="P1004"/>
    <x v="4"/>
    <x v="0"/>
    <x v="3"/>
    <x v="4"/>
    <n v="3"/>
    <n v="3500"/>
    <n v="15"/>
    <n v="8925"/>
    <n v="7349.9999999999991"/>
    <n v="1575.0000000000009"/>
    <x v="2"/>
    <s v="Maharashtra"/>
    <s v="West"/>
    <s v="Card"/>
    <s v="Cancelled"/>
    <s v="No"/>
    <n v="2"/>
  </r>
  <r>
    <s v="ORD00658"/>
    <d v="2025-02-25T00:00:00"/>
    <s v="C1577"/>
    <x v="283"/>
    <s v="P1004"/>
    <x v="4"/>
    <x v="0"/>
    <x v="3"/>
    <x v="4"/>
    <n v="3"/>
    <n v="3500"/>
    <n v="10"/>
    <n v="9450"/>
    <n v="7349.9999999999991"/>
    <n v="2100.0000000000009"/>
    <x v="1"/>
    <s v="Gujarat"/>
    <s v="West"/>
    <s v="UPI"/>
    <s v="Delivered"/>
    <s v="Yes"/>
    <n v="1"/>
  </r>
  <r>
    <s v="ORD00659"/>
    <d v="2025-12-13T00:00:00"/>
    <s v="C1352"/>
    <x v="347"/>
    <s v="P1001"/>
    <x v="2"/>
    <x v="0"/>
    <x v="2"/>
    <x v="2"/>
    <n v="3"/>
    <n v="55000"/>
    <n v="10"/>
    <n v="148500"/>
    <n v="115500"/>
    <n v="33000.000000000007"/>
    <x v="2"/>
    <s v="Maharashtra"/>
    <s v="West"/>
    <s v="Card"/>
    <s v="Cancelled"/>
    <s v="Yes"/>
    <n v="4"/>
  </r>
  <r>
    <s v="ORD00660"/>
    <d v="2025-07-11T00:00:00"/>
    <s v="C1149"/>
    <x v="356"/>
    <s v="P1002"/>
    <x v="0"/>
    <x v="0"/>
    <x v="0"/>
    <x v="0"/>
    <n v="3"/>
    <n v="800"/>
    <n v="5"/>
    <n v="2280"/>
    <n v="1680"/>
    <n v="600"/>
    <x v="3"/>
    <s v="Karnataka"/>
    <s v="South"/>
    <s v="Cash"/>
    <s v="Delivered"/>
    <s v="Yes"/>
    <n v="1"/>
  </r>
  <r>
    <s v="ORD00661"/>
    <d v="2025-07-20T00:00:00"/>
    <s v="C1555"/>
    <x v="199"/>
    <s v="P1004"/>
    <x v="4"/>
    <x v="0"/>
    <x v="3"/>
    <x v="4"/>
    <n v="2"/>
    <n v="3500"/>
    <n v="10"/>
    <n v="6300"/>
    <n v="4900"/>
    <n v="1400"/>
    <x v="0"/>
    <s v="Delhi"/>
    <s v="North"/>
    <s v="Card"/>
    <s v="Cancelled"/>
    <s v="Yes"/>
    <n v="1"/>
  </r>
  <r>
    <s v="ORD00662"/>
    <d v="2025-04-08T00:00:00"/>
    <s v="C1494"/>
    <x v="290"/>
    <s v="P1004"/>
    <x v="4"/>
    <x v="0"/>
    <x v="3"/>
    <x v="4"/>
    <n v="4"/>
    <n v="3500"/>
    <n v="10"/>
    <n v="12600"/>
    <n v="9800"/>
    <n v="2800"/>
    <x v="3"/>
    <s v="Karnataka"/>
    <s v="South"/>
    <s v="UPI"/>
    <s v="Delivered"/>
    <s v="No"/>
    <n v="3"/>
  </r>
  <r>
    <s v="ORD00663"/>
    <d v="2025-04-02T00:00:00"/>
    <s v="C1025"/>
    <x v="357"/>
    <s v="P1003"/>
    <x v="3"/>
    <x v="0"/>
    <x v="0"/>
    <x v="3"/>
    <n v="3"/>
    <n v="1500"/>
    <n v="5"/>
    <n v="4275"/>
    <n v="3150"/>
    <n v="1125"/>
    <x v="2"/>
    <s v="Maharashtra"/>
    <s v="West"/>
    <s v="Cash"/>
    <s v="Cancelled"/>
    <s v="Yes"/>
    <n v="5"/>
  </r>
  <r>
    <s v="ORD00664"/>
    <d v="2025-05-30T00:00:00"/>
    <s v="C1147"/>
    <x v="327"/>
    <s v="P1001"/>
    <x v="2"/>
    <x v="0"/>
    <x v="2"/>
    <x v="2"/>
    <n v="5"/>
    <n v="55000"/>
    <n v="15"/>
    <n v="233750"/>
    <n v="192500"/>
    <n v="41250"/>
    <x v="3"/>
    <s v="Karnataka"/>
    <s v="South"/>
    <s v="Cash"/>
    <s v="Delivered"/>
    <s v="Yes"/>
    <n v="4"/>
  </r>
  <r>
    <s v="ORD00665"/>
    <d v="2025-11-11T00:00:00"/>
    <s v="C1458"/>
    <x v="277"/>
    <s v="P1002"/>
    <x v="0"/>
    <x v="0"/>
    <x v="0"/>
    <x v="0"/>
    <n v="1"/>
    <n v="800"/>
    <n v="15"/>
    <n v="680"/>
    <n v="560"/>
    <n v="120"/>
    <x v="1"/>
    <s v="Gujarat"/>
    <s v="West"/>
    <s v="Cash"/>
    <s v="Delivered"/>
    <s v="No"/>
    <n v="1"/>
  </r>
  <r>
    <s v="ORD00666"/>
    <d v="2025-11-06T00:00:00"/>
    <s v="C1205"/>
    <x v="53"/>
    <s v="P1003"/>
    <x v="3"/>
    <x v="0"/>
    <x v="0"/>
    <x v="3"/>
    <n v="3"/>
    <n v="1500"/>
    <n v="15"/>
    <n v="3825"/>
    <n v="3150"/>
    <n v="675"/>
    <x v="0"/>
    <s v="Delhi"/>
    <s v="North"/>
    <s v="Cash"/>
    <s v="Cancelled"/>
    <s v="No"/>
    <n v="2"/>
  </r>
  <r>
    <s v="ORD00667"/>
    <d v="2025-07-17T00:00:00"/>
    <s v="C1722"/>
    <x v="358"/>
    <s v="P1001"/>
    <x v="2"/>
    <x v="0"/>
    <x v="2"/>
    <x v="2"/>
    <n v="2"/>
    <n v="55000"/>
    <n v="5"/>
    <n v="104500"/>
    <n v="77000"/>
    <n v="27500"/>
    <x v="1"/>
    <s v="Gujarat"/>
    <s v="West"/>
    <s v="UPI"/>
    <s v="Cancelled"/>
    <s v="Yes"/>
    <n v="3"/>
  </r>
  <r>
    <s v="ORD00668"/>
    <d v="2025-03-27T00:00:00"/>
    <s v="C1316"/>
    <x v="359"/>
    <s v="P1001"/>
    <x v="2"/>
    <x v="0"/>
    <x v="2"/>
    <x v="2"/>
    <n v="5"/>
    <n v="55000"/>
    <n v="0"/>
    <n v="275000"/>
    <n v="192500"/>
    <n v="82500"/>
    <x v="3"/>
    <s v="Karnataka"/>
    <s v="South"/>
    <s v="Card"/>
    <s v="Pending"/>
    <s v="Yes"/>
    <n v="3"/>
  </r>
  <r>
    <s v="ORD00669"/>
    <d v="2025-12-27T00:00:00"/>
    <s v="C1903"/>
    <x v="360"/>
    <s v="P1005"/>
    <x v="1"/>
    <x v="1"/>
    <x v="1"/>
    <x v="1"/>
    <n v="4"/>
    <n v="4500"/>
    <n v="15"/>
    <n v="15300"/>
    <n v="12600"/>
    <n v="2700"/>
    <x v="1"/>
    <s v="Gujarat"/>
    <s v="West"/>
    <s v="UPI"/>
    <s v="Delivered"/>
    <s v="No"/>
    <n v="4"/>
  </r>
  <r>
    <s v="ORD00670"/>
    <d v="2025-04-12T00:00:00"/>
    <s v="C1155"/>
    <x v="267"/>
    <s v="P1002"/>
    <x v="0"/>
    <x v="0"/>
    <x v="0"/>
    <x v="0"/>
    <n v="5"/>
    <n v="800"/>
    <n v="15"/>
    <n v="3400"/>
    <n v="2800"/>
    <n v="600"/>
    <x v="0"/>
    <s v="Delhi"/>
    <s v="North"/>
    <s v="Card"/>
    <s v="Cancelled"/>
    <s v="No"/>
    <n v="1"/>
  </r>
  <r>
    <s v="ORD00671"/>
    <d v="2025-09-11T00:00:00"/>
    <s v="C1355"/>
    <x v="143"/>
    <s v="P1004"/>
    <x v="4"/>
    <x v="0"/>
    <x v="3"/>
    <x v="4"/>
    <n v="2"/>
    <n v="3500"/>
    <n v="0"/>
    <n v="7000"/>
    <n v="4900"/>
    <n v="2100"/>
    <x v="2"/>
    <s v="Maharashtra"/>
    <s v="West"/>
    <s v="Card"/>
    <s v="Pending"/>
    <s v="Yes"/>
    <n v="3"/>
  </r>
  <r>
    <s v="ORD00672"/>
    <d v="2025-10-21T00:00:00"/>
    <s v="C1355"/>
    <x v="361"/>
    <s v="P1001"/>
    <x v="2"/>
    <x v="0"/>
    <x v="2"/>
    <x v="2"/>
    <n v="4"/>
    <n v="55000"/>
    <n v="0"/>
    <n v="220000"/>
    <n v="154000"/>
    <n v="66000"/>
    <x v="2"/>
    <s v="Maharashtra"/>
    <s v="West"/>
    <s v="UPI"/>
    <s v="Delivered"/>
    <s v="No"/>
    <n v="5"/>
  </r>
  <r>
    <s v="ORD00673"/>
    <d v="2025-03-15T00:00:00"/>
    <s v="C1329"/>
    <x v="22"/>
    <s v="P1005"/>
    <x v="1"/>
    <x v="1"/>
    <x v="1"/>
    <x v="1"/>
    <n v="4"/>
    <n v="4500"/>
    <n v="15"/>
    <n v="15300"/>
    <n v="12600"/>
    <n v="2700"/>
    <x v="1"/>
    <s v="Gujarat"/>
    <s v="West"/>
    <s v="Cash"/>
    <s v="Cancelled"/>
    <s v="No"/>
    <n v="1"/>
  </r>
  <r>
    <s v="ORD00674"/>
    <d v="2025-10-14T00:00:00"/>
    <s v="C1773"/>
    <x v="45"/>
    <s v="P1004"/>
    <x v="4"/>
    <x v="0"/>
    <x v="3"/>
    <x v="4"/>
    <n v="3"/>
    <n v="3500"/>
    <n v="15"/>
    <n v="8925"/>
    <n v="7349.9999999999991"/>
    <n v="1575.0000000000009"/>
    <x v="1"/>
    <s v="Gujarat"/>
    <s v="West"/>
    <s v="Card"/>
    <s v="Cancelled"/>
    <s v="Yes"/>
    <n v="3"/>
  </r>
  <r>
    <s v="ORD00675"/>
    <d v="2025-09-23T00:00:00"/>
    <s v="C1226"/>
    <x v="221"/>
    <s v="P1004"/>
    <x v="4"/>
    <x v="0"/>
    <x v="3"/>
    <x v="4"/>
    <n v="4"/>
    <n v="3500"/>
    <n v="10"/>
    <n v="12600"/>
    <n v="9800"/>
    <n v="2800"/>
    <x v="1"/>
    <s v="Gujarat"/>
    <s v="West"/>
    <s v="UPI"/>
    <s v="Pending"/>
    <s v="Yes"/>
    <n v="5"/>
  </r>
  <r>
    <s v="ORD00676"/>
    <d v="2025-06-11T00:00:00"/>
    <s v="C1508"/>
    <x v="167"/>
    <s v="P1001"/>
    <x v="2"/>
    <x v="0"/>
    <x v="2"/>
    <x v="2"/>
    <n v="3"/>
    <n v="55000"/>
    <n v="15"/>
    <n v="140250"/>
    <n v="115500"/>
    <n v="24750.000000000011"/>
    <x v="0"/>
    <s v="Delhi"/>
    <s v="North"/>
    <s v="Cash"/>
    <s v="Cancelled"/>
    <s v="Yes"/>
    <n v="4"/>
  </r>
  <r>
    <s v="ORD00677"/>
    <d v="2025-11-22T00:00:00"/>
    <s v="C1628"/>
    <x v="59"/>
    <s v="P1001"/>
    <x v="2"/>
    <x v="0"/>
    <x v="2"/>
    <x v="2"/>
    <n v="2"/>
    <n v="55000"/>
    <n v="5"/>
    <n v="104500"/>
    <n v="77000"/>
    <n v="27500"/>
    <x v="3"/>
    <s v="Karnataka"/>
    <s v="South"/>
    <s v="Card"/>
    <s v="Pending"/>
    <s v="No"/>
    <n v="1"/>
  </r>
  <r>
    <s v="ORD00678"/>
    <d v="2025-12-02T00:00:00"/>
    <s v="C1924"/>
    <x v="311"/>
    <s v="P1003"/>
    <x v="3"/>
    <x v="0"/>
    <x v="0"/>
    <x v="3"/>
    <n v="4"/>
    <n v="1500"/>
    <n v="5"/>
    <n v="5700"/>
    <n v="4200"/>
    <n v="1500"/>
    <x v="1"/>
    <s v="Gujarat"/>
    <s v="West"/>
    <s v="Card"/>
    <s v="Delivered"/>
    <s v="No"/>
    <n v="2"/>
  </r>
  <r>
    <s v="ORD00679"/>
    <d v="2025-01-18T00:00:00"/>
    <s v="C1627"/>
    <x v="247"/>
    <s v="P1001"/>
    <x v="2"/>
    <x v="0"/>
    <x v="2"/>
    <x v="2"/>
    <n v="1"/>
    <n v="55000"/>
    <n v="0"/>
    <n v="55000"/>
    <n v="38500"/>
    <n v="16500"/>
    <x v="0"/>
    <s v="Delhi"/>
    <s v="North"/>
    <s v="Card"/>
    <s v="Pending"/>
    <s v="No"/>
    <n v="3"/>
  </r>
  <r>
    <s v="ORD00680"/>
    <d v="2025-07-11T00:00:00"/>
    <s v="C1113"/>
    <x v="110"/>
    <s v="P1001"/>
    <x v="2"/>
    <x v="0"/>
    <x v="2"/>
    <x v="2"/>
    <n v="1"/>
    <n v="55000"/>
    <n v="15"/>
    <n v="46750"/>
    <n v="38500"/>
    <n v="8250"/>
    <x v="0"/>
    <s v="Delhi"/>
    <s v="North"/>
    <s v="Card"/>
    <s v="Delivered"/>
    <s v="Yes"/>
    <n v="1"/>
  </r>
  <r>
    <s v="ORD00681"/>
    <d v="2025-01-21T00:00:00"/>
    <s v="C1772"/>
    <x v="230"/>
    <s v="P1002"/>
    <x v="0"/>
    <x v="0"/>
    <x v="0"/>
    <x v="0"/>
    <n v="1"/>
    <n v="800"/>
    <n v="0"/>
    <n v="800"/>
    <n v="560"/>
    <n v="240"/>
    <x v="0"/>
    <s v="Delhi"/>
    <s v="North"/>
    <s v="UPI"/>
    <s v="Delivered"/>
    <s v="Yes"/>
    <n v="1"/>
  </r>
  <r>
    <s v="ORD00682"/>
    <d v="2025-03-24T00:00:00"/>
    <s v="C1269"/>
    <x v="18"/>
    <s v="P1004"/>
    <x v="4"/>
    <x v="0"/>
    <x v="3"/>
    <x v="4"/>
    <n v="1"/>
    <n v="3500"/>
    <n v="5"/>
    <n v="3325"/>
    <n v="2450"/>
    <n v="875"/>
    <x v="3"/>
    <s v="Karnataka"/>
    <s v="South"/>
    <s v="Cash"/>
    <s v="Pending"/>
    <s v="Yes"/>
    <n v="5"/>
  </r>
  <r>
    <s v="ORD00683"/>
    <d v="2025-10-11T00:00:00"/>
    <s v="C1927"/>
    <x v="249"/>
    <s v="P1003"/>
    <x v="3"/>
    <x v="0"/>
    <x v="0"/>
    <x v="3"/>
    <n v="4"/>
    <n v="1500"/>
    <n v="5"/>
    <n v="5700"/>
    <n v="4200"/>
    <n v="1500"/>
    <x v="2"/>
    <s v="Maharashtra"/>
    <s v="West"/>
    <s v="UPI"/>
    <s v="Cancelled"/>
    <s v="No"/>
    <n v="1"/>
  </r>
  <r>
    <s v="ORD00684"/>
    <d v="2025-08-22T00:00:00"/>
    <s v="C1874"/>
    <x v="223"/>
    <s v="P1004"/>
    <x v="4"/>
    <x v="0"/>
    <x v="3"/>
    <x v="4"/>
    <n v="1"/>
    <n v="3500"/>
    <n v="15"/>
    <n v="2975"/>
    <n v="2450"/>
    <n v="525"/>
    <x v="0"/>
    <s v="Delhi"/>
    <s v="North"/>
    <s v="UPI"/>
    <s v="Pending"/>
    <s v="Yes"/>
    <n v="3"/>
  </r>
  <r>
    <s v="ORD00685"/>
    <d v="2025-06-27T00:00:00"/>
    <s v="C1617"/>
    <x v="362"/>
    <s v="P1001"/>
    <x v="2"/>
    <x v="0"/>
    <x v="2"/>
    <x v="2"/>
    <n v="2"/>
    <n v="55000"/>
    <n v="10"/>
    <n v="99000"/>
    <n v="77000"/>
    <n v="22000"/>
    <x v="1"/>
    <s v="Gujarat"/>
    <s v="West"/>
    <s v="Cash"/>
    <s v="Pending"/>
    <s v="No"/>
    <n v="3"/>
  </r>
  <r>
    <s v="ORD00686"/>
    <d v="2025-08-07T00:00:00"/>
    <s v="C1862"/>
    <x v="223"/>
    <s v="P1002"/>
    <x v="0"/>
    <x v="0"/>
    <x v="0"/>
    <x v="0"/>
    <n v="2"/>
    <n v="800"/>
    <n v="5"/>
    <n v="1520"/>
    <n v="1120"/>
    <n v="400"/>
    <x v="3"/>
    <s v="Karnataka"/>
    <s v="South"/>
    <s v="Card"/>
    <s v="Cancelled"/>
    <s v="No"/>
    <n v="4"/>
  </r>
  <r>
    <s v="ORD00687"/>
    <d v="2025-09-26T00:00:00"/>
    <s v="C1379"/>
    <x v="141"/>
    <s v="P1002"/>
    <x v="0"/>
    <x v="0"/>
    <x v="0"/>
    <x v="0"/>
    <n v="3"/>
    <n v="800"/>
    <n v="5"/>
    <n v="2280"/>
    <n v="1680"/>
    <n v="600"/>
    <x v="3"/>
    <s v="Karnataka"/>
    <s v="South"/>
    <s v="UPI"/>
    <s v="Cancelled"/>
    <s v="No"/>
    <n v="5"/>
  </r>
  <r>
    <s v="ORD00688"/>
    <d v="2025-05-11T00:00:00"/>
    <s v="C1148"/>
    <x v="93"/>
    <s v="P1004"/>
    <x v="4"/>
    <x v="0"/>
    <x v="3"/>
    <x v="4"/>
    <n v="5"/>
    <n v="3500"/>
    <n v="0"/>
    <n v="17500"/>
    <n v="12250"/>
    <n v="5250"/>
    <x v="0"/>
    <s v="Delhi"/>
    <s v="North"/>
    <s v="Cash"/>
    <s v="Pending"/>
    <s v="No"/>
    <n v="5"/>
  </r>
  <r>
    <s v="ORD00689"/>
    <d v="2025-09-22T00:00:00"/>
    <s v="C1053"/>
    <x v="261"/>
    <s v="P1001"/>
    <x v="2"/>
    <x v="0"/>
    <x v="2"/>
    <x v="2"/>
    <n v="1"/>
    <n v="55000"/>
    <n v="15"/>
    <n v="46750"/>
    <n v="38500"/>
    <n v="8250"/>
    <x v="0"/>
    <s v="Delhi"/>
    <s v="North"/>
    <s v="UPI"/>
    <s v="Cancelled"/>
    <s v="Yes"/>
    <n v="3"/>
  </r>
  <r>
    <s v="ORD00690"/>
    <d v="2025-05-18T00:00:00"/>
    <s v="C1180"/>
    <x v="128"/>
    <s v="P1005"/>
    <x v="1"/>
    <x v="1"/>
    <x v="1"/>
    <x v="1"/>
    <n v="1"/>
    <n v="4500"/>
    <n v="15"/>
    <n v="3825"/>
    <n v="3150"/>
    <n v="675"/>
    <x v="3"/>
    <s v="Karnataka"/>
    <s v="South"/>
    <s v="UPI"/>
    <s v="Cancelled"/>
    <s v="Yes"/>
    <n v="2"/>
  </r>
  <r>
    <s v="ORD00691"/>
    <d v="2025-05-02T00:00:00"/>
    <s v="C1545"/>
    <x v="10"/>
    <s v="P1003"/>
    <x v="3"/>
    <x v="0"/>
    <x v="0"/>
    <x v="3"/>
    <n v="1"/>
    <n v="1500"/>
    <n v="0"/>
    <n v="1500"/>
    <n v="1050"/>
    <n v="450"/>
    <x v="0"/>
    <s v="Delhi"/>
    <s v="North"/>
    <s v="Cash"/>
    <s v="Pending"/>
    <s v="Yes"/>
    <n v="2"/>
  </r>
  <r>
    <s v="ORD00692"/>
    <d v="2025-12-27T00:00:00"/>
    <s v="C1205"/>
    <x v="95"/>
    <s v="P1003"/>
    <x v="3"/>
    <x v="0"/>
    <x v="0"/>
    <x v="3"/>
    <n v="3"/>
    <n v="1500"/>
    <n v="5"/>
    <n v="4275"/>
    <n v="3150"/>
    <n v="1125"/>
    <x v="3"/>
    <s v="Karnataka"/>
    <s v="South"/>
    <s v="Card"/>
    <s v="Delivered"/>
    <s v="No"/>
    <n v="4"/>
  </r>
  <r>
    <s v="ORD00693"/>
    <d v="2025-05-30T00:00:00"/>
    <s v="C1658"/>
    <x v="77"/>
    <s v="P1002"/>
    <x v="0"/>
    <x v="0"/>
    <x v="0"/>
    <x v="0"/>
    <n v="2"/>
    <n v="800"/>
    <n v="10"/>
    <n v="1440"/>
    <n v="1120"/>
    <n v="320"/>
    <x v="1"/>
    <s v="Gujarat"/>
    <s v="West"/>
    <s v="Card"/>
    <s v="Pending"/>
    <s v="Yes"/>
    <n v="5"/>
  </r>
  <r>
    <s v="ORD00694"/>
    <d v="2025-07-18T00:00:00"/>
    <s v="C1835"/>
    <x v="51"/>
    <s v="P1003"/>
    <x v="3"/>
    <x v="0"/>
    <x v="0"/>
    <x v="3"/>
    <n v="3"/>
    <n v="1500"/>
    <n v="0"/>
    <n v="4500"/>
    <n v="3150"/>
    <n v="1350"/>
    <x v="0"/>
    <s v="Delhi"/>
    <s v="North"/>
    <s v="Card"/>
    <s v="Pending"/>
    <s v="No"/>
    <n v="1"/>
  </r>
  <r>
    <s v="ORD00695"/>
    <d v="2025-11-12T00:00:00"/>
    <s v="C1793"/>
    <x v="220"/>
    <s v="P1003"/>
    <x v="3"/>
    <x v="0"/>
    <x v="0"/>
    <x v="3"/>
    <n v="1"/>
    <n v="1500"/>
    <n v="0"/>
    <n v="1500"/>
    <n v="1050"/>
    <n v="450"/>
    <x v="1"/>
    <s v="Gujarat"/>
    <s v="West"/>
    <s v="Cash"/>
    <s v="Delivered"/>
    <s v="No"/>
    <n v="5"/>
  </r>
  <r>
    <s v="ORD00696"/>
    <d v="2025-04-23T00:00:00"/>
    <s v="C1826"/>
    <x v="114"/>
    <s v="P1005"/>
    <x v="1"/>
    <x v="1"/>
    <x v="1"/>
    <x v="1"/>
    <n v="3"/>
    <n v="4500"/>
    <n v="0"/>
    <n v="13500"/>
    <n v="9450"/>
    <n v="4050"/>
    <x v="3"/>
    <s v="Karnataka"/>
    <s v="South"/>
    <s v="Card"/>
    <s v="Cancelled"/>
    <s v="Yes"/>
    <n v="3"/>
  </r>
  <r>
    <s v="ORD00697"/>
    <d v="2025-02-27T00:00:00"/>
    <s v="C1045"/>
    <x v="17"/>
    <s v="P1005"/>
    <x v="1"/>
    <x v="1"/>
    <x v="1"/>
    <x v="1"/>
    <n v="3"/>
    <n v="4500"/>
    <n v="15"/>
    <n v="11475"/>
    <n v="9450"/>
    <n v="2025"/>
    <x v="0"/>
    <s v="Delhi"/>
    <s v="North"/>
    <s v="Cash"/>
    <s v="Delivered"/>
    <s v="No"/>
    <n v="3"/>
  </r>
  <r>
    <s v="ORD00698"/>
    <d v="2025-05-11T00:00:00"/>
    <s v="C1453"/>
    <x v="363"/>
    <s v="P1002"/>
    <x v="0"/>
    <x v="0"/>
    <x v="0"/>
    <x v="0"/>
    <n v="4"/>
    <n v="800"/>
    <n v="15"/>
    <n v="2720"/>
    <n v="2240"/>
    <n v="480"/>
    <x v="0"/>
    <s v="Delhi"/>
    <s v="North"/>
    <s v="Cash"/>
    <s v="Pending"/>
    <s v="Yes"/>
    <n v="3"/>
  </r>
  <r>
    <s v="ORD00699"/>
    <d v="2025-04-30T00:00:00"/>
    <s v="C1577"/>
    <x v="364"/>
    <s v="P1005"/>
    <x v="1"/>
    <x v="1"/>
    <x v="1"/>
    <x v="1"/>
    <n v="1"/>
    <n v="4500"/>
    <n v="15"/>
    <n v="3825"/>
    <n v="3150"/>
    <n v="675"/>
    <x v="0"/>
    <s v="Delhi"/>
    <s v="North"/>
    <s v="Card"/>
    <s v="Delivered"/>
    <s v="Yes"/>
    <n v="4"/>
  </r>
  <r>
    <s v="ORD00700"/>
    <d v="2025-11-14T00:00:00"/>
    <s v="C1011"/>
    <x v="172"/>
    <s v="P1002"/>
    <x v="0"/>
    <x v="0"/>
    <x v="0"/>
    <x v="0"/>
    <n v="1"/>
    <n v="800"/>
    <n v="15"/>
    <n v="680"/>
    <n v="560"/>
    <n v="120"/>
    <x v="3"/>
    <s v="Karnataka"/>
    <s v="South"/>
    <s v="Card"/>
    <s v="Delivered"/>
    <s v="Yes"/>
    <n v="5"/>
  </r>
  <r>
    <s v="ORD00701"/>
    <d v="2025-06-17T00:00:00"/>
    <s v="C1014"/>
    <x v="8"/>
    <s v="P1004"/>
    <x v="4"/>
    <x v="0"/>
    <x v="3"/>
    <x v="4"/>
    <n v="2"/>
    <n v="3500"/>
    <n v="15"/>
    <n v="5950"/>
    <n v="4900"/>
    <n v="1050"/>
    <x v="2"/>
    <s v="Maharashtra"/>
    <s v="West"/>
    <s v="UPI"/>
    <s v="Pending"/>
    <s v="No"/>
    <n v="5"/>
  </r>
  <r>
    <s v="ORD00702"/>
    <d v="2025-03-08T00:00:00"/>
    <s v="C1961"/>
    <x v="365"/>
    <s v="P1001"/>
    <x v="2"/>
    <x v="0"/>
    <x v="2"/>
    <x v="2"/>
    <n v="5"/>
    <n v="55000"/>
    <n v="10"/>
    <n v="247500"/>
    <n v="192500"/>
    <n v="55000"/>
    <x v="1"/>
    <s v="Gujarat"/>
    <s v="West"/>
    <s v="Card"/>
    <s v="Pending"/>
    <s v="Yes"/>
    <n v="2"/>
  </r>
  <r>
    <s v="ORD00703"/>
    <d v="2025-11-03T00:00:00"/>
    <s v="C1823"/>
    <x v="366"/>
    <s v="P1001"/>
    <x v="2"/>
    <x v="0"/>
    <x v="2"/>
    <x v="2"/>
    <n v="1"/>
    <n v="55000"/>
    <n v="10"/>
    <n v="49500"/>
    <n v="38500"/>
    <n v="11000"/>
    <x v="3"/>
    <s v="Karnataka"/>
    <s v="South"/>
    <s v="Cash"/>
    <s v="Cancelled"/>
    <s v="No"/>
    <n v="4"/>
  </r>
  <r>
    <s v="ORD00704"/>
    <d v="2025-12-08T00:00:00"/>
    <s v="C1314"/>
    <x v="367"/>
    <s v="P1001"/>
    <x v="2"/>
    <x v="0"/>
    <x v="2"/>
    <x v="2"/>
    <n v="3"/>
    <n v="55000"/>
    <n v="0"/>
    <n v="165000"/>
    <n v="115500"/>
    <n v="49500.000000000007"/>
    <x v="3"/>
    <s v="Karnataka"/>
    <s v="South"/>
    <s v="UPI"/>
    <s v="Cancelled"/>
    <s v="Yes"/>
    <n v="5"/>
  </r>
  <r>
    <s v="ORD00705"/>
    <d v="2025-09-09T00:00:00"/>
    <s v="C1866"/>
    <x v="368"/>
    <s v="P1003"/>
    <x v="3"/>
    <x v="0"/>
    <x v="0"/>
    <x v="3"/>
    <n v="3"/>
    <n v="1500"/>
    <n v="15"/>
    <n v="3825"/>
    <n v="3150"/>
    <n v="675"/>
    <x v="0"/>
    <s v="Delhi"/>
    <s v="North"/>
    <s v="UPI"/>
    <s v="Delivered"/>
    <s v="Yes"/>
    <n v="3"/>
  </r>
  <r>
    <s v="ORD00706"/>
    <d v="2025-12-16T00:00:00"/>
    <s v="C1744"/>
    <x v="269"/>
    <s v="P1002"/>
    <x v="0"/>
    <x v="0"/>
    <x v="0"/>
    <x v="0"/>
    <n v="5"/>
    <n v="800"/>
    <n v="10"/>
    <n v="3600"/>
    <n v="2800"/>
    <n v="800"/>
    <x v="2"/>
    <s v="Maharashtra"/>
    <s v="West"/>
    <s v="UPI"/>
    <s v="Pending"/>
    <s v="No"/>
    <n v="4"/>
  </r>
  <r>
    <s v="ORD00707"/>
    <d v="2025-12-13T00:00:00"/>
    <s v="C1256"/>
    <x v="369"/>
    <s v="P1002"/>
    <x v="0"/>
    <x v="0"/>
    <x v="0"/>
    <x v="0"/>
    <n v="3"/>
    <n v="800"/>
    <n v="5"/>
    <n v="2280"/>
    <n v="1680"/>
    <n v="600"/>
    <x v="1"/>
    <s v="Gujarat"/>
    <s v="West"/>
    <s v="UPI"/>
    <s v="Delivered"/>
    <s v="Yes"/>
    <n v="1"/>
  </r>
  <r>
    <s v="ORD00708"/>
    <d v="2025-12-30T00:00:00"/>
    <s v="C1756"/>
    <x v="370"/>
    <s v="P1003"/>
    <x v="3"/>
    <x v="0"/>
    <x v="0"/>
    <x v="3"/>
    <n v="2"/>
    <n v="1500"/>
    <n v="15"/>
    <n v="2550"/>
    <n v="2100"/>
    <n v="450"/>
    <x v="2"/>
    <s v="Maharashtra"/>
    <s v="West"/>
    <s v="UPI"/>
    <s v="Delivered"/>
    <s v="No"/>
    <n v="1"/>
  </r>
  <r>
    <s v="ORD00709"/>
    <d v="2025-01-22T00:00:00"/>
    <s v="C1518"/>
    <x v="42"/>
    <s v="P1002"/>
    <x v="0"/>
    <x v="0"/>
    <x v="0"/>
    <x v="0"/>
    <n v="2"/>
    <n v="800"/>
    <n v="15"/>
    <n v="1360"/>
    <n v="1120"/>
    <n v="240"/>
    <x v="0"/>
    <s v="Delhi"/>
    <s v="North"/>
    <s v="UPI"/>
    <s v="Cancelled"/>
    <s v="Yes"/>
    <n v="4"/>
  </r>
  <r>
    <s v="ORD00710"/>
    <d v="2025-11-21T00:00:00"/>
    <s v="C1409"/>
    <x v="255"/>
    <s v="P1005"/>
    <x v="1"/>
    <x v="1"/>
    <x v="1"/>
    <x v="1"/>
    <n v="3"/>
    <n v="4500"/>
    <n v="10"/>
    <n v="12150"/>
    <n v="9450"/>
    <n v="2700"/>
    <x v="0"/>
    <s v="Delhi"/>
    <s v="North"/>
    <s v="UPI"/>
    <s v="Pending"/>
    <s v="No"/>
    <n v="2"/>
  </r>
  <r>
    <s v="ORD00711"/>
    <d v="2025-10-11T00:00:00"/>
    <s v="C1097"/>
    <x v="117"/>
    <s v="P1001"/>
    <x v="2"/>
    <x v="0"/>
    <x v="2"/>
    <x v="2"/>
    <n v="1"/>
    <n v="55000"/>
    <n v="0"/>
    <n v="55000"/>
    <n v="38500"/>
    <n v="16500"/>
    <x v="1"/>
    <s v="Gujarat"/>
    <s v="West"/>
    <s v="Cash"/>
    <s v="Pending"/>
    <s v="Yes"/>
    <n v="1"/>
  </r>
  <r>
    <s v="ORD00712"/>
    <d v="2025-09-06T00:00:00"/>
    <s v="C1175"/>
    <x v="86"/>
    <s v="P1005"/>
    <x v="1"/>
    <x v="1"/>
    <x v="1"/>
    <x v="1"/>
    <n v="4"/>
    <n v="4500"/>
    <n v="10"/>
    <n v="16200"/>
    <n v="12600"/>
    <n v="3600"/>
    <x v="3"/>
    <s v="Karnataka"/>
    <s v="South"/>
    <s v="Cash"/>
    <s v="Delivered"/>
    <s v="No"/>
    <n v="2"/>
  </r>
  <r>
    <s v="ORD00713"/>
    <d v="2025-11-01T00:00:00"/>
    <s v="C1739"/>
    <x v="326"/>
    <s v="P1003"/>
    <x v="3"/>
    <x v="0"/>
    <x v="0"/>
    <x v="3"/>
    <n v="5"/>
    <n v="1500"/>
    <n v="5"/>
    <n v="7125"/>
    <n v="5250"/>
    <n v="1875"/>
    <x v="3"/>
    <s v="Karnataka"/>
    <s v="South"/>
    <s v="UPI"/>
    <s v="Cancelled"/>
    <s v="No"/>
    <n v="2"/>
  </r>
  <r>
    <s v="ORD00714"/>
    <d v="2025-10-02T00:00:00"/>
    <s v="C1188"/>
    <x v="165"/>
    <s v="P1002"/>
    <x v="0"/>
    <x v="0"/>
    <x v="0"/>
    <x v="0"/>
    <n v="4"/>
    <n v="800"/>
    <n v="5"/>
    <n v="3040"/>
    <n v="2240"/>
    <n v="800"/>
    <x v="0"/>
    <s v="Delhi"/>
    <s v="North"/>
    <s v="Card"/>
    <s v="Cancelled"/>
    <s v="Yes"/>
    <n v="5"/>
  </r>
  <r>
    <s v="ORD00715"/>
    <d v="2025-11-15T00:00:00"/>
    <s v="C1391"/>
    <x v="281"/>
    <s v="P1004"/>
    <x v="4"/>
    <x v="0"/>
    <x v="3"/>
    <x v="4"/>
    <n v="4"/>
    <n v="3500"/>
    <n v="5"/>
    <n v="13300"/>
    <n v="9800"/>
    <n v="3500"/>
    <x v="3"/>
    <s v="Karnataka"/>
    <s v="South"/>
    <s v="Cash"/>
    <s v="Delivered"/>
    <s v="Yes"/>
    <n v="1"/>
  </r>
  <r>
    <s v="ORD00716"/>
    <d v="2025-12-16T00:00:00"/>
    <s v="C1609"/>
    <x v="10"/>
    <s v="P1003"/>
    <x v="3"/>
    <x v="0"/>
    <x v="0"/>
    <x v="3"/>
    <n v="3"/>
    <n v="1500"/>
    <n v="15"/>
    <n v="3825"/>
    <n v="3150"/>
    <n v="675"/>
    <x v="2"/>
    <s v="Maharashtra"/>
    <s v="West"/>
    <s v="UPI"/>
    <s v="Pending"/>
    <s v="No"/>
    <n v="3"/>
  </r>
  <r>
    <s v="ORD00717"/>
    <d v="2025-11-12T00:00:00"/>
    <s v="C1473"/>
    <x v="299"/>
    <s v="P1004"/>
    <x v="4"/>
    <x v="0"/>
    <x v="3"/>
    <x v="4"/>
    <n v="2"/>
    <n v="3500"/>
    <n v="5"/>
    <n v="6650"/>
    <n v="4900"/>
    <n v="1750"/>
    <x v="1"/>
    <s v="Gujarat"/>
    <s v="West"/>
    <s v="Cash"/>
    <s v="Pending"/>
    <s v="Yes"/>
    <n v="5"/>
  </r>
  <r>
    <s v="ORD00718"/>
    <d v="2025-08-14T00:00:00"/>
    <s v="C1909"/>
    <x v="371"/>
    <s v="P1005"/>
    <x v="1"/>
    <x v="1"/>
    <x v="1"/>
    <x v="1"/>
    <n v="5"/>
    <n v="4500"/>
    <n v="10"/>
    <n v="20250"/>
    <n v="15750"/>
    <n v="4500.0000000000018"/>
    <x v="2"/>
    <s v="Maharashtra"/>
    <s v="West"/>
    <s v="Card"/>
    <s v="Pending"/>
    <s v="Yes"/>
    <n v="1"/>
  </r>
  <r>
    <s v="ORD00719"/>
    <d v="2025-11-16T00:00:00"/>
    <s v="C1863"/>
    <x v="372"/>
    <s v="P1005"/>
    <x v="1"/>
    <x v="1"/>
    <x v="1"/>
    <x v="1"/>
    <n v="4"/>
    <n v="4500"/>
    <n v="5"/>
    <n v="17100"/>
    <n v="12600"/>
    <n v="4500"/>
    <x v="0"/>
    <s v="Delhi"/>
    <s v="North"/>
    <s v="UPI"/>
    <s v="Delivered"/>
    <s v="No"/>
    <n v="3"/>
  </r>
  <r>
    <s v="ORD00720"/>
    <d v="2025-04-28T00:00:00"/>
    <s v="C1388"/>
    <x v="62"/>
    <s v="P1005"/>
    <x v="1"/>
    <x v="1"/>
    <x v="1"/>
    <x v="1"/>
    <n v="3"/>
    <n v="4500"/>
    <n v="10"/>
    <n v="12150"/>
    <n v="9450"/>
    <n v="2700"/>
    <x v="3"/>
    <s v="Karnataka"/>
    <s v="South"/>
    <s v="Card"/>
    <s v="Cancelled"/>
    <s v="No"/>
    <n v="1"/>
  </r>
  <r>
    <s v="ORD00721"/>
    <d v="2025-04-05T00:00:00"/>
    <s v="C1430"/>
    <x v="271"/>
    <s v="P1001"/>
    <x v="2"/>
    <x v="0"/>
    <x v="2"/>
    <x v="2"/>
    <n v="5"/>
    <n v="55000"/>
    <n v="10"/>
    <n v="247500"/>
    <n v="192500"/>
    <n v="55000"/>
    <x v="2"/>
    <s v="Maharashtra"/>
    <s v="West"/>
    <s v="UPI"/>
    <s v="Delivered"/>
    <s v="Yes"/>
    <n v="3"/>
  </r>
  <r>
    <s v="ORD00722"/>
    <d v="2025-02-13T00:00:00"/>
    <s v="C1289"/>
    <x v="201"/>
    <s v="P1004"/>
    <x v="4"/>
    <x v="0"/>
    <x v="3"/>
    <x v="4"/>
    <n v="3"/>
    <n v="3500"/>
    <n v="10"/>
    <n v="9450"/>
    <n v="7349.9999999999991"/>
    <n v="2100.0000000000009"/>
    <x v="0"/>
    <s v="Delhi"/>
    <s v="North"/>
    <s v="Cash"/>
    <s v="Delivered"/>
    <s v="No"/>
    <n v="1"/>
  </r>
  <r>
    <s v="ORD00723"/>
    <d v="2025-11-11T00:00:00"/>
    <s v="C1011"/>
    <x v="197"/>
    <s v="P1003"/>
    <x v="3"/>
    <x v="0"/>
    <x v="0"/>
    <x v="3"/>
    <n v="5"/>
    <n v="1500"/>
    <n v="5"/>
    <n v="7125"/>
    <n v="5250"/>
    <n v="1875"/>
    <x v="0"/>
    <s v="Delhi"/>
    <s v="North"/>
    <s v="Cash"/>
    <s v="Delivered"/>
    <s v="Yes"/>
    <n v="4"/>
  </r>
  <r>
    <s v="ORD00724"/>
    <d v="2025-08-05T00:00:00"/>
    <s v="C1869"/>
    <x v="258"/>
    <s v="P1004"/>
    <x v="4"/>
    <x v="0"/>
    <x v="3"/>
    <x v="4"/>
    <n v="4"/>
    <n v="3500"/>
    <n v="5"/>
    <n v="13300"/>
    <n v="9800"/>
    <n v="3500"/>
    <x v="2"/>
    <s v="Maharashtra"/>
    <s v="West"/>
    <s v="Card"/>
    <s v="Cancelled"/>
    <s v="Yes"/>
    <n v="5"/>
  </r>
  <r>
    <s v="ORD00725"/>
    <d v="2025-05-17T00:00:00"/>
    <s v="C1944"/>
    <x v="129"/>
    <s v="P1004"/>
    <x v="4"/>
    <x v="0"/>
    <x v="3"/>
    <x v="4"/>
    <n v="1"/>
    <n v="3500"/>
    <n v="10"/>
    <n v="3150"/>
    <n v="2450"/>
    <n v="700"/>
    <x v="3"/>
    <s v="Karnataka"/>
    <s v="South"/>
    <s v="Card"/>
    <s v="Pending"/>
    <s v="No"/>
    <n v="5"/>
  </r>
  <r>
    <s v="ORD00726"/>
    <d v="2025-10-20T00:00:00"/>
    <s v="C1278"/>
    <x v="72"/>
    <s v="P1002"/>
    <x v="0"/>
    <x v="0"/>
    <x v="0"/>
    <x v="0"/>
    <n v="5"/>
    <n v="800"/>
    <n v="5"/>
    <n v="3800"/>
    <n v="2800"/>
    <n v="1000"/>
    <x v="3"/>
    <s v="Karnataka"/>
    <s v="South"/>
    <s v="Cash"/>
    <s v="Cancelled"/>
    <s v="Yes"/>
    <n v="1"/>
  </r>
  <r>
    <s v="ORD00727"/>
    <d v="2025-07-13T00:00:00"/>
    <s v="C1160"/>
    <x v="373"/>
    <s v="P1004"/>
    <x v="4"/>
    <x v="0"/>
    <x v="3"/>
    <x v="4"/>
    <n v="3"/>
    <n v="3500"/>
    <n v="15"/>
    <n v="8925"/>
    <n v="7349.9999999999991"/>
    <n v="1575.0000000000009"/>
    <x v="0"/>
    <s v="Delhi"/>
    <s v="North"/>
    <s v="Card"/>
    <s v="Delivered"/>
    <s v="No"/>
    <n v="1"/>
  </r>
  <r>
    <s v="ORD00728"/>
    <d v="2025-08-24T00:00:00"/>
    <s v="C1296"/>
    <x v="374"/>
    <s v="P1005"/>
    <x v="1"/>
    <x v="1"/>
    <x v="1"/>
    <x v="1"/>
    <n v="1"/>
    <n v="4500"/>
    <n v="10"/>
    <n v="4050"/>
    <n v="3150"/>
    <n v="900"/>
    <x v="2"/>
    <s v="Maharashtra"/>
    <s v="West"/>
    <s v="UPI"/>
    <s v="Delivered"/>
    <s v="Yes"/>
    <n v="3"/>
  </r>
  <r>
    <s v="ORD00729"/>
    <d v="2025-12-07T00:00:00"/>
    <s v="C1121"/>
    <x v="259"/>
    <s v="P1002"/>
    <x v="0"/>
    <x v="0"/>
    <x v="0"/>
    <x v="0"/>
    <n v="1"/>
    <n v="800"/>
    <n v="0"/>
    <n v="800"/>
    <n v="560"/>
    <n v="240"/>
    <x v="1"/>
    <s v="Gujarat"/>
    <s v="West"/>
    <s v="UPI"/>
    <s v="Delivered"/>
    <s v="Yes"/>
    <n v="5"/>
  </r>
  <r>
    <s v="ORD00730"/>
    <d v="2025-10-11T00:00:00"/>
    <s v="C1604"/>
    <x v="114"/>
    <s v="P1001"/>
    <x v="2"/>
    <x v="0"/>
    <x v="2"/>
    <x v="2"/>
    <n v="5"/>
    <n v="55000"/>
    <n v="15"/>
    <n v="233750"/>
    <n v="192500"/>
    <n v="41250"/>
    <x v="1"/>
    <s v="Gujarat"/>
    <s v="West"/>
    <s v="Card"/>
    <s v="Cancelled"/>
    <s v="Yes"/>
    <n v="2"/>
  </r>
  <r>
    <s v="ORD00731"/>
    <d v="2025-10-22T00:00:00"/>
    <s v="C1557"/>
    <x v="85"/>
    <s v="P1003"/>
    <x v="3"/>
    <x v="0"/>
    <x v="0"/>
    <x v="3"/>
    <n v="3"/>
    <n v="1500"/>
    <n v="5"/>
    <n v="4275"/>
    <n v="3150"/>
    <n v="1125"/>
    <x v="0"/>
    <s v="Delhi"/>
    <s v="North"/>
    <s v="UPI"/>
    <s v="Pending"/>
    <s v="No"/>
    <n v="1"/>
  </r>
  <r>
    <s v="ORD00732"/>
    <d v="2025-06-28T00:00:00"/>
    <s v="C1622"/>
    <x v="329"/>
    <s v="P1003"/>
    <x v="3"/>
    <x v="0"/>
    <x v="0"/>
    <x v="3"/>
    <n v="5"/>
    <n v="1500"/>
    <n v="15"/>
    <n v="6375"/>
    <n v="5250"/>
    <n v="1125"/>
    <x v="2"/>
    <s v="Maharashtra"/>
    <s v="West"/>
    <s v="Card"/>
    <s v="Pending"/>
    <s v="Yes"/>
    <n v="5"/>
  </r>
  <r>
    <s v="ORD00733"/>
    <d v="2025-10-10T00:00:00"/>
    <s v="C1619"/>
    <x v="375"/>
    <s v="P1001"/>
    <x v="2"/>
    <x v="0"/>
    <x v="2"/>
    <x v="2"/>
    <n v="3"/>
    <n v="55000"/>
    <n v="15"/>
    <n v="140250"/>
    <n v="115500"/>
    <n v="24750.000000000011"/>
    <x v="0"/>
    <s v="Delhi"/>
    <s v="North"/>
    <s v="Card"/>
    <s v="Delivered"/>
    <s v="No"/>
    <n v="1"/>
  </r>
  <r>
    <s v="ORD00734"/>
    <d v="2025-09-30T00:00:00"/>
    <s v="C1987"/>
    <x v="376"/>
    <s v="P1003"/>
    <x v="3"/>
    <x v="0"/>
    <x v="0"/>
    <x v="3"/>
    <n v="1"/>
    <n v="1500"/>
    <n v="10"/>
    <n v="1350"/>
    <n v="1050"/>
    <n v="300"/>
    <x v="0"/>
    <s v="Delhi"/>
    <s v="North"/>
    <s v="UPI"/>
    <s v="Delivered"/>
    <s v="Yes"/>
    <n v="3"/>
  </r>
  <r>
    <s v="ORD00735"/>
    <d v="2025-10-02T00:00:00"/>
    <s v="C1606"/>
    <x v="126"/>
    <s v="P1003"/>
    <x v="3"/>
    <x v="0"/>
    <x v="0"/>
    <x v="3"/>
    <n v="3"/>
    <n v="1500"/>
    <n v="10"/>
    <n v="4050"/>
    <n v="3150"/>
    <n v="900"/>
    <x v="0"/>
    <s v="Delhi"/>
    <s v="North"/>
    <s v="Cash"/>
    <s v="Pending"/>
    <s v="No"/>
    <n v="1"/>
  </r>
  <r>
    <s v="ORD00736"/>
    <d v="2025-08-02T00:00:00"/>
    <s v="C1007"/>
    <x v="5"/>
    <s v="P1005"/>
    <x v="1"/>
    <x v="1"/>
    <x v="1"/>
    <x v="1"/>
    <n v="2"/>
    <n v="4500"/>
    <n v="5"/>
    <n v="8550"/>
    <n v="6300"/>
    <n v="2250"/>
    <x v="3"/>
    <s v="Karnataka"/>
    <s v="South"/>
    <s v="Cash"/>
    <s v="Delivered"/>
    <s v="No"/>
    <n v="5"/>
  </r>
  <r>
    <s v="ORD00737"/>
    <d v="2025-11-19T00:00:00"/>
    <s v="C1610"/>
    <x v="142"/>
    <s v="P1003"/>
    <x v="3"/>
    <x v="0"/>
    <x v="0"/>
    <x v="3"/>
    <n v="4"/>
    <n v="1500"/>
    <n v="0"/>
    <n v="6000"/>
    <n v="4200"/>
    <n v="1800"/>
    <x v="2"/>
    <s v="Maharashtra"/>
    <s v="West"/>
    <s v="Card"/>
    <s v="Pending"/>
    <s v="No"/>
    <n v="5"/>
  </r>
  <r>
    <s v="ORD00738"/>
    <d v="2025-01-25T00:00:00"/>
    <s v="C1282"/>
    <x v="366"/>
    <s v="P1005"/>
    <x v="1"/>
    <x v="1"/>
    <x v="1"/>
    <x v="1"/>
    <n v="4"/>
    <n v="4500"/>
    <n v="15"/>
    <n v="15300"/>
    <n v="12600"/>
    <n v="2700"/>
    <x v="1"/>
    <s v="Gujarat"/>
    <s v="West"/>
    <s v="Card"/>
    <s v="Delivered"/>
    <s v="No"/>
    <n v="2"/>
  </r>
  <r>
    <s v="ORD00739"/>
    <d v="2025-11-05T00:00:00"/>
    <s v="C1930"/>
    <x v="134"/>
    <s v="P1003"/>
    <x v="3"/>
    <x v="0"/>
    <x v="0"/>
    <x v="3"/>
    <n v="2"/>
    <n v="1500"/>
    <n v="0"/>
    <n v="3000"/>
    <n v="2100"/>
    <n v="900"/>
    <x v="1"/>
    <s v="Gujarat"/>
    <s v="West"/>
    <s v="Card"/>
    <s v="Pending"/>
    <s v="No"/>
    <n v="4"/>
  </r>
  <r>
    <s v="ORD00740"/>
    <d v="2025-09-06T00:00:00"/>
    <s v="C1959"/>
    <x v="205"/>
    <s v="P1003"/>
    <x v="3"/>
    <x v="0"/>
    <x v="0"/>
    <x v="3"/>
    <n v="5"/>
    <n v="1500"/>
    <n v="15"/>
    <n v="6375"/>
    <n v="5250"/>
    <n v="1125"/>
    <x v="3"/>
    <s v="Karnataka"/>
    <s v="South"/>
    <s v="UPI"/>
    <s v="Delivered"/>
    <s v="No"/>
    <n v="3"/>
  </r>
  <r>
    <s v="ORD00741"/>
    <d v="2025-05-29T00:00:00"/>
    <s v="C1984"/>
    <x v="290"/>
    <s v="P1005"/>
    <x v="1"/>
    <x v="1"/>
    <x v="1"/>
    <x v="1"/>
    <n v="1"/>
    <n v="4500"/>
    <n v="5"/>
    <n v="4275"/>
    <n v="3150"/>
    <n v="1125"/>
    <x v="3"/>
    <s v="Karnataka"/>
    <s v="South"/>
    <s v="UPI"/>
    <s v="Delivered"/>
    <s v="No"/>
    <n v="1"/>
  </r>
  <r>
    <s v="ORD00742"/>
    <d v="2025-11-29T00:00:00"/>
    <s v="C1064"/>
    <x v="361"/>
    <s v="P1002"/>
    <x v="0"/>
    <x v="0"/>
    <x v="0"/>
    <x v="0"/>
    <n v="1"/>
    <n v="800"/>
    <n v="15"/>
    <n v="680"/>
    <n v="560"/>
    <n v="120"/>
    <x v="0"/>
    <s v="Delhi"/>
    <s v="North"/>
    <s v="UPI"/>
    <s v="Pending"/>
    <s v="Yes"/>
    <n v="5"/>
  </r>
  <r>
    <s v="ORD00743"/>
    <d v="2025-04-30T00:00:00"/>
    <s v="C1487"/>
    <x v="111"/>
    <s v="P1003"/>
    <x v="3"/>
    <x v="0"/>
    <x v="0"/>
    <x v="3"/>
    <n v="4"/>
    <n v="1500"/>
    <n v="5"/>
    <n v="5700"/>
    <n v="4200"/>
    <n v="1500"/>
    <x v="0"/>
    <s v="Delhi"/>
    <s v="North"/>
    <s v="Cash"/>
    <s v="Pending"/>
    <s v="No"/>
    <n v="4"/>
  </r>
  <r>
    <s v="ORD00744"/>
    <d v="2025-07-23T00:00:00"/>
    <s v="C1817"/>
    <x v="317"/>
    <s v="P1005"/>
    <x v="1"/>
    <x v="1"/>
    <x v="1"/>
    <x v="1"/>
    <n v="1"/>
    <n v="4500"/>
    <n v="10"/>
    <n v="4050"/>
    <n v="3150"/>
    <n v="900"/>
    <x v="2"/>
    <s v="Maharashtra"/>
    <s v="West"/>
    <s v="Card"/>
    <s v="Delivered"/>
    <s v="No"/>
    <n v="5"/>
  </r>
  <r>
    <s v="ORD00745"/>
    <d v="2025-04-24T00:00:00"/>
    <s v="C1302"/>
    <x v="263"/>
    <s v="P1005"/>
    <x v="1"/>
    <x v="1"/>
    <x v="1"/>
    <x v="1"/>
    <n v="3"/>
    <n v="4500"/>
    <n v="10"/>
    <n v="12150"/>
    <n v="9450"/>
    <n v="2700"/>
    <x v="1"/>
    <s v="Gujarat"/>
    <s v="West"/>
    <s v="UPI"/>
    <s v="Pending"/>
    <s v="No"/>
    <n v="3"/>
  </r>
  <r>
    <s v="ORD00746"/>
    <d v="2025-07-30T00:00:00"/>
    <s v="C1278"/>
    <x v="201"/>
    <s v="P1002"/>
    <x v="0"/>
    <x v="0"/>
    <x v="0"/>
    <x v="0"/>
    <n v="5"/>
    <n v="800"/>
    <n v="15"/>
    <n v="3400"/>
    <n v="2800"/>
    <n v="600"/>
    <x v="0"/>
    <s v="Delhi"/>
    <s v="North"/>
    <s v="UPI"/>
    <s v="Cancelled"/>
    <s v="Yes"/>
    <n v="4"/>
  </r>
  <r>
    <s v="ORD00747"/>
    <d v="2025-06-16T00:00:00"/>
    <s v="C1297"/>
    <x v="311"/>
    <s v="P1005"/>
    <x v="1"/>
    <x v="1"/>
    <x v="1"/>
    <x v="1"/>
    <n v="2"/>
    <n v="4500"/>
    <n v="10"/>
    <n v="8100"/>
    <n v="6300"/>
    <n v="1800"/>
    <x v="3"/>
    <s v="Karnataka"/>
    <s v="South"/>
    <s v="Cash"/>
    <s v="Pending"/>
    <s v="Yes"/>
    <n v="1"/>
  </r>
  <r>
    <s v="ORD00748"/>
    <d v="2025-08-05T00:00:00"/>
    <s v="C1277"/>
    <x v="164"/>
    <s v="P1004"/>
    <x v="4"/>
    <x v="0"/>
    <x v="3"/>
    <x v="4"/>
    <n v="4"/>
    <n v="3500"/>
    <n v="0"/>
    <n v="14000"/>
    <n v="9800"/>
    <n v="4200"/>
    <x v="2"/>
    <s v="Maharashtra"/>
    <s v="West"/>
    <s v="Cash"/>
    <s v="Pending"/>
    <s v="Yes"/>
    <n v="2"/>
  </r>
  <r>
    <s v="ORD00749"/>
    <d v="2025-04-10T00:00:00"/>
    <s v="C1969"/>
    <x v="303"/>
    <s v="P1005"/>
    <x v="1"/>
    <x v="1"/>
    <x v="1"/>
    <x v="1"/>
    <n v="2"/>
    <n v="4500"/>
    <n v="15"/>
    <n v="7650"/>
    <n v="6300"/>
    <n v="1350"/>
    <x v="1"/>
    <s v="Gujarat"/>
    <s v="West"/>
    <s v="Card"/>
    <s v="Delivered"/>
    <s v="Yes"/>
    <n v="3"/>
  </r>
  <r>
    <s v="ORD00750"/>
    <d v="2025-07-22T00:00:00"/>
    <s v="C1190"/>
    <x v="284"/>
    <s v="P1004"/>
    <x v="4"/>
    <x v="0"/>
    <x v="3"/>
    <x v="4"/>
    <n v="4"/>
    <n v="3500"/>
    <n v="10"/>
    <n v="12600"/>
    <n v="9800"/>
    <n v="2800"/>
    <x v="3"/>
    <s v="Karnataka"/>
    <s v="South"/>
    <s v="Card"/>
    <s v="Pending"/>
    <s v="Yes"/>
    <n v="3"/>
  </r>
  <r>
    <s v="ORD00751"/>
    <d v="2025-07-30T00:00:00"/>
    <s v="C1575"/>
    <x v="377"/>
    <s v="P1005"/>
    <x v="1"/>
    <x v="1"/>
    <x v="1"/>
    <x v="1"/>
    <n v="4"/>
    <n v="4500"/>
    <n v="5"/>
    <n v="17100"/>
    <n v="12600"/>
    <n v="4500"/>
    <x v="0"/>
    <s v="Delhi"/>
    <s v="North"/>
    <s v="Cash"/>
    <s v="Pending"/>
    <s v="No"/>
    <n v="4"/>
  </r>
  <r>
    <s v="ORD00752"/>
    <d v="2025-05-10T00:00:00"/>
    <s v="C1672"/>
    <x v="53"/>
    <s v="P1005"/>
    <x v="1"/>
    <x v="1"/>
    <x v="1"/>
    <x v="1"/>
    <n v="2"/>
    <n v="4500"/>
    <n v="10"/>
    <n v="8100"/>
    <n v="6300"/>
    <n v="1800"/>
    <x v="1"/>
    <s v="Gujarat"/>
    <s v="West"/>
    <s v="UPI"/>
    <s v="Delivered"/>
    <s v="Yes"/>
    <n v="3"/>
  </r>
  <r>
    <s v="ORD00753"/>
    <d v="2025-11-07T00:00:00"/>
    <s v="C1492"/>
    <x v="105"/>
    <s v="P1002"/>
    <x v="0"/>
    <x v="0"/>
    <x v="0"/>
    <x v="0"/>
    <n v="2"/>
    <n v="800"/>
    <n v="5"/>
    <n v="1520"/>
    <n v="1120"/>
    <n v="400"/>
    <x v="0"/>
    <s v="Delhi"/>
    <s v="North"/>
    <s v="Card"/>
    <s v="Pending"/>
    <s v="Yes"/>
    <n v="3"/>
  </r>
  <r>
    <s v="ORD00754"/>
    <d v="2025-07-11T00:00:00"/>
    <s v="C1529"/>
    <x v="296"/>
    <s v="P1002"/>
    <x v="0"/>
    <x v="0"/>
    <x v="0"/>
    <x v="0"/>
    <n v="2"/>
    <n v="800"/>
    <n v="15"/>
    <n v="1360"/>
    <n v="1120"/>
    <n v="240"/>
    <x v="3"/>
    <s v="Karnataka"/>
    <s v="South"/>
    <s v="UPI"/>
    <s v="Delivered"/>
    <s v="Yes"/>
    <n v="3"/>
  </r>
  <r>
    <s v="ORD00755"/>
    <d v="2025-12-09T00:00:00"/>
    <s v="C1538"/>
    <x v="303"/>
    <s v="P1004"/>
    <x v="4"/>
    <x v="0"/>
    <x v="3"/>
    <x v="4"/>
    <n v="1"/>
    <n v="3500"/>
    <n v="15"/>
    <n v="2975"/>
    <n v="2450"/>
    <n v="525"/>
    <x v="0"/>
    <s v="Delhi"/>
    <s v="North"/>
    <s v="Cash"/>
    <s v="Pending"/>
    <s v="No"/>
    <n v="2"/>
  </r>
  <r>
    <s v="ORD00756"/>
    <d v="2025-06-16T00:00:00"/>
    <s v="C1876"/>
    <x v="330"/>
    <s v="P1001"/>
    <x v="2"/>
    <x v="0"/>
    <x v="2"/>
    <x v="2"/>
    <n v="2"/>
    <n v="55000"/>
    <n v="5"/>
    <n v="104500"/>
    <n v="77000"/>
    <n v="27500"/>
    <x v="3"/>
    <s v="Karnataka"/>
    <s v="South"/>
    <s v="UPI"/>
    <s v="Delivered"/>
    <s v="No"/>
    <n v="3"/>
  </r>
  <r>
    <s v="ORD00757"/>
    <d v="2025-05-03T00:00:00"/>
    <s v="C1689"/>
    <x v="378"/>
    <s v="P1002"/>
    <x v="0"/>
    <x v="0"/>
    <x v="0"/>
    <x v="0"/>
    <n v="2"/>
    <n v="800"/>
    <n v="10"/>
    <n v="1440"/>
    <n v="1120"/>
    <n v="320"/>
    <x v="1"/>
    <s v="Gujarat"/>
    <s v="West"/>
    <s v="Cash"/>
    <s v="Cancelled"/>
    <s v="No"/>
    <n v="5"/>
  </r>
  <r>
    <s v="ORD00758"/>
    <d v="2025-06-09T00:00:00"/>
    <s v="C1847"/>
    <x v="77"/>
    <s v="P1001"/>
    <x v="2"/>
    <x v="0"/>
    <x v="2"/>
    <x v="2"/>
    <n v="1"/>
    <n v="55000"/>
    <n v="15"/>
    <n v="46750"/>
    <n v="38500"/>
    <n v="8250"/>
    <x v="3"/>
    <s v="Karnataka"/>
    <s v="South"/>
    <s v="Cash"/>
    <s v="Delivered"/>
    <s v="Yes"/>
    <n v="2"/>
  </r>
  <r>
    <s v="ORD00759"/>
    <d v="2025-05-02T00:00:00"/>
    <s v="C1432"/>
    <x v="74"/>
    <s v="P1003"/>
    <x v="3"/>
    <x v="0"/>
    <x v="0"/>
    <x v="3"/>
    <n v="5"/>
    <n v="1500"/>
    <n v="15"/>
    <n v="6375"/>
    <n v="5250"/>
    <n v="1125"/>
    <x v="1"/>
    <s v="Gujarat"/>
    <s v="West"/>
    <s v="Cash"/>
    <s v="Delivered"/>
    <s v="No"/>
    <n v="3"/>
  </r>
  <r>
    <s v="ORD00760"/>
    <d v="2025-11-07T00:00:00"/>
    <s v="C1049"/>
    <x v="379"/>
    <s v="P1001"/>
    <x v="2"/>
    <x v="0"/>
    <x v="2"/>
    <x v="2"/>
    <n v="4"/>
    <n v="55000"/>
    <n v="10"/>
    <n v="198000"/>
    <n v="154000"/>
    <n v="44000"/>
    <x v="0"/>
    <s v="Delhi"/>
    <s v="North"/>
    <s v="UPI"/>
    <s v="Cancelled"/>
    <s v="No"/>
    <n v="5"/>
  </r>
  <r>
    <s v="ORD00761"/>
    <d v="2025-12-18T00:00:00"/>
    <s v="C1715"/>
    <x v="380"/>
    <s v="P1002"/>
    <x v="0"/>
    <x v="0"/>
    <x v="0"/>
    <x v="0"/>
    <n v="2"/>
    <n v="800"/>
    <n v="15"/>
    <n v="1360"/>
    <n v="1120"/>
    <n v="240"/>
    <x v="2"/>
    <s v="Maharashtra"/>
    <s v="West"/>
    <s v="UPI"/>
    <s v="Pending"/>
    <s v="Yes"/>
    <n v="5"/>
  </r>
  <r>
    <s v="ORD00762"/>
    <d v="2025-12-03T00:00:00"/>
    <s v="C1231"/>
    <x v="324"/>
    <s v="P1005"/>
    <x v="1"/>
    <x v="1"/>
    <x v="1"/>
    <x v="1"/>
    <n v="5"/>
    <n v="4500"/>
    <n v="10"/>
    <n v="20250"/>
    <n v="15750"/>
    <n v="4500.0000000000018"/>
    <x v="0"/>
    <s v="Delhi"/>
    <s v="North"/>
    <s v="Cash"/>
    <s v="Cancelled"/>
    <s v="Yes"/>
    <n v="1"/>
  </r>
  <r>
    <s v="ORD00763"/>
    <d v="2025-06-29T00:00:00"/>
    <s v="C1826"/>
    <x v="226"/>
    <s v="P1001"/>
    <x v="2"/>
    <x v="0"/>
    <x v="2"/>
    <x v="2"/>
    <n v="3"/>
    <n v="55000"/>
    <n v="10"/>
    <n v="148500"/>
    <n v="115500"/>
    <n v="33000.000000000007"/>
    <x v="2"/>
    <s v="Maharashtra"/>
    <s v="West"/>
    <s v="UPI"/>
    <s v="Delivered"/>
    <s v="No"/>
    <n v="4"/>
  </r>
  <r>
    <s v="ORD00764"/>
    <d v="2025-10-13T00:00:00"/>
    <s v="C1773"/>
    <x v="267"/>
    <s v="P1001"/>
    <x v="2"/>
    <x v="0"/>
    <x v="2"/>
    <x v="2"/>
    <n v="1"/>
    <n v="55000"/>
    <n v="0"/>
    <n v="55000"/>
    <n v="38500"/>
    <n v="16500"/>
    <x v="1"/>
    <s v="Gujarat"/>
    <s v="West"/>
    <s v="Card"/>
    <s v="Cancelled"/>
    <s v="Yes"/>
    <n v="5"/>
  </r>
  <r>
    <s v="ORD00765"/>
    <d v="2025-04-30T00:00:00"/>
    <s v="C1627"/>
    <x v="381"/>
    <s v="P1005"/>
    <x v="1"/>
    <x v="1"/>
    <x v="1"/>
    <x v="1"/>
    <n v="4"/>
    <n v="4500"/>
    <n v="0"/>
    <n v="18000"/>
    <n v="12600"/>
    <n v="5400"/>
    <x v="2"/>
    <s v="Maharashtra"/>
    <s v="West"/>
    <s v="UPI"/>
    <s v="Delivered"/>
    <s v="Yes"/>
    <n v="4"/>
  </r>
  <r>
    <s v="ORD00766"/>
    <d v="2025-10-24T00:00:00"/>
    <s v="C1706"/>
    <x v="149"/>
    <s v="P1003"/>
    <x v="3"/>
    <x v="0"/>
    <x v="0"/>
    <x v="3"/>
    <n v="3"/>
    <n v="1500"/>
    <n v="10"/>
    <n v="4050"/>
    <n v="3150"/>
    <n v="900"/>
    <x v="3"/>
    <s v="Karnataka"/>
    <s v="South"/>
    <s v="Cash"/>
    <s v="Pending"/>
    <s v="No"/>
    <n v="4"/>
  </r>
  <r>
    <s v="ORD00767"/>
    <d v="2025-09-27T00:00:00"/>
    <s v="C1722"/>
    <x v="216"/>
    <s v="P1005"/>
    <x v="1"/>
    <x v="1"/>
    <x v="1"/>
    <x v="1"/>
    <n v="5"/>
    <n v="4500"/>
    <n v="10"/>
    <n v="20250"/>
    <n v="15750"/>
    <n v="4500.0000000000018"/>
    <x v="3"/>
    <s v="Karnataka"/>
    <s v="South"/>
    <s v="Card"/>
    <s v="Pending"/>
    <s v="No"/>
    <n v="5"/>
  </r>
  <r>
    <s v="ORD00768"/>
    <d v="2025-12-18T00:00:00"/>
    <s v="C1774"/>
    <x v="79"/>
    <s v="P1002"/>
    <x v="0"/>
    <x v="0"/>
    <x v="0"/>
    <x v="0"/>
    <n v="5"/>
    <n v="800"/>
    <n v="15"/>
    <n v="3400"/>
    <n v="2800"/>
    <n v="600"/>
    <x v="2"/>
    <s v="Maharashtra"/>
    <s v="West"/>
    <s v="UPI"/>
    <s v="Pending"/>
    <s v="No"/>
    <n v="5"/>
  </r>
  <r>
    <s v="ORD00769"/>
    <d v="2025-05-29T00:00:00"/>
    <s v="C1762"/>
    <x v="61"/>
    <s v="P1002"/>
    <x v="0"/>
    <x v="0"/>
    <x v="0"/>
    <x v="0"/>
    <n v="1"/>
    <n v="800"/>
    <n v="15"/>
    <n v="680"/>
    <n v="560"/>
    <n v="120"/>
    <x v="2"/>
    <s v="Maharashtra"/>
    <s v="West"/>
    <s v="Card"/>
    <s v="Pending"/>
    <s v="Yes"/>
    <n v="2"/>
  </r>
  <r>
    <s v="ORD00770"/>
    <d v="2025-01-02T00:00:00"/>
    <s v="C1297"/>
    <x v="123"/>
    <s v="P1001"/>
    <x v="2"/>
    <x v="0"/>
    <x v="2"/>
    <x v="2"/>
    <n v="5"/>
    <n v="55000"/>
    <n v="0"/>
    <n v="275000"/>
    <n v="192500"/>
    <n v="82500"/>
    <x v="2"/>
    <s v="Maharashtra"/>
    <s v="West"/>
    <s v="Card"/>
    <s v="Delivered"/>
    <s v="No"/>
    <n v="3"/>
  </r>
  <r>
    <s v="ORD00771"/>
    <d v="2025-02-16T00:00:00"/>
    <s v="C1949"/>
    <x v="111"/>
    <s v="P1005"/>
    <x v="1"/>
    <x v="1"/>
    <x v="1"/>
    <x v="1"/>
    <n v="5"/>
    <n v="4500"/>
    <n v="15"/>
    <n v="19125"/>
    <n v="15750"/>
    <n v="3375.0000000000018"/>
    <x v="3"/>
    <s v="Karnataka"/>
    <s v="South"/>
    <s v="Card"/>
    <s v="Pending"/>
    <s v="Yes"/>
    <n v="4"/>
  </r>
  <r>
    <s v="ORD00772"/>
    <d v="2025-11-08T00:00:00"/>
    <s v="C1203"/>
    <x v="331"/>
    <s v="P1003"/>
    <x v="3"/>
    <x v="0"/>
    <x v="0"/>
    <x v="3"/>
    <n v="3"/>
    <n v="1500"/>
    <n v="5"/>
    <n v="4275"/>
    <n v="3150"/>
    <n v="1125"/>
    <x v="1"/>
    <s v="Gujarat"/>
    <s v="West"/>
    <s v="UPI"/>
    <s v="Pending"/>
    <s v="No"/>
    <n v="1"/>
  </r>
  <r>
    <s v="ORD00773"/>
    <d v="2025-02-13T00:00:00"/>
    <s v="C1961"/>
    <x v="86"/>
    <s v="P1005"/>
    <x v="1"/>
    <x v="1"/>
    <x v="1"/>
    <x v="1"/>
    <n v="3"/>
    <n v="4500"/>
    <n v="0"/>
    <n v="13500"/>
    <n v="9450"/>
    <n v="4050"/>
    <x v="3"/>
    <s v="Karnataka"/>
    <s v="South"/>
    <s v="Card"/>
    <s v="Pending"/>
    <s v="Yes"/>
    <n v="3"/>
  </r>
  <r>
    <s v="ORD00774"/>
    <d v="2025-05-06T00:00:00"/>
    <s v="C1028"/>
    <x v="382"/>
    <s v="P1004"/>
    <x v="4"/>
    <x v="0"/>
    <x v="3"/>
    <x v="4"/>
    <n v="5"/>
    <n v="3500"/>
    <n v="0"/>
    <n v="17500"/>
    <n v="12250"/>
    <n v="5250"/>
    <x v="0"/>
    <s v="Delhi"/>
    <s v="North"/>
    <s v="UPI"/>
    <s v="Delivered"/>
    <s v="No"/>
    <n v="5"/>
  </r>
  <r>
    <s v="ORD00775"/>
    <d v="2025-07-12T00:00:00"/>
    <s v="C1203"/>
    <x v="200"/>
    <s v="P1005"/>
    <x v="1"/>
    <x v="1"/>
    <x v="1"/>
    <x v="1"/>
    <n v="1"/>
    <n v="4500"/>
    <n v="5"/>
    <n v="4275"/>
    <n v="3150"/>
    <n v="1125"/>
    <x v="3"/>
    <s v="Karnataka"/>
    <s v="South"/>
    <s v="Card"/>
    <s v="Pending"/>
    <s v="No"/>
    <n v="1"/>
  </r>
  <r>
    <s v="ORD00776"/>
    <d v="2025-03-10T00:00:00"/>
    <s v="C1181"/>
    <x v="383"/>
    <s v="P1001"/>
    <x v="2"/>
    <x v="0"/>
    <x v="2"/>
    <x v="2"/>
    <n v="3"/>
    <n v="55000"/>
    <n v="5"/>
    <n v="156750"/>
    <n v="115500"/>
    <n v="41250.000000000007"/>
    <x v="1"/>
    <s v="Gujarat"/>
    <s v="West"/>
    <s v="Cash"/>
    <s v="Pending"/>
    <s v="No"/>
    <n v="1"/>
  </r>
  <r>
    <s v="ORD00777"/>
    <d v="2025-06-30T00:00:00"/>
    <s v="C1477"/>
    <x v="160"/>
    <s v="P1004"/>
    <x v="4"/>
    <x v="0"/>
    <x v="3"/>
    <x v="4"/>
    <n v="5"/>
    <n v="3500"/>
    <n v="10"/>
    <n v="15750"/>
    <n v="12250"/>
    <n v="3500"/>
    <x v="0"/>
    <s v="Delhi"/>
    <s v="North"/>
    <s v="Card"/>
    <s v="Delivered"/>
    <s v="No"/>
    <n v="2"/>
  </r>
  <r>
    <s v="ORD00778"/>
    <d v="2025-10-27T00:00:00"/>
    <s v="C1582"/>
    <x v="258"/>
    <s v="P1002"/>
    <x v="0"/>
    <x v="0"/>
    <x v="0"/>
    <x v="0"/>
    <n v="4"/>
    <n v="800"/>
    <n v="15"/>
    <n v="2720"/>
    <n v="2240"/>
    <n v="480"/>
    <x v="2"/>
    <s v="Maharashtra"/>
    <s v="West"/>
    <s v="UPI"/>
    <s v="Cancelled"/>
    <s v="No"/>
    <n v="2"/>
  </r>
  <r>
    <s v="ORD00779"/>
    <d v="2025-06-26T00:00:00"/>
    <s v="C1221"/>
    <x v="369"/>
    <s v="P1005"/>
    <x v="1"/>
    <x v="1"/>
    <x v="1"/>
    <x v="1"/>
    <n v="1"/>
    <n v="4500"/>
    <n v="0"/>
    <n v="4500"/>
    <n v="3150"/>
    <n v="1350"/>
    <x v="3"/>
    <s v="Karnataka"/>
    <s v="South"/>
    <s v="UPI"/>
    <s v="Pending"/>
    <s v="No"/>
    <n v="3"/>
  </r>
  <r>
    <s v="ORD00780"/>
    <d v="2025-11-24T00:00:00"/>
    <s v="C1528"/>
    <x v="277"/>
    <s v="P1001"/>
    <x v="2"/>
    <x v="0"/>
    <x v="2"/>
    <x v="2"/>
    <n v="5"/>
    <n v="55000"/>
    <n v="15"/>
    <n v="233750"/>
    <n v="192500"/>
    <n v="41250"/>
    <x v="0"/>
    <s v="Delhi"/>
    <s v="North"/>
    <s v="Card"/>
    <s v="Cancelled"/>
    <s v="Yes"/>
    <n v="2"/>
  </r>
  <r>
    <s v="ORD00781"/>
    <d v="2025-07-16T00:00:00"/>
    <s v="C1228"/>
    <x v="58"/>
    <s v="P1004"/>
    <x v="4"/>
    <x v="0"/>
    <x v="3"/>
    <x v="4"/>
    <n v="1"/>
    <n v="3500"/>
    <n v="5"/>
    <n v="3325"/>
    <n v="2450"/>
    <n v="875"/>
    <x v="1"/>
    <s v="Gujarat"/>
    <s v="West"/>
    <s v="Card"/>
    <s v="Cancelled"/>
    <s v="No"/>
    <n v="3"/>
  </r>
  <r>
    <s v="ORD00782"/>
    <d v="2025-11-19T00:00:00"/>
    <s v="C1914"/>
    <x v="351"/>
    <s v="P1005"/>
    <x v="1"/>
    <x v="1"/>
    <x v="1"/>
    <x v="1"/>
    <n v="5"/>
    <n v="4500"/>
    <n v="15"/>
    <n v="19125"/>
    <n v="15750"/>
    <n v="3375.0000000000018"/>
    <x v="3"/>
    <s v="Karnataka"/>
    <s v="South"/>
    <s v="UPI"/>
    <s v="Delivered"/>
    <s v="No"/>
    <n v="4"/>
  </r>
  <r>
    <s v="ORD00783"/>
    <d v="2025-05-09T00:00:00"/>
    <s v="C1272"/>
    <x v="63"/>
    <s v="P1001"/>
    <x v="2"/>
    <x v="0"/>
    <x v="2"/>
    <x v="2"/>
    <n v="1"/>
    <n v="55000"/>
    <n v="0"/>
    <n v="55000"/>
    <n v="38500"/>
    <n v="16500"/>
    <x v="3"/>
    <s v="Karnataka"/>
    <s v="South"/>
    <s v="Cash"/>
    <s v="Pending"/>
    <s v="No"/>
    <n v="2"/>
  </r>
  <r>
    <s v="ORD00784"/>
    <d v="2025-09-17T00:00:00"/>
    <s v="C1459"/>
    <x v="270"/>
    <s v="P1005"/>
    <x v="1"/>
    <x v="1"/>
    <x v="1"/>
    <x v="1"/>
    <n v="3"/>
    <n v="4500"/>
    <n v="0"/>
    <n v="13500"/>
    <n v="9450"/>
    <n v="4050"/>
    <x v="1"/>
    <s v="Gujarat"/>
    <s v="West"/>
    <s v="UPI"/>
    <s v="Pending"/>
    <s v="No"/>
    <n v="5"/>
  </r>
  <r>
    <s v="ORD00785"/>
    <d v="2025-11-08T00:00:00"/>
    <s v="C1162"/>
    <x v="384"/>
    <s v="P1004"/>
    <x v="4"/>
    <x v="0"/>
    <x v="3"/>
    <x v="4"/>
    <n v="1"/>
    <n v="3500"/>
    <n v="0"/>
    <n v="3500"/>
    <n v="2450"/>
    <n v="1050"/>
    <x v="0"/>
    <s v="Delhi"/>
    <s v="North"/>
    <s v="Cash"/>
    <s v="Delivered"/>
    <s v="No"/>
    <n v="1"/>
  </r>
  <r>
    <s v="ORD00786"/>
    <d v="2025-01-12T00:00:00"/>
    <s v="C1609"/>
    <x v="12"/>
    <s v="P1005"/>
    <x v="1"/>
    <x v="1"/>
    <x v="1"/>
    <x v="1"/>
    <n v="4"/>
    <n v="4500"/>
    <n v="5"/>
    <n v="17100"/>
    <n v="12600"/>
    <n v="4500"/>
    <x v="1"/>
    <s v="Gujarat"/>
    <s v="West"/>
    <s v="Card"/>
    <s v="Cancelled"/>
    <s v="Yes"/>
    <n v="4"/>
  </r>
  <r>
    <s v="ORD00787"/>
    <d v="2025-11-25T00:00:00"/>
    <s v="C1157"/>
    <x v="385"/>
    <s v="P1002"/>
    <x v="0"/>
    <x v="0"/>
    <x v="0"/>
    <x v="0"/>
    <n v="3"/>
    <n v="800"/>
    <n v="10"/>
    <n v="2160"/>
    <n v="1680"/>
    <n v="480"/>
    <x v="2"/>
    <s v="Maharashtra"/>
    <s v="West"/>
    <s v="Card"/>
    <s v="Pending"/>
    <s v="No"/>
    <n v="2"/>
  </r>
  <r>
    <s v="ORD00788"/>
    <d v="2025-09-02T00:00:00"/>
    <s v="C1558"/>
    <x v="161"/>
    <s v="P1004"/>
    <x v="4"/>
    <x v="0"/>
    <x v="3"/>
    <x v="4"/>
    <n v="5"/>
    <n v="3500"/>
    <n v="5"/>
    <n v="16625"/>
    <n v="12250"/>
    <n v="4375"/>
    <x v="1"/>
    <s v="Gujarat"/>
    <s v="West"/>
    <s v="Card"/>
    <s v="Pending"/>
    <s v="Yes"/>
    <n v="2"/>
  </r>
  <r>
    <s v="ORD00789"/>
    <d v="2025-02-04T00:00:00"/>
    <s v="C1568"/>
    <x v="253"/>
    <s v="P1005"/>
    <x v="1"/>
    <x v="1"/>
    <x v="1"/>
    <x v="1"/>
    <n v="2"/>
    <n v="4500"/>
    <n v="15"/>
    <n v="7650"/>
    <n v="6300"/>
    <n v="1350"/>
    <x v="0"/>
    <s v="Delhi"/>
    <s v="North"/>
    <s v="Cash"/>
    <s v="Delivered"/>
    <s v="Yes"/>
    <n v="4"/>
  </r>
  <r>
    <s v="ORD00790"/>
    <d v="2025-04-19T00:00:00"/>
    <s v="C1089"/>
    <x v="262"/>
    <s v="P1004"/>
    <x v="4"/>
    <x v="0"/>
    <x v="3"/>
    <x v="4"/>
    <n v="2"/>
    <n v="3500"/>
    <n v="15"/>
    <n v="5950"/>
    <n v="4900"/>
    <n v="1050"/>
    <x v="0"/>
    <s v="Delhi"/>
    <s v="North"/>
    <s v="Card"/>
    <s v="Cancelled"/>
    <s v="No"/>
    <n v="1"/>
  </r>
  <r>
    <s v="ORD00791"/>
    <d v="2025-11-06T00:00:00"/>
    <s v="C1194"/>
    <x v="339"/>
    <s v="P1004"/>
    <x v="4"/>
    <x v="0"/>
    <x v="3"/>
    <x v="4"/>
    <n v="4"/>
    <n v="3500"/>
    <n v="10"/>
    <n v="12600"/>
    <n v="9800"/>
    <n v="2800"/>
    <x v="0"/>
    <s v="Delhi"/>
    <s v="North"/>
    <s v="UPI"/>
    <s v="Cancelled"/>
    <s v="Yes"/>
    <n v="2"/>
  </r>
  <r>
    <s v="ORD00792"/>
    <d v="2025-04-20T00:00:00"/>
    <s v="C1983"/>
    <x v="377"/>
    <s v="P1005"/>
    <x v="1"/>
    <x v="1"/>
    <x v="1"/>
    <x v="1"/>
    <n v="4"/>
    <n v="4500"/>
    <n v="10"/>
    <n v="16200"/>
    <n v="12600"/>
    <n v="3600"/>
    <x v="3"/>
    <s v="Karnataka"/>
    <s v="South"/>
    <s v="Cash"/>
    <s v="Delivered"/>
    <s v="No"/>
    <n v="2"/>
  </r>
  <r>
    <s v="ORD00793"/>
    <d v="2025-08-10T00:00:00"/>
    <s v="C1090"/>
    <x v="108"/>
    <s v="P1004"/>
    <x v="4"/>
    <x v="0"/>
    <x v="3"/>
    <x v="4"/>
    <n v="5"/>
    <n v="3500"/>
    <n v="15"/>
    <n v="14875"/>
    <n v="12250"/>
    <n v="2625"/>
    <x v="2"/>
    <s v="Maharashtra"/>
    <s v="West"/>
    <s v="Cash"/>
    <s v="Delivered"/>
    <s v="No"/>
    <n v="2"/>
  </r>
  <r>
    <s v="ORD00794"/>
    <d v="2025-07-11T00:00:00"/>
    <s v="C1044"/>
    <x v="121"/>
    <s v="P1005"/>
    <x v="1"/>
    <x v="1"/>
    <x v="1"/>
    <x v="1"/>
    <n v="5"/>
    <n v="4500"/>
    <n v="10"/>
    <n v="20250"/>
    <n v="15750"/>
    <n v="4500.0000000000018"/>
    <x v="0"/>
    <s v="Delhi"/>
    <s v="North"/>
    <s v="UPI"/>
    <s v="Cancelled"/>
    <s v="Yes"/>
    <n v="1"/>
  </r>
  <r>
    <s v="ORD00795"/>
    <d v="2025-08-08T00:00:00"/>
    <s v="C1252"/>
    <x v="162"/>
    <s v="P1002"/>
    <x v="0"/>
    <x v="0"/>
    <x v="0"/>
    <x v="0"/>
    <n v="1"/>
    <n v="800"/>
    <n v="15"/>
    <n v="680"/>
    <n v="560"/>
    <n v="120"/>
    <x v="0"/>
    <s v="Delhi"/>
    <s v="North"/>
    <s v="Card"/>
    <s v="Pending"/>
    <s v="No"/>
    <n v="1"/>
  </r>
  <r>
    <s v="ORD00796"/>
    <d v="2025-09-02T00:00:00"/>
    <s v="C1140"/>
    <x v="63"/>
    <s v="P1004"/>
    <x v="4"/>
    <x v="0"/>
    <x v="3"/>
    <x v="4"/>
    <n v="4"/>
    <n v="3500"/>
    <n v="5"/>
    <n v="13300"/>
    <n v="9800"/>
    <n v="3500"/>
    <x v="1"/>
    <s v="Gujarat"/>
    <s v="West"/>
    <s v="Cash"/>
    <s v="Delivered"/>
    <s v="No"/>
    <n v="5"/>
  </r>
  <r>
    <s v="ORD00797"/>
    <d v="2025-01-13T00:00:00"/>
    <s v="C1744"/>
    <x v="269"/>
    <s v="P1001"/>
    <x v="2"/>
    <x v="0"/>
    <x v="2"/>
    <x v="2"/>
    <n v="5"/>
    <n v="55000"/>
    <n v="15"/>
    <n v="233750"/>
    <n v="192500"/>
    <n v="41250"/>
    <x v="3"/>
    <s v="Karnataka"/>
    <s v="South"/>
    <s v="UPI"/>
    <s v="Cancelled"/>
    <s v="Yes"/>
    <n v="1"/>
  </r>
  <r>
    <s v="ORD00798"/>
    <d v="2025-02-17T00:00:00"/>
    <s v="C1049"/>
    <x v="386"/>
    <s v="P1002"/>
    <x v="0"/>
    <x v="0"/>
    <x v="0"/>
    <x v="0"/>
    <n v="3"/>
    <n v="800"/>
    <n v="5"/>
    <n v="2280"/>
    <n v="1680"/>
    <n v="600"/>
    <x v="3"/>
    <s v="Karnataka"/>
    <s v="South"/>
    <s v="UPI"/>
    <s v="Cancelled"/>
    <s v="Yes"/>
    <n v="4"/>
  </r>
  <r>
    <s v="ORD00799"/>
    <d v="2025-10-03T00:00:00"/>
    <s v="C1879"/>
    <x v="387"/>
    <s v="P1004"/>
    <x v="4"/>
    <x v="0"/>
    <x v="3"/>
    <x v="4"/>
    <n v="5"/>
    <n v="3500"/>
    <n v="15"/>
    <n v="14875"/>
    <n v="12250"/>
    <n v="2625"/>
    <x v="0"/>
    <s v="Delhi"/>
    <s v="North"/>
    <s v="UPI"/>
    <s v="Cancelled"/>
    <s v="No"/>
    <n v="5"/>
  </r>
  <r>
    <s v="ORD00800"/>
    <d v="2025-08-30T00:00:00"/>
    <s v="C1073"/>
    <x v="229"/>
    <s v="P1004"/>
    <x v="4"/>
    <x v="0"/>
    <x v="3"/>
    <x v="4"/>
    <n v="2"/>
    <n v="3500"/>
    <n v="0"/>
    <n v="7000"/>
    <n v="4900"/>
    <n v="2100"/>
    <x v="0"/>
    <s v="Delhi"/>
    <s v="North"/>
    <s v="UPI"/>
    <s v="Pending"/>
    <s v="No"/>
    <n v="2"/>
  </r>
  <r>
    <s v="ORD00801"/>
    <d v="2025-03-10T00:00:00"/>
    <s v="C1915"/>
    <x v="0"/>
    <s v="P1001"/>
    <x v="2"/>
    <x v="0"/>
    <x v="2"/>
    <x v="2"/>
    <n v="2"/>
    <n v="55000"/>
    <n v="5"/>
    <n v="104500"/>
    <n v="77000"/>
    <n v="27500"/>
    <x v="0"/>
    <s v="Delhi"/>
    <s v="North"/>
    <s v="Cash"/>
    <s v="Delivered"/>
    <s v="No"/>
    <n v="3"/>
  </r>
  <r>
    <s v="ORD00802"/>
    <d v="2025-02-03T00:00:00"/>
    <s v="C1717"/>
    <x v="85"/>
    <s v="P1003"/>
    <x v="3"/>
    <x v="0"/>
    <x v="0"/>
    <x v="3"/>
    <n v="4"/>
    <n v="1500"/>
    <n v="10"/>
    <n v="5400"/>
    <n v="4200"/>
    <n v="1200"/>
    <x v="0"/>
    <s v="Delhi"/>
    <s v="North"/>
    <s v="Cash"/>
    <s v="Cancelled"/>
    <s v="No"/>
    <n v="5"/>
  </r>
  <r>
    <s v="ORD00803"/>
    <d v="2025-04-17T00:00:00"/>
    <s v="C1392"/>
    <x v="388"/>
    <s v="P1005"/>
    <x v="1"/>
    <x v="1"/>
    <x v="1"/>
    <x v="1"/>
    <n v="4"/>
    <n v="4500"/>
    <n v="0"/>
    <n v="18000"/>
    <n v="12600"/>
    <n v="5400"/>
    <x v="0"/>
    <s v="Delhi"/>
    <s v="North"/>
    <s v="Card"/>
    <s v="Cancelled"/>
    <s v="No"/>
    <n v="4"/>
  </r>
  <r>
    <s v="ORD00804"/>
    <d v="2025-08-16T00:00:00"/>
    <s v="C1859"/>
    <x v="389"/>
    <s v="P1004"/>
    <x v="4"/>
    <x v="0"/>
    <x v="3"/>
    <x v="4"/>
    <n v="2"/>
    <n v="3500"/>
    <n v="10"/>
    <n v="6300"/>
    <n v="4900"/>
    <n v="1400"/>
    <x v="3"/>
    <s v="Karnataka"/>
    <s v="South"/>
    <s v="Cash"/>
    <s v="Pending"/>
    <s v="Yes"/>
    <n v="2"/>
  </r>
  <r>
    <s v="ORD00805"/>
    <d v="2025-04-23T00:00:00"/>
    <s v="C1888"/>
    <x v="304"/>
    <s v="P1001"/>
    <x v="2"/>
    <x v="0"/>
    <x v="2"/>
    <x v="2"/>
    <n v="3"/>
    <n v="55000"/>
    <n v="10"/>
    <n v="148500"/>
    <n v="115500"/>
    <n v="33000.000000000007"/>
    <x v="2"/>
    <s v="Maharashtra"/>
    <s v="West"/>
    <s v="Card"/>
    <s v="Delivered"/>
    <s v="Yes"/>
    <n v="1"/>
  </r>
  <r>
    <s v="ORD00806"/>
    <d v="2025-03-09T00:00:00"/>
    <s v="C1155"/>
    <x v="390"/>
    <s v="P1001"/>
    <x v="2"/>
    <x v="0"/>
    <x v="2"/>
    <x v="2"/>
    <n v="3"/>
    <n v="55000"/>
    <n v="10"/>
    <n v="148500"/>
    <n v="115500"/>
    <n v="33000.000000000007"/>
    <x v="0"/>
    <s v="Delhi"/>
    <s v="North"/>
    <s v="Card"/>
    <s v="Delivered"/>
    <s v="Yes"/>
    <n v="1"/>
  </r>
  <r>
    <s v="ORD00807"/>
    <d v="2025-06-04T00:00:00"/>
    <s v="C1485"/>
    <x v="391"/>
    <s v="P1002"/>
    <x v="0"/>
    <x v="0"/>
    <x v="0"/>
    <x v="0"/>
    <n v="3"/>
    <n v="800"/>
    <n v="15"/>
    <n v="2040"/>
    <n v="1680"/>
    <n v="360"/>
    <x v="1"/>
    <s v="Gujarat"/>
    <s v="West"/>
    <s v="Cash"/>
    <s v="Cancelled"/>
    <s v="Yes"/>
    <n v="3"/>
  </r>
  <r>
    <s v="ORD00808"/>
    <d v="2025-08-13T00:00:00"/>
    <s v="C1308"/>
    <x v="392"/>
    <s v="P1003"/>
    <x v="3"/>
    <x v="0"/>
    <x v="0"/>
    <x v="3"/>
    <n v="2"/>
    <n v="1500"/>
    <n v="5"/>
    <n v="2850"/>
    <n v="2100"/>
    <n v="750"/>
    <x v="0"/>
    <s v="Delhi"/>
    <s v="North"/>
    <s v="Card"/>
    <s v="Delivered"/>
    <s v="No"/>
    <n v="5"/>
  </r>
  <r>
    <s v="ORD00809"/>
    <d v="2025-11-01T00:00:00"/>
    <s v="C1487"/>
    <x v="112"/>
    <s v="P1001"/>
    <x v="2"/>
    <x v="0"/>
    <x v="2"/>
    <x v="2"/>
    <n v="3"/>
    <n v="55000"/>
    <n v="15"/>
    <n v="140250"/>
    <n v="115500"/>
    <n v="24750.000000000011"/>
    <x v="3"/>
    <s v="Karnataka"/>
    <s v="South"/>
    <s v="Cash"/>
    <s v="Delivered"/>
    <s v="Yes"/>
    <n v="1"/>
  </r>
  <r>
    <s v="ORD00810"/>
    <d v="2025-09-07T00:00:00"/>
    <s v="C1919"/>
    <x v="393"/>
    <s v="P1004"/>
    <x v="4"/>
    <x v="0"/>
    <x v="3"/>
    <x v="4"/>
    <n v="3"/>
    <n v="3500"/>
    <n v="0"/>
    <n v="10500"/>
    <n v="7349.9999999999991"/>
    <n v="3150.0000000000009"/>
    <x v="2"/>
    <s v="Maharashtra"/>
    <s v="West"/>
    <s v="UPI"/>
    <s v="Pending"/>
    <s v="No"/>
    <n v="3"/>
  </r>
  <r>
    <s v="ORD00811"/>
    <d v="2025-07-18T00:00:00"/>
    <s v="C1101"/>
    <x v="41"/>
    <s v="P1002"/>
    <x v="0"/>
    <x v="0"/>
    <x v="0"/>
    <x v="0"/>
    <n v="5"/>
    <n v="800"/>
    <n v="0"/>
    <n v="4000"/>
    <n v="2800"/>
    <n v="1200"/>
    <x v="2"/>
    <s v="Maharashtra"/>
    <s v="West"/>
    <s v="Cash"/>
    <s v="Delivered"/>
    <s v="No"/>
    <n v="3"/>
  </r>
  <r>
    <s v="ORD00812"/>
    <d v="2025-08-09T00:00:00"/>
    <s v="C1338"/>
    <x v="303"/>
    <s v="P1002"/>
    <x v="0"/>
    <x v="0"/>
    <x v="0"/>
    <x v="0"/>
    <n v="1"/>
    <n v="800"/>
    <n v="5"/>
    <n v="760"/>
    <n v="560"/>
    <n v="200"/>
    <x v="0"/>
    <s v="Delhi"/>
    <s v="North"/>
    <s v="UPI"/>
    <s v="Cancelled"/>
    <s v="No"/>
    <n v="1"/>
  </r>
  <r>
    <s v="ORD00813"/>
    <d v="2025-09-11T00:00:00"/>
    <s v="C1532"/>
    <x v="394"/>
    <s v="P1003"/>
    <x v="3"/>
    <x v="0"/>
    <x v="0"/>
    <x v="3"/>
    <n v="5"/>
    <n v="1500"/>
    <n v="15"/>
    <n v="6375"/>
    <n v="5250"/>
    <n v="1125"/>
    <x v="0"/>
    <s v="Delhi"/>
    <s v="North"/>
    <s v="Card"/>
    <s v="Delivered"/>
    <s v="Yes"/>
    <n v="4"/>
  </r>
  <r>
    <s v="ORD00814"/>
    <d v="2025-05-22T00:00:00"/>
    <s v="C1483"/>
    <x v="304"/>
    <s v="P1003"/>
    <x v="3"/>
    <x v="0"/>
    <x v="0"/>
    <x v="3"/>
    <n v="4"/>
    <n v="1500"/>
    <n v="15"/>
    <n v="5100"/>
    <n v="4200"/>
    <n v="900"/>
    <x v="3"/>
    <s v="Karnataka"/>
    <s v="South"/>
    <s v="Cash"/>
    <s v="Pending"/>
    <s v="Yes"/>
    <n v="5"/>
  </r>
  <r>
    <s v="ORD00815"/>
    <d v="2025-10-18T00:00:00"/>
    <s v="C1181"/>
    <x v="177"/>
    <s v="P1005"/>
    <x v="1"/>
    <x v="1"/>
    <x v="1"/>
    <x v="1"/>
    <n v="3"/>
    <n v="4500"/>
    <n v="5"/>
    <n v="12825"/>
    <n v="9450"/>
    <n v="3375"/>
    <x v="3"/>
    <s v="Karnataka"/>
    <s v="South"/>
    <s v="Cash"/>
    <s v="Cancelled"/>
    <s v="No"/>
    <n v="4"/>
  </r>
  <r>
    <s v="ORD00816"/>
    <d v="2025-03-22T00:00:00"/>
    <s v="C1640"/>
    <x v="296"/>
    <s v="P1005"/>
    <x v="1"/>
    <x v="1"/>
    <x v="1"/>
    <x v="1"/>
    <n v="3"/>
    <n v="4500"/>
    <n v="0"/>
    <n v="13500"/>
    <n v="9450"/>
    <n v="4050"/>
    <x v="3"/>
    <s v="Karnataka"/>
    <s v="South"/>
    <s v="Cash"/>
    <s v="Cancelled"/>
    <s v="Yes"/>
    <n v="3"/>
  </r>
  <r>
    <s v="ORD00817"/>
    <d v="2025-06-26T00:00:00"/>
    <s v="C1508"/>
    <x v="395"/>
    <s v="P1001"/>
    <x v="2"/>
    <x v="0"/>
    <x v="2"/>
    <x v="2"/>
    <n v="3"/>
    <n v="55000"/>
    <n v="15"/>
    <n v="140250"/>
    <n v="115500"/>
    <n v="24750.000000000011"/>
    <x v="3"/>
    <s v="Karnataka"/>
    <s v="South"/>
    <s v="Cash"/>
    <s v="Cancelled"/>
    <s v="Yes"/>
    <n v="1"/>
  </r>
  <r>
    <s v="ORD00818"/>
    <d v="2025-02-01T00:00:00"/>
    <s v="C1359"/>
    <x v="128"/>
    <s v="P1005"/>
    <x v="1"/>
    <x v="1"/>
    <x v="1"/>
    <x v="1"/>
    <n v="1"/>
    <n v="4500"/>
    <n v="15"/>
    <n v="3825"/>
    <n v="3150"/>
    <n v="675"/>
    <x v="0"/>
    <s v="Delhi"/>
    <s v="North"/>
    <s v="UPI"/>
    <s v="Delivered"/>
    <s v="Yes"/>
    <n v="2"/>
  </r>
  <r>
    <s v="ORD00819"/>
    <d v="2025-04-19T00:00:00"/>
    <s v="C1001"/>
    <x v="396"/>
    <s v="P1001"/>
    <x v="2"/>
    <x v="0"/>
    <x v="2"/>
    <x v="2"/>
    <n v="1"/>
    <n v="55000"/>
    <n v="5"/>
    <n v="52250"/>
    <n v="38500"/>
    <n v="13750"/>
    <x v="3"/>
    <s v="Karnataka"/>
    <s v="South"/>
    <s v="Card"/>
    <s v="Cancelled"/>
    <s v="Yes"/>
    <n v="4"/>
  </r>
  <r>
    <s v="ORD00820"/>
    <d v="2025-07-05T00:00:00"/>
    <s v="C1799"/>
    <x v="35"/>
    <s v="P1003"/>
    <x v="3"/>
    <x v="0"/>
    <x v="0"/>
    <x v="3"/>
    <n v="3"/>
    <n v="1500"/>
    <n v="5"/>
    <n v="4275"/>
    <n v="3150"/>
    <n v="1125"/>
    <x v="3"/>
    <s v="Karnataka"/>
    <s v="South"/>
    <s v="Cash"/>
    <s v="Cancelled"/>
    <s v="Yes"/>
    <n v="1"/>
  </r>
  <r>
    <s v="ORD00821"/>
    <d v="2025-05-07T00:00:00"/>
    <s v="C1682"/>
    <x v="273"/>
    <s v="P1001"/>
    <x v="2"/>
    <x v="0"/>
    <x v="2"/>
    <x v="2"/>
    <n v="4"/>
    <n v="55000"/>
    <n v="15"/>
    <n v="187000"/>
    <n v="154000"/>
    <n v="33000"/>
    <x v="3"/>
    <s v="Karnataka"/>
    <s v="South"/>
    <s v="UPI"/>
    <s v="Pending"/>
    <s v="Yes"/>
    <n v="2"/>
  </r>
  <r>
    <s v="ORD00822"/>
    <d v="2025-09-02T00:00:00"/>
    <s v="C1415"/>
    <x v="397"/>
    <s v="P1001"/>
    <x v="2"/>
    <x v="0"/>
    <x v="2"/>
    <x v="2"/>
    <n v="5"/>
    <n v="55000"/>
    <n v="5"/>
    <n v="261250"/>
    <n v="192500"/>
    <n v="68750"/>
    <x v="0"/>
    <s v="Delhi"/>
    <s v="North"/>
    <s v="Card"/>
    <s v="Pending"/>
    <s v="Yes"/>
    <n v="5"/>
  </r>
  <r>
    <s v="ORD00823"/>
    <d v="2025-03-15T00:00:00"/>
    <s v="C1651"/>
    <x v="353"/>
    <s v="P1004"/>
    <x v="4"/>
    <x v="0"/>
    <x v="3"/>
    <x v="4"/>
    <n v="1"/>
    <n v="3500"/>
    <n v="5"/>
    <n v="3325"/>
    <n v="2450"/>
    <n v="875"/>
    <x v="1"/>
    <s v="Gujarat"/>
    <s v="West"/>
    <s v="Card"/>
    <s v="Delivered"/>
    <s v="No"/>
    <n v="5"/>
  </r>
  <r>
    <s v="ORD00824"/>
    <d v="2025-09-13T00:00:00"/>
    <s v="C1461"/>
    <x v="398"/>
    <s v="P1002"/>
    <x v="0"/>
    <x v="0"/>
    <x v="0"/>
    <x v="0"/>
    <n v="3"/>
    <n v="800"/>
    <n v="0"/>
    <n v="2400"/>
    <n v="1680"/>
    <n v="720"/>
    <x v="3"/>
    <s v="Karnataka"/>
    <s v="South"/>
    <s v="UPI"/>
    <s v="Cancelled"/>
    <s v="No"/>
    <n v="5"/>
  </r>
  <r>
    <s v="ORD00825"/>
    <d v="2025-06-08T00:00:00"/>
    <s v="C1189"/>
    <x v="375"/>
    <s v="P1001"/>
    <x v="2"/>
    <x v="0"/>
    <x v="2"/>
    <x v="2"/>
    <n v="3"/>
    <n v="55000"/>
    <n v="15"/>
    <n v="140250"/>
    <n v="115500"/>
    <n v="24750.000000000011"/>
    <x v="0"/>
    <s v="Delhi"/>
    <s v="North"/>
    <s v="Cash"/>
    <s v="Delivered"/>
    <s v="No"/>
    <n v="5"/>
  </r>
  <r>
    <s v="ORD00826"/>
    <d v="2025-02-09T00:00:00"/>
    <s v="C1766"/>
    <x v="91"/>
    <s v="P1003"/>
    <x v="3"/>
    <x v="0"/>
    <x v="0"/>
    <x v="3"/>
    <n v="3"/>
    <n v="1500"/>
    <n v="10"/>
    <n v="4050"/>
    <n v="3150"/>
    <n v="900"/>
    <x v="0"/>
    <s v="Delhi"/>
    <s v="North"/>
    <s v="Cash"/>
    <s v="Cancelled"/>
    <s v="No"/>
    <n v="4"/>
  </r>
  <r>
    <s v="ORD00827"/>
    <d v="2025-03-28T00:00:00"/>
    <s v="C1667"/>
    <x v="233"/>
    <s v="P1004"/>
    <x v="4"/>
    <x v="0"/>
    <x v="3"/>
    <x v="4"/>
    <n v="2"/>
    <n v="3500"/>
    <n v="0"/>
    <n v="7000"/>
    <n v="4900"/>
    <n v="2100"/>
    <x v="3"/>
    <s v="Karnataka"/>
    <s v="South"/>
    <s v="Cash"/>
    <s v="Pending"/>
    <s v="No"/>
    <n v="4"/>
  </r>
  <r>
    <s v="ORD00828"/>
    <d v="2025-07-15T00:00:00"/>
    <s v="C1161"/>
    <x v="33"/>
    <s v="P1003"/>
    <x v="3"/>
    <x v="0"/>
    <x v="0"/>
    <x v="3"/>
    <n v="2"/>
    <n v="1500"/>
    <n v="15"/>
    <n v="2550"/>
    <n v="2100"/>
    <n v="450"/>
    <x v="1"/>
    <s v="Gujarat"/>
    <s v="West"/>
    <s v="Card"/>
    <s v="Pending"/>
    <s v="No"/>
    <n v="1"/>
  </r>
  <r>
    <s v="ORD00829"/>
    <d v="2025-01-26T00:00:00"/>
    <s v="C1464"/>
    <x v="356"/>
    <s v="P1002"/>
    <x v="0"/>
    <x v="0"/>
    <x v="0"/>
    <x v="0"/>
    <n v="2"/>
    <n v="800"/>
    <n v="5"/>
    <n v="1520"/>
    <n v="1120"/>
    <n v="400"/>
    <x v="2"/>
    <s v="Maharashtra"/>
    <s v="West"/>
    <s v="Cash"/>
    <s v="Cancelled"/>
    <s v="No"/>
    <n v="1"/>
  </r>
  <r>
    <s v="ORD00830"/>
    <d v="2025-10-06T00:00:00"/>
    <s v="C1075"/>
    <x v="337"/>
    <s v="P1004"/>
    <x v="4"/>
    <x v="0"/>
    <x v="3"/>
    <x v="4"/>
    <n v="2"/>
    <n v="3500"/>
    <n v="0"/>
    <n v="7000"/>
    <n v="4900"/>
    <n v="2100"/>
    <x v="1"/>
    <s v="Gujarat"/>
    <s v="West"/>
    <s v="Card"/>
    <s v="Delivered"/>
    <s v="No"/>
    <n v="5"/>
  </r>
  <r>
    <s v="ORD00831"/>
    <d v="2025-09-04T00:00:00"/>
    <s v="C1454"/>
    <x v="399"/>
    <s v="P1001"/>
    <x v="2"/>
    <x v="0"/>
    <x v="2"/>
    <x v="2"/>
    <n v="4"/>
    <n v="55000"/>
    <n v="15"/>
    <n v="187000"/>
    <n v="154000"/>
    <n v="33000"/>
    <x v="2"/>
    <s v="Maharashtra"/>
    <s v="West"/>
    <s v="UPI"/>
    <s v="Pending"/>
    <s v="Yes"/>
    <n v="5"/>
  </r>
  <r>
    <s v="ORD00832"/>
    <d v="2025-11-07T00:00:00"/>
    <s v="C1906"/>
    <x v="136"/>
    <s v="P1003"/>
    <x v="3"/>
    <x v="0"/>
    <x v="0"/>
    <x v="3"/>
    <n v="5"/>
    <n v="1500"/>
    <n v="10"/>
    <n v="6750"/>
    <n v="5250"/>
    <n v="1500"/>
    <x v="2"/>
    <s v="Maharashtra"/>
    <s v="West"/>
    <s v="UPI"/>
    <s v="Delivered"/>
    <s v="No"/>
    <n v="5"/>
  </r>
  <r>
    <s v="ORD00833"/>
    <d v="2025-05-26T00:00:00"/>
    <s v="C1691"/>
    <x v="400"/>
    <s v="P1004"/>
    <x v="4"/>
    <x v="0"/>
    <x v="3"/>
    <x v="4"/>
    <n v="1"/>
    <n v="3500"/>
    <n v="15"/>
    <n v="2975"/>
    <n v="2450"/>
    <n v="525"/>
    <x v="0"/>
    <s v="Delhi"/>
    <s v="North"/>
    <s v="UPI"/>
    <s v="Delivered"/>
    <s v="No"/>
    <n v="5"/>
  </r>
  <r>
    <s v="ORD00834"/>
    <d v="2025-01-20T00:00:00"/>
    <s v="C1016"/>
    <x v="282"/>
    <s v="P1002"/>
    <x v="0"/>
    <x v="0"/>
    <x v="0"/>
    <x v="0"/>
    <n v="1"/>
    <n v="800"/>
    <n v="0"/>
    <n v="800"/>
    <n v="560"/>
    <n v="240"/>
    <x v="3"/>
    <s v="Karnataka"/>
    <s v="South"/>
    <s v="Cash"/>
    <s v="Delivered"/>
    <s v="Yes"/>
    <n v="5"/>
  </r>
  <r>
    <s v="ORD00835"/>
    <d v="2025-01-08T00:00:00"/>
    <s v="C1261"/>
    <x v="300"/>
    <s v="P1001"/>
    <x v="2"/>
    <x v="0"/>
    <x v="2"/>
    <x v="2"/>
    <n v="1"/>
    <n v="55000"/>
    <n v="10"/>
    <n v="49500"/>
    <n v="38500"/>
    <n v="11000"/>
    <x v="0"/>
    <s v="Delhi"/>
    <s v="North"/>
    <s v="UPI"/>
    <s v="Cancelled"/>
    <s v="Yes"/>
    <n v="4"/>
  </r>
  <r>
    <s v="ORD00836"/>
    <d v="2025-05-16T00:00:00"/>
    <s v="C1083"/>
    <x v="52"/>
    <s v="P1004"/>
    <x v="4"/>
    <x v="0"/>
    <x v="3"/>
    <x v="4"/>
    <n v="3"/>
    <n v="3500"/>
    <n v="10"/>
    <n v="9450"/>
    <n v="7349.9999999999991"/>
    <n v="2100.0000000000009"/>
    <x v="0"/>
    <s v="Delhi"/>
    <s v="North"/>
    <s v="UPI"/>
    <s v="Pending"/>
    <s v="Yes"/>
    <n v="3"/>
  </r>
  <r>
    <s v="ORD00837"/>
    <d v="2025-05-28T00:00:00"/>
    <s v="C1531"/>
    <x v="364"/>
    <s v="P1002"/>
    <x v="0"/>
    <x v="0"/>
    <x v="0"/>
    <x v="0"/>
    <n v="5"/>
    <n v="800"/>
    <n v="0"/>
    <n v="4000"/>
    <n v="2800"/>
    <n v="1200"/>
    <x v="0"/>
    <s v="Delhi"/>
    <s v="North"/>
    <s v="Card"/>
    <s v="Pending"/>
    <s v="Yes"/>
    <n v="3"/>
  </r>
  <r>
    <s v="ORD00838"/>
    <d v="2025-12-09T00:00:00"/>
    <s v="C1073"/>
    <x v="30"/>
    <s v="P1005"/>
    <x v="1"/>
    <x v="1"/>
    <x v="1"/>
    <x v="1"/>
    <n v="3"/>
    <n v="4500"/>
    <n v="0"/>
    <n v="13500"/>
    <n v="9450"/>
    <n v="4050"/>
    <x v="0"/>
    <s v="Delhi"/>
    <s v="North"/>
    <s v="Card"/>
    <s v="Pending"/>
    <s v="Yes"/>
    <n v="3"/>
  </r>
  <r>
    <s v="ORD00839"/>
    <d v="2025-05-31T00:00:00"/>
    <s v="C1392"/>
    <x v="1"/>
    <s v="P1004"/>
    <x v="4"/>
    <x v="0"/>
    <x v="3"/>
    <x v="4"/>
    <n v="2"/>
    <n v="3500"/>
    <n v="10"/>
    <n v="6300"/>
    <n v="4900"/>
    <n v="1400"/>
    <x v="2"/>
    <s v="Maharashtra"/>
    <s v="West"/>
    <s v="Card"/>
    <s v="Cancelled"/>
    <s v="No"/>
    <n v="5"/>
  </r>
  <r>
    <s v="ORD00840"/>
    <d v="2025-11-09T00:00:00"/>
    <s v="C1651"/>
    <x v="110"/>
    <s v="P1001"/>
    <x v="2"/>
    <x v="0"/>
    <x v="2"/>
    <x v="2"/>
    <n v="4"/>
    <n v="55000"/>
    <n v="15"/>
    <n v="187000"/>
    <n v="154000"/>
    <n v="33000"/>
    <x v="3"/>
    <s v="Karnataka"/>
    <s v="South"/>
    <s v="UPI"/>
    <s v="Delivered"/>
    <s v="Yes"/>
    <n v="1"/>
  </r>
  <r>
    <s v="ORD00841"/>
    <d v="2025-11-24T00:00:00"/>
    <s v="C1095"/>
    <x v="20"/>
    <s v="P1003"/>
    <x v="3"/>
    <x v="0"/>
    <x v="0"/>
    <x v="3"/>
    <n v="5"/>
    <n v="1500"/>
    <n v="5"/>
    <n v="7125"/>
    <n v="5250"/>
    <n v="1875"/>
    <x v="1"/>
    <s v="Gujarat"/>
    <s v="West"/>
    <s v="Cash"/>
    <s v="Pending"/>
    <s v="Yes"/>
    <n v="3"/>
  </r>
  <r>
    <s v="ORD00842"/>
    <d v="2025-06-19T00:00:00"/>
    <s v="C1558"/>
    <x v="39"/>
    <s v="P1004"/>
    <x v="4"/>
    <x v="0"/>
    <x v="3"/>
    <x v="4"/>
    <n v="1"/>
    <n v="3500"/>
    <n v="10"/>
    <n v="3150"/>
    <n v="2450"/>
    <n v="700"/>
    <x v="1"/>
    <s v="Gujarat"/>
    <s v="West"/>
    <s v="Cash"/>
    <s v="Cancelled"/>
    <s v="Yes"/>
    <n v="2"/>
  </r>
  <r>
    <s v="ORD00843"/>
    <d v="2025-06-20T00:00:00"/>
    <s v="C1426"/>
    <x v="281"/>
    <s v="P1005"/>
    <x v="1"/>
    <x v="1"/>
    <x v="1"/>
    <x v="1"/>
    <n v="5"/>
    <n v="4500"/>
    <n v="15"/>
    <n v="19125"/>
    <n v="15750"/>
    <n v="3375.0000000000018"/>
    <x v="0"/>
    <s v="Delhi"/>
    <s v="North"/>
    <s v="UPI"/>
    <s v="Delivered"/>
    <s v="No"/>
    <n v="1"/>
  </r>
  <r>
    <s v="ORD00844"/>
    <d v="2025-03-25T00:00:00"/>
    <s v="C1066"/>
    <x v="22"/>
    <s v="P1002"/>
    <x v="0"/>
    <x v="0"/>
    <x v="0"/>
    <x v="0"/>
    <n v="5"/>
    <n v="800"/>
    <n v="10"/>
    <n v="3600"/>
    <n v="2800"/>
    <n v="800"/>
    <x v="2"/>
    <s v="Maharashtra"/>
    <s v="West"/>
    <s v="Card"/>
    <s v="Pending"/>
    <s v="Yes"/>
    <n v="2"/>
  </r>
  <r>
    <s v="ORD00845"/>
    <d v="2025-12-31T00:00:00"/>
    <s v="C1672"/>
    <x v="177"/>
    <s v="P1004"/>
    <x v="4"/>
    <x v="0"/>
    <x v="3"/>
    <x v="4"/>
    <n v="1"/>
    <n v="3500"/>
    <n v="5"/>
    <n v="3325"/>
    <n v="2450"/>
    <n v="875"/>
    <x v="1"/>
    <s v="Gujarat"/>
    <s v="West"/>
    <s v="Card"/>
    <s v="Delivered"/>
    <s v="No"/>
    <n v="5"/>
  </r>
  <r>
    <s v="ORD00846"/>
    <d v="2025-04-29T00:00:00"/>
    <s v="C1952"/>
    <x v="401"/>
    <s v="P1005"/>
    <x v="1"/>
    <x v="1"/>
    <x v="1"/>
    <x v="1"/>
    <n v="3"/>
    <n v="4500"/>
    <n v="15"/>
    <n v="11475"/>
    <n v="9450"/>
    <n v="2025"/>
    <x v="3"/>
    <s v="Karnataka"/>
    <s v="South"/>
    <s v="Card"/>
    <s v="Pending"/>
    <s v="Yes"/>
    <n v="5"/>
  </r>
  <r>
    <s v="ORD00847"/>
    <d v="2025-11-12T00:00:00"/>
    <s v="C1431"/>
    <x v="143"/>
    <s v="P1001"/>
    <x v="2"/>
    <x v="0"/>
    <x v="2"/>
    <x v="2"/>
    <n v="4"/>
    <n v="55000"/>
    <n v="15"/>
    <n v="187000"/>
    <n v="154000"/>
    <n v="33000"/>
    <x v="2"/>
    <s v="Maharashtra"/>
    <s v="West"/>
    <s v="UPI"/>
    <s v="Delivered"/>
    <s v="Yes"/>
    <n v="4"/>
  </r>
  <r>
    <s v="ORD00848"/>
    <d v="2025-07-11T00:00:00"/>
    <s v="C1371"/>
    <x v="402"/>
    <s v="P1005"/>
    <x v="1"/>
    <x v="1"/>
    <x v="1"/>
    <x v="1"/>
    <n v="1"/>
    <n v="4500"/>
    <n v="5"/>
    <n v="4275"/>
    <n v="3150"/>
    <n v="1125"/>
    <x v="1"/>
    <s v="Gujarat"/>
    <s v="West"/>
    <s v="UPI"/>
    <s v="Delivered"/>
    <s v="Yes"/>
    <n v="1"/>
  </r>
  <r>
    <s v="ORD00849"/>
    <d v="2025-05-16T00:00:00"/>
    <s v="C1643"/>
    <x v="403"/>
    <s v="P1004"/>
    <x v="4"/>
    <x v="0"/>
    <x v="3"/>
    <x v="4"/>
    <n v="4"/>
    <n v="3500"/>
    <n v="0"/>
    <n v="14000"/>
    <n v="9800"/>
    <n v="4200"/>
    <x v="1"/>
    <s v="Gujarat"/>
    <s v="West"/>
    <s v="Cash"/>
    <s v="Pending"/>
    <s v="Yes"/>
    <n v="1"/>
  </r>
  <r>
    <s v="ORD00850"/>
    <d v="2025-08-29T00:00:00"/>
    <s v="C1721"/>
    <x v="161"/>
    <s v="P1004"/>
    <x v="4"/>
    <x v="0"/>
    <x v="3"/>
    <x v="4"/>
    <n v="5"/>
    <n v="3500"/>
    <n v="10"/>
    <n v="15750"/>
    <n v="12250"/>
    <n v="3500"/>
    <x v="1"/>
    <s v="Gujarat"/>
    <s v="West"/>
    <s v="Card"/>
    <s v="Pending"/>
    <s v="Yes"/>
    <n v="1"/>
  </r>
  <r>
    <s v="ORD00851"/>
    <d v="2025-02-22T00:00:00"/>
    <s v="C1688"/>
    <x v="198"/>
    <s v="P1003"/>
    <x v="3"/>
    <x v="0"/>
    <x v="0"/>
    <x v="3"/>
    <n v="1"/>
    <n v="1500"/>
    <n v="0"/>
    <n v="1500"/>
    <n v="1050"/>
    <n v="450"/>
    <x v="1"/>
    <s v="Gujarat"/>
    <s v="West"/>
    <s v="Card"/>
    <s v="Cancelled"/>
    <s v="Yes"/>
    <n v="1"/>
  </r>
  <r>
    <s v="ORD00852"/>
    <d v="2025-10-14T00:00:00"/>
    <s v="C1506"/>
    <x v="404"/>
    <s v="P1002"/>
    <x v="0"/>
    <x v="0"/>
    <x v="0"/>
    <x v="0"/>
    <n v="2"/>
    <n v="800"/>
    <n v="15"/>
    <n v="1360"/>
    <n v="1120"/>
    <n v="240"/>
    <x v="1"/>
    <s v="Gujarat"/>
    <s v="West"/>
    <s v="UPI"/>
    <s v="Cancelled"/>
    <s v="Yes"/>
    <n v="1"/>
  </r>
  <r>
    <s v="ORD00853"/>
    <d v="2025-01-05T00:00:00"/>
    <s v="C1017"/>
    <x v="405"/>
    <s v="P1003"/>
    <x v="3"/>
    <x v="0"/>
    <x v="0"/>
    <x v="3"/>
    <n v="2"/>
    <n v="1500"/>
    <n v="0"/>
    <n v="3000"/>
    <n v="2100"/>
    <n v="900"/>
    <x v="3"/>
    <s v="Karnataka"/>
    <s v="South"/>
    <s v="UPI"/>
    <s v="Pending"/>
    <s v="No"/>
    <n v="5"/>
  </r>
  <r>
    <s v="ORD00854"/>
    <d v="2025-02-06T00:00:00"/>
    <s v="C1902"/>
    <x v="406"/>
    <s v="P1004"/>
    <x v="4"/>
    <x v="0"/>
    <x v="3"/>
    <x v="4"/>
    <n v="1"/>
    <n v="3500"/>
    <n v="15"/>
    <n v="2975"/>
    <n v="2450"/>
    <n v="525"/>
    <x v="3"/>
    <s v="Karnataka"/>
    <s v="South"/>
    <s v="UPI"/>
    <s v="Delivered"/>
    <s v="Yes"/>
    <n v="4"/>
  </r>
  <r>
    <s v="ORD00855"/>
    <d v="2025-02-10T00:00:00"/>
    <s v="C1935"/>
    <x v="53"/>
    <s v="P1002"/>
    <x v="0"/>
    <x v="0"/>
    <x v="0"/>
    <x v="0"/>
    <n v="2"/>
    <n v="800"/>
    <n v="10"/>
    <n v="1440"/>
    <n v="1120"/>
    <n v="320"/>
    <x v="2"/>
    <s v="Maharashtra"/>
    <s v="West"/>
    <s v="UPI"/>
    <s v="Pending"/>
    <s v="No"/>
    <n v="5"/>
  </r>
  <r>
    <s v="ORD00856"/>
    <d v="2025-08-16T00:00:00"/>
    <s v="C1793"/>
    <x v="176"/>
    <s v="P1003"/>
    <x v="3"/>
    <x v="0"/>
    <x v="0"/>
    <x v="3"/>
    <n v="3"/>
    <n v="1500"/>
    <n v="15"/>
    <n v="3825"/>
    <n v="3150"/>
    <n v="675"/>
    <x v="3"/>
    <s v="Karnataka"/>
    <s v="South"/>
    <s v="Cash"/>
    <s v="Delivered"/>
    <s v="Yes"/>
    <n v="2"/>
  </r>
  <r>
    <s v="ORD00857"/>
    <d v="2025-05-16T00:00:00"/>
    <s v="C1706"/>
    <x v="357"/>
    <s v="P1002"/>
    <x v="0"/>
    <x v="0"/>
    <x v="0"/>
    <x v="0"/>
    <n v="1"/>
    <n v="800"/>
    <n v="10"/>
    <n v="720"/>
    <n v="560"/>
    <n v="160"/>
    <x v="3"/>
    <s v="Karnataka"/>
    <s v="South"/>
    <s v="Cash"/>
    <s v="Pending"/>
    <s v="No"/>
    <n v="4"/>
  </r>
  <r>
    <s v="ORD00858"/>
    <d v="2025-12-15T00:00:00"/>
    <s v="C1901"/>
    <x v="407"/>
    <s v="P1003"/>
    <x v="3"/>
    <x v="0"/>
    <x v="0"/>
    <x v="3"/>
    <n v="1"/>
    <n v="1500"/>
    <n v="0"/>
    <n v="1500"/>
    <n v="1050"/>
    <n v="450"/>
    <x v="0"/>
    <s v="Delhi"/>
    <s v="North"/>
    <s v="Card"/>
    <s v="Cancelled"/>
    <s v="No"/>
    <n v="2"/>
  </r>
  <r>
    <s v="ORD00859"/>
    <d v="2025-03-03T00:00:00"/>
    <s v="C1901"/>
    <x v="408"/>
    <s v="P1002"/>
    <x v="0"/>
    <x v="0"/>
    <x v="0"/>
    <x v="0"/>
    <n v="2"/>
    <n v="800"/>
    <n v="0"/>
    <n v="1600"/>
    <n v="1120"/>
    <n v="480"/>
    <x v="3"/>
    <s v="Karnataka"/>
    <s v="South"/>
    <s v="Cash"/>
    <s v="Delivered"/>
    <s v="Yes"/>
    <n v="2"/>
  </r>
  <r>
    <s v="ORD00860"/>
    <d v="2025-01-08T00:00:00"/>
    <s v="C1760"/>
    <x v="403"/>
    <s v="P1005"/>
    <x v="1"/>
    <x v="1"/>
    <x v="1"/>
    <x v="1"/>
    <n v="5"/>
    <n v="4500"/>
    <n v="15"/>
    <n v="19125"/>
    <n v="15750"/>
    <n v="3375.0000000000018"/>
    <x v="2"/>
    <s v="Maharashtra"/>
    <s v="West"/>
    <s v="UPI"/>
    <s v="Pending"/>
    <s v="Yes"/>
    <n v="5"/>
  </r>
  <r>
    <s v="ORD00861"/>
    <d v="2025-11-03T00:00:00"/>
    <s v="C1905"/>
    <x v="252"/>
    <s v="P1003"/>
    <x v="3"/>
    <x v="0"/>
    <x v="0"/>
    <x v="3"/>
    <n v="4"/>
    <n v="1500"/>
    <n v="5"/>
    <n v="5700"/>
    <n v="4200"/>
    <n v="1500"/>
    <x v="2"/>
    <s v="Maharashtra"/>
    <s v="West"/>
    <s v="Cash"/>
    <s v="Delivered"/>
    <s v="No"/>
    <n v="2"/>
  </r>
  <r>
    <s v="ORD00862"/>
    <d v="2025-09-30T00:00:00"/>
    <s v="C1698"/>
    <x v="81"/>
    <s v="P1001"/>
    <x v="2"/>
    <x v="0"/>
    <x v="2"/>
    <x v="2"/>
    <n v="3"/>
    <n v="55000"/>
    <n v="15"/>
    <n v="140250"/>
    <n v="115500"/>
    <n v="24750.000000000011"/>
    <x v="3"/>
    <s v="Karnataka"/>
    <s v="South"/>
    <s v="Card"/>
    <s v="Delivered"/>
    <s v="No"/>
    <n v="5"/>
  </r>
  <r>
    <s v="ORD00863"/>
    <d v="2025-08-10T00:00:00"/>
    <s v="C1124"/>
    <x v="262"/>
    <s v="P1004"/>
    <x v="4"/>
    <x v="0"/>
    <x v="3"/>
    <x v="4"/>
    <n v="2"/>
    <n v="3500"/>
    <n v="0"/>
    <n v="7000"/>
    <n v="4900"/>
    <n v="2100"/>
    <x v="1"/>
    <s v="Gujarat"/>
    <s v="West"/>
    <s v="UPI"/>
    <s v="Cancelled"/>
    <s v="No"/>
    <n v="5"/>
  </r>
  <r>
    <s v="ORD00864"/>
    <d v="2025-09-15T00:00:00"/>
    <s v="C1581"/>
    <x v="397"/>
    <s v="P1005"/>
    <x v="1"/>
    <x v="1"/>
    <x v="1"/>
    <x v="1"/>
    <n v="3"/>
    <n v="4500"/>
    <n v="15"/>
    <n v="11475"/>
    <n v="9450"/>
    <n v="2025"/>
    <x v="1"/>
    <s v="Gujarat"/>
    <s v="West"/>
    <s v="Card"/>
    <s v="Pending"/>
    <s v="Yes"/>
    <n v="1"/>
  </r>
  <r>
    <s v="ORD00865"/>
    <d v="2025-09-07T00:00:00"/>
    <s v="C1357"/>
    <x v="400"/>
    <s v="P1001"/>
    <x v="2"/>
    <x v="0"/>
    <x v="2"/>
    <x v="2"/>
    <n v="2"/>
    <n v="55000"/>
    <n v="10"/>
    <n v="99000"/>
    <n v="77000"/>
    <n v="22000"/>
    <x v="0"/>
    <s v="Delhi"/>
    <s v="North"/>
    <s v="Card"/>
    <s v="Delivered"/>
    <s v="No"/>
    <n v="5"/>
  </r>
  <r>
    <s v="ORD00866"/>
    <d v="2025-03-12T00:00:00"/>
    <s v="C1511"/>
    <x v="146"/>
    <s v="P1002"/>
    <x v="0"/>
    <x v="0"/>
    <x v="0"/>
    <x v="0"/>
    <n v="4"/>
    <n v="800"/>
    <n v="15"/>
    <n v="2720"/>
    <n v="2240"/>
    <n v="480"/>
    <x v="1"/>
    <s v="Gujarat"/>
    <s v="West"/>
    <s v="Card"/>
    <s v="Delivered"/>
    <s v="Yes"/>
    <n v="5"/>
  </r>
  <r>
    <s v="ORD00867"/>
    <d v="2025-12-07T00:00:00"/>
    <s v="C1594"/>
    <x v="28"/>
    <s v="P1004"/>
    <x v="4"/>
    <x v="0"/>
    <x v="3"/>
    <x v="4"/>
    <n v="5"/>
    <n v="3500"/>
    <n v="15"/>
    <n v="14875"/>
    <n v="12250"/>
    <n v="2625"/>
    <x v="0"/>
    <s v="Delhi"/>
    <s v="North"/>
    <s v="UPI"/>
    <s v="Cancelled"/>
    <s v="No"/>
    <n v="1"/>
  </r>
  <r>
    <s v="ORD00868"/>
    <d v="2025-02-02T00:00:00"/>
    <s v="C1103"/>
    <x v="201"/>
    <s v="P1001"/>
    <x v="2"/>
    <x v="0"/>
    <x v="2"/>
    <x v="2"/>
    <n v="1"/>
    <n v="55000"/>
    <n v="5"/>
    <n v="52250"/>
    <n v="38500"/>
    <n v="13750"/>
    <x v="2"/>
    <s v="Maharashtra"/>
    <s v="West"/>
    <s v="UPI"/>
    <s v="Delivered"/>
    <s v="Yes"/>
    <n v="5"/>
  </r>
  <r>
    <s v="ORD00869"/>
    <d v="2025-08-09T00:00:00"/>
    <s v="C1951"/>
    <x v="305"/>
    <s v="P1003"/>
    <x v="3"/>
    <x v="0"/>
    <x v="0"/>
    <x v="3"/>
    <n v="5"/>
    <n v="1500"/>
    <n v="10"/>
    <n v="6750"/>
    <n v="5250"/>
    <n v="1500"/>
    <x v="1"/>
    <s v="Gujarat"/>
    <s v="West"/>
    <s v="UPI"/>
    <s v="Pending"/>
    <s v="Yes"/>
    <n v="1"/>
  </r>
  <r>
    <s v="ORD00870"/>
    <d v="2025-08-13T00:00:00"/>
    <s v="C1618"/>
    <x v="324"/>
    <s v="P1005"/>
    <x v="1"/>
    <x v="1"/>
    <x v="1"/>
    <x v="1"/>
    <n v="5"/>
    <n v="4500"/>
    <n v="5"/>
    <n v="21375"/>
    <n v="15750"/>
    <n v="5625.0000000000018"/>
    <x v="2"/>
    <s v="Maharashtra"/>
    <s v="West"/>
    <s v="UPI"/>
    <s v="Cancelled"/>
    <s v="Yes"/>
    <n v="5"/>
  </r>
  <r>
    <s v="ORD00871"/>
    <d v="2025-03-19T00:00:00"/>
    <s v="C1139"/>
    <x v="99"/>
    <s v="P1004"/>
    <x v="4"/>
    <x v="0"/>
    <x v="3"/>
    <x v="4"/>
    <n v="3"/>
    <n v="3500"/>
    <n v="0"/>
    <n v="10500"/>
    <n v="7349.9999999999991"/>
    <n v="3150.0000000000009"/>
    <x v="3"/>
    <s v="Karnataka"/>
    <s v="South"/>
    <s v="Card"/>
    <s v="Cancelled"/>
    <s v="Yes"/>
    <n v="2"/>
  </r>
  <r>
    <s v="ORD00872"/>
    <d v="2025-01-12T00:00:00"/>
    <s v="C1811"/>
    <x v="41"/>
    <s v="P1003"/>
    <x v="3"/>
    <x v="0"/>
    <x v="0"/>
    <x v="3"/>
    <n v="1"/>
    <n v="1500"/>
    <n v="15"/>
    <n v="1275"/>
    <n v="1050"/>
    <n v="225"/>
    <x v="1"/>
    <s v="Gujarat"/>
    <s v="West"/>
    <s v="UPI"/>
    <s v="Cancelled"/>
    <s v="Yes"/>
    <n v="1"/>
  </r>
  <r>
    <s v="ORD00873"/>
    <d v="2025-06-27T00:00:00"/>
    <s v="C1768"/>
    <x v="409"/>
    <s v="P1002"/>
    <x v="0"/>
    <x v="0"/>
    <x v="0"/>
    <x v="0"/>
    <n v="4"/>
    <n v="800"/>
    <n v="10"/>
    <n v="2880"/>
    <n v="2240"/>
    <n v="640"/>
    <x v="2"/>
    <s v="Maharashtra"/>
    <s v="West"/>
    <s v="UPI"/>
    <s v="Cancelled"/>
    <s v="No"/>
    <n v="2"/>
  </r>
  <r>
    <s v="ORD00874"/>
    <d v="2025-08-12T00:00:00"/>
    <s v="C1502"/>
    <x v="410"/>
    <s v="P1001"/>
    <x v="2"/>
    <x v="0"/>
    <x v="2"/>
    <x v="2"/>
    <n v="5"/>
    <n v="55000"/>
    <n v="10"/>
    <n v="247500"/>
    <n v="192500"/>
    <n v="55000"/>
    <x v="1"/>
    <s v="Gujarat"/>
    <s v="West"/>
    <s v="Cash"/>
    <s v="Pending"/>
    <s v="Yes"/>
    <n v="5"/>
  </r>
  <r>
    <s v="ORD00875"/>
    <d v="2025-10-30T00:00:00"/>
    <s v="C1178"/>
    <x v="411"/>
    <s v="P1002"/>
    <x v="0"/>
    <x v="0"/>
    <x v="0"/>
    <x v="0"/>
    <n v="3"/>
    <n v="800"/>
    <n v="0"/>
    <n v="2400"/>
    <n v="1680"/>
    <n v="720"/>
    <x v="2"/>
    <s v="Maharashtra"/>
    <s v="West"/>
    <s v="Cash"/>
    <s v="Delivered"/>
    <s v="No"/>
    <n v="5"/>
  </r>
  <r>
    <s v="ORD00876"/>
    <d v="2025-12-01T00:00:00"/>
    <s v="C1114"/>
    <x v="299"/>
    <s v="P1004"/>
    <x v="4"/>
    <x v="0"/>
    <x v="3"/>
    <x v="4"/>
    <n v="1"/>
    <n v="3500"/>
    <n v="15"/>
    <n v="2975"/>
    <n v="2450"/>
    <n v="525"/>
    <x v="1"/>
    <s v="Gujarat"/>
    <s v="West"/>
    <s v="Card"/>
    <s v="Cancelled"/>
    <s v="Yes"/>
    <n v="1"/>
  </r>
  <r>
    <s v="ORD00877"/>
    <d v="2025-03-17T00:00:00"/>
    <s v="C1933"/>
    <x v="107"/>
    <s v="P1001"/>
    <x v="2"/>
    <x v="0"/>
    <x v="2"/>
    <x v="2"/>
    <n v="2"/>
    <n v="55000"/>
    <n v="10"/>
    <n v="99000"/>
    <n v="77000"/>
    <n v="22000"/>
    <x v="0"/>
    <s v="Delhi"/>
    <s v="North"/>
    <s v="UPI"/>
    <s v="Cancelled"/>
    <s v="No"/>
    <n v="4"/>
  </r>
  <r>
    <s v="ORD00878"/>
    <d v="2025-12-13T00:00:00"/>
    <s v="C1592"/>
    <x v="412"/>
    <s v="P1002"/>
    <x v="0"/>
    <x v="0"/>
    <x v="0"/>
    <x v="0"/>
    <n v="5"/>
    <n v="800"/>
    <n v="10"/>
    <n v="3600"/>
    <n v="2800"/>
    <n v="800"/>
    <x v="1"/>
    <s v="Gujarat"/>
    <s v="West"/>
    <s v="Card"/>
    <s v="Delivered"/>
    <s v="No"/>
    <n v="1"/>
  </r>
  <r>
    <s v="ORD00879"/>
    <d v="2025-09-05T00:00:00"/>
    <s v="C1259"/>
    <x v="238"/>
    <s v="P1004"/>
    <x v="4"/>
    <x v="0"/>
    <x v="3"/>
    <x v="4"/>
    <n v="2"/>
    <n v="3500"/>
    <n v="5"/>
    <n v="6650"/>
    <n v="4900"/>
    <n v="1750"/>
    <x v="2"/>
    <s v="Maharashtra"/>
    <s v="West"/>
    <s v="Card"/>
    <s v="Cancelled"/>
    <s v="No"/>
    <n v="3"/>
  </r>
  <r>
    <s v="ORD00880"/>
    <d v="2025-01-13T00:00:00"/>
    <s v="C1109"/>
    <x v="300"/>
    <s v="P1003"/>
    <x v="3"/>
    <x v="0"/>
    <x v="0"/>
    <x v="3"/>
    <n v="4"/>
    <n v="1500"/>
    <n v="5"/>
    <n v="5700"/>
    <n v="4200"/>
    <n v="1500"/>
    <x v="2"/>
    <s v="Maharashtra"/>
    <s v="West"/>
    <s v="Cash"/>
    <s v="Cancelled"/>
    <s v="No"/>
    <n v="5"/>
  </r>
  <r>
    <s v="ORD00881"/>
    <d v="2025-03-19T00:00:00"/>
    <s v="C1381"/>
    <x v="413"/>
    <s v="P1005"/>
    <x v="1"/>
    <x v="1"/>
    <x v="1"/>
    <x v="1"/>
    <n v="2"/>
    <n v="4500"/>
    <n v="0"/>
    <n v="9000"/>
    <n v="6300"/>
    <n v="2700"/>
    <x v="0"/>
    <s v="Delhi"/>
    <s v="North"/>
    <s v="Cash"/>
    <s v="Delivered"/>
    <s v="Yes"/>
    <n v="1"/>
  </r>
  <r>
    <s v="ORD00882"/>
    <d v="2025-08-28T00:00:00"/>
    <s v="C1701"/>
    <x v="408"/>
    <s v="P1003"/>
    <x v="3"/>
    <x v="0"/>
    <x v="0"/>
    <x v="3"/>
    <n v="4"/>
    <n v="1500"/>
    <n v="15"/>
    <n v="5100"/>
    <n v="4200"/>
    <n v="900"/>
    <x v="3"/>
    <s v="Karnataka"/>
    <s v="South"/>
    <s v="UPI"/>
    <s v="Pending"/>
    <s v="Yes"/>
    <n v="5"/>
  </r>
  <r>
    <s v="ORD00883"/>
    <d v="2025-09-28T00:00:00"/>
    <s v="C1912"/>
    <x v="294"/>
    <s v="P1002"/>
    <x v="0"/>
    <x v="0"/>
    <x v="0"/>
    <x v="0"/>
    <n v="3"/>
    <n v="800"/>
    <n v="5"/>
    <n v="2280"/>
    <n v="1680"/>
    <n v="600"/>
    <x v="3"/>
    <s v="Karnataka"/>
    <s v="South"/>
    <s v="Card"/>
    <s v="Cancelled"/>
    <s v="Yes"/>
    <n v="2"/>
  </r>
  <r>
    <s v="ORD00884"/>
    <d v="2025-06-20T00:00:00"/>
    <s v="C1238"/>
    <x v="342"/>
    <s v="P1001"/>
    <x v="2"/>
    <x v="0"/>
    <x v="2"/>
    <x v="2"/>
    <n v="1"/>
    <n v="55000"/>
    <n v="15"/>
    <n v="46750"/>
    <n v="38500"/>
    <n v="8250"/>
    <x v="2"/>
    <s v="Maharashtra"/>
    <s v="West"/>
    <s v="UPI"/>
    <s v="Cancelled"/>
    <s v="Yes"/>
    <n v="1"/>
  </r>
  <r>
    <s v="ORD00885"/>
    <d v="2025-05-14T00:00:00"/>
    <s v="C1279"/>
    <x v="414"/>
    <s v="P1004"/>
    <x v="4"/>
    <x v="0"/>
    <x v="3"/>
    <x v="4"/>
    <n v="3"/>
    <n v="3500"/>
    <n v="0"/>
    <n v="10500"/>
    <n v="7349.9999999999991"/>
    <n v="3150.0000000000009"/>
    <x v="2"/>
    <s v="Maharashtra"/>
    <s v="West"/>
    <s v="Card"/>
    <s v="Pending"/>
    <s v="No"/>
    <n v="4"/>
  </r>
  <r>
    <s v="ORD00886"/>
    <d v="2025-09-28T00:00:00"/>
    <s v="C1831"/>
    <x v="415"/>
    <s v="P1003"/>
    <x v="3"/>
    <x v="0"/>
    <x v="0"/>
    <x v="3"/>
    <n v="2"/>
    <n v="1500"/>
    <n v="15"/>
    <n v="2550"/>
    <n v="2100"/>
    <n v="450"/>
    <x v="2"/>
    <s v="Maharashtra"/>
    <s v="West"/>
    <s v="Card"/>
    <s v="Pending"/>
    <s v="Yes"/>
    <n v="4"/>
  </r>
  <r>
    <s v="ORD00887"/>
    <d v="2025-01-18T00:00:00"/>
    <s v="C1805"/>
    <x v="110"/>
    <s v="P1001"/>
    <x v="2"/>
    <x v="0"/>
    <x v="2"/>
    <x v="2"/>
    <n v="2"/>
    <n v="55000"/>
    <n v="0"/>
    <n v="110000"/>
    <n v="77000"/>
    <n v="33000"/>
    <x v="1"/>
    <s v="Gujarat"/>
    <s v="West"/>
    <s v="UPI"/>
    <s v="Delivered"/>
    <s v="Yes"/>
    <n v="2"/>
  </r>
  <r>
    <s v="ORD00888"/>
    <d v="2025-06-19T00:00:00"/>
    <s v="C1551"/>
    <x v="2"/>
    <s v="P1003"/>
    <x v="3"/>
    <x v="0"/>
    <x v="0"/>
    <x v="3"/>
    <n v="2"/>
    <n v="1500"/>
    <n v="15"/>
    <n v="2550"/>
    <n v="2100"/>
    <n v="450"/>
    <x v="0"/>
    <s v="Delhi"/>
    <s v="North"/>
    <s v="Cash"/>
    <s v="Pending"/>
    <s v="No"/>
    <n v="5"/>
  </r>
  <r>
    <s v="ORD00889"/>
    <d v="2025-02-14T00:00:00"/>
    <s v="C1637"/>
    <x v="94"/>
    <s v="P1001"/>
    <x v="2"/>
    <x v="0"/>
    <x v="2"/>
    <x v="2"/>
    <n v="5"/>
    <n v="55000"/>
    <n v="15"/>
    <n v="233750"/>
    <n v="192500"/>
    <n v="41250"/>
    <x v="3"/>
    <s v="Karnataka"/>
    <s v="South"/>
    <s v="Cash"/>
    <s v="Pending"/>
    <s v="Yes"/>
    <n v="1"/>
  </r>
  <r>
    <s v="ORD00890"/>
    <d v="2025-09-18T00:00:00"/>
    <s v="C1468"/>
    <x v="240"/>
    <s v="P1005"/>
    <x v="1"/>
    <x v="1"/>
    <x v="1"/>
    <x v="1"/>
    <n v="2"/>
    <n v="4500"/>
    <n v="15"/>
    <n v="7650"/>
    <n v="6300"/>
    <n v="1350"/>
    <x v="2"/>
    <s v="Maharashtra"/>
    <s v="West"/>
    <s v="Cash"/>
    <s v="Pending"/>
    <s v="No"/>
    <n v="2"/>
  </r>
  <r>
    <s v="ORD00891"/>
    <d v="2025-03-12T00:00:00"/>
    <s v="C1380"/>
    <x v="291"/>
    <s v="P1003"/>
    <x v="3"/>
    <x v="0"/>
    <x v="0"/>
    <x v="3"/>
    <n v="3"/>
    <n v="1500"/>
    <n v="15"/>
    <n v="3825"/>
    <n v="3150"/>
    <n v="675"/>
    <x v="1"/>
    <s v="Gujarat"/>
    <s v="West"/>
    <s v="Cash"/>
    <s v="Cancelled"/>
    <s v="No"/>
    <n v="2"/>
  </r>
  <r>
    <s v="ORD00892"/>
    <d v="2025-06-23T00:00:00"/>
    <s v="C1401"/>
    <x v="416"/>
    <s v="P1005"/>
    <x v="1"/>
    <x v="1"/>
    <x v="1"/>
    <x v="1"/>
    <n v="1"/>
    <n v="4500"/>
    <n v="5"/>
    <n v="4275"/>
    <n v="3150"/>
    <n v="1125"/>
    <x v="0"/>
    <s v="Delhi"/>
    <s v="North"/>
    <s v="Card"/>
    <s v="Pending"/>
    <s v="No"/>
    <n v="5"/>
  </r>
  <r>
    <s v="ORD00893"/>
    <d v="2025-09-03T00:00:00"/>
    <s v="C1738"/>
    <x v="255"/>
    <s v="P1004"/>
    <x v="4"/>
    <x v="0"/>
    <x v="3"/>
    <x v="4"/>
    <n v="5"/>
    <n v="3500"/>
    <n v="15"/>
    <n v="14875"/>
    <n v="12250"/>
    <n v="2625"/>
    <x v="2"/>
    <s v="Maharashtra"/>
    <s v="West"/>
    <s v="Cash"/>
    <s v="Cancelled"/>
    <s v="Yes"/>
    <n v="2"/>
  </r>
  <r>
    <s v="ORD00894"/>
    <d v="2025-08-31T00:00:00"/>
    <s v="C1366"/>
    <x v="55"/>
    <s v="P1004"/>
    <x v="4"/>
    <x v="0"/>
    <x v="3"/>
    <x v="4"/>
    <n v="4"/>
    <n v="3500"/>
    <n v="15"/>
    <n v="11900"/>
    <n v="9800"/>
    <n v="2100"/>
    <x v="3"/>
    <s v="Karnataka"/>
    <s v="South"/>
    <s v="UPI"/>
    <s v="Pending"/>
    <s v="Yes"/>
    <n v="4"/>
  </r>
  <r>
    <s v="ORD00895"/>
    <d v="2025-06-27T00:00:00"/>
    <s v="C1118"/>
    <x v="147"/>
    <s v="P1002"/>
    <x v="0"/>
    <x v="0"/>
    <x v="0"/>
    <x v="0"/>
    <n v="4"/>
    <n v="800"/>
    <n v="10"/>
    <n v="2880"/>
    <n v="2240"/>
    <n v="640"/>
    <x v="2"/>
    <s v="Maharashtra"/>
    <s v="West"/>
    <s v="Card"/>
    <s v="Delivered"/>
    <s v="No"/>
    <n v="2"/>
  </r>
  <r>
    <s v="ORD00896"/>
    <d v="2025-07-27T00:00:00"/>
    <s v="C1042"/>
    <x v="417"/>
    <s v="P1002"/>
    <x v="0"/>
    <x v="0"/>
    <x v="0"/>
    <x v="0"/>
    <n v="2"/>
    <n v="800"/>
    <n v="0"/>
    <n v="1600"/>
    <n v="1120"/>
    <n v="480"/>
    <x v="1"/>
    <s v="Gujarat"/>
    <s v="West"/>
    <s v="UPI"/>
    <s v="Pending"/>
    <s v="No"/>
    <n v="2"/>
  </r>
  <r>
    <s v="ORD00897"/>
    <d v="2025-10-07T00:00:00"/>
    <s v="C1476"/>
    <x v="277"/>
    <s v="P1004"/>
    <x v="4"/>
    <x v="0"/>
    <x v="3"/>
    <x v="4"/>
    <n v="3"/>
    <n v="3500"/>
    <n v="10"/>
    <n v="9450"/>
    <n v="7349.9999999999991"/>
    <n v="2100.0000000000009"/>
    <x v="1"/>
    <s v="Gujarat"/>
    <s v="West"/>
    <s v="Card"/>
    <s v="Cancelled"/>
    <s v="No"/>
    <n v="3"/>
  </r>
  <r>
    <s v="ORD00898"/>
    <d v="2025-09-26T00:00:00"/>
    <s v="C1160"/>
    <x v="418"/>
    <s v="P1003"/>
    <x v="3"/>
    <x v="0"/>
    <x v="0"/>
    <x v="3"/>
    <n v="1"/>
    <n v="1500"/>
    <n v="10"/>
    <n v="1350"/>
    <n v="1050"/>
    <n v="300"/>
    <x v="0"/>
    <s v="Delhi"/>
    <s v="North"/>
    <s v="Card"/>
    <s v="Cancelled"/>
    <s v="No"/>
    <n v="2"/>
  </r>
  <r>
    <s v="ORD00899"/>
    <d v="2025-09-07T00:00:00"/>
    <s v="C1116"/>
    <x v="103"/>
    <s v="P1005"/>
    <x v="1"/>
    <x v="1"/>
    <x v="1"/>
    <x v="1"/>
    <n v="1"/>
    <n v="4500"/>
    <n v="15"/>
    <n v="3825"/>
    <n v="3150"/>
    <n v="675"/>
    <x v="1"/>
    <s v="Gujarat"/>
    <s v="West"/>
    <s v="Card"/>
    <s v="Pending"/>
    <s v="No"/>
    <n v="2"/>
  </r>
  <r>
    <s v="ORD00900"/>
    <d v="2025-01-26T00:00:00"/>
    <s v="C1879"/>
    <x v="419"/>
    <s v="P1005"/>
    <x v="1"/>
    <x v="1"/>
    <x v="1"/>
    <x v="1"/>
    <n v="4"/>
    <n v="4500"/>
    <n v="10"/>
    <n v="16200"/>
    <n v="12600"/>
    <n v="3600"/>
    <x v="0"/>
    <s v="Delhi"/>
    <s v="North"/>
    <s v="Cash"/>
    <s v="Delivered"/>
    <s v="Yes"/>
    <n v="2"/>
  </r>
  <r>
    <s v="ORD00901"/>
    <d v="2025-11-26T00:00:00"/>
    <s v="C1729"/>
    <x v="295"/>
    <s v="P1001"/>
    <x v="2"/>
    <x v="0"/>
    <x v="2"/>
    <x v="2"/>
    <n v="3"/>
    <n v="55000"/>
    <n v="0"/>
    <n v="165000"/>
    <n v="115500"/>
    <n v="49500.000000000007"/>
    <x v="0"/>
    <s v="Delhi"/>
    <s v="North"/>
    <s v="Card"/>
    <s v="Cancelled"/>
    <s v="Yes"/>
    <n v="4"/>
  </r>
  <r>
    <s v="ORD00902"/>
    <d v="2025-05-15T00:00:00"/>
    <s v="C1448"/>
    <x v="394"/>
    <s v="P1002"/>
    <x v="0"/>
    <x v="0"/>
    <x v="0"/>
    <x v="0"/>
    <n v="4"/>
    <n v="800"/>
    <n v="10"/>
    <n v="2880"/>
    <n v="2240"/>
    <n v="640"/>
    <x v="2"/>
    <s v="Maharashtra"/>
    <s v="West"/>
    <s v="UPI"/>
    <s v="Delivered"/>
    <s v="Yes"/>
    <n v="5"/>
  </r>
  <r>
    <s v="ORD00903"/>
    <d v="2025-03-03T00:00:00"/>
    <s v="C1796"/>
    <x v="85"/>
    <s v="P1003"/>
    <x v="3"/>
    <x v="0"/>
    <x v="0"/>
    <x v="3"/>
    <n v="4"/>
    <n v="1500"/>
    <n v="5"/>
    <n v="5700"/>
    <n v="4200"/>
    <n v="1500"/>
    <x v="0"/>
    <s v="Delhi"/>
    <s v="North"/>
    <s v="Cash"/>
    <s v="Cancelled"/>
    <s v="No"/>
    <n v="3"/>
  </r>
  <r>
    <s v="ORD00904"/>
    <d v="2025-07-20T00:00:00"/>
    <s v="C1950"/>
    <x v="336"/>
    <s v="P1004"/>
    <x v="4"/>
    <x v="0"/>
    <x v="3"/>
    <x v="4"/>
    <n v="4"/>
    <n v="3500"/>
    <n v="5"/>
    <n v="13300"/>
    <n v="9800"/>
    <n v="3500"/>
    <x v="1"/>
    <s v="Gujarat"/>
    <s v="West"/>
    <s v="Cash"/>
    <s v="Delivered"/>
    <s v="Yes"/>
    <n v="4"/>
  </r>
  <r>
    <s v="ORD00905"/>
    <d v="2025-07-25T00:00:00"/>
    <s v="C1293"/>
    <x v="319"/>
    <s v="P1005"/>
    <x v="1"/>
    <x v="1"/>
    <x v="1"/>
    <x v="1"/>
    <n v="3"/>
    <n v="4500"/>
    <n v="5"/>
    <n v="12825"/>
    <n v="9450"/>
    <n v="3375"/>
    <x v="3"/>
    <s v="Karnataka"/>
    <s v="South"/>
    <s v="Cash"/>
    <s v="Pending"/>
    <s v="No"/>
    <n v="3"/>
  </r>
  <r>
    <s v="ORD00906"/>
    <d v="2025-01-18T00:00:00"/>
    <s v="C1839"/>
    <x v="198"/>
    <s v="P1003"/>
    <x v="3"/>
    <x v="0"/>
    <x v="0"/>
    <x v="3"/>
    <n v="3"/>
    <n v="1500"/>
    <n v="0"/>
    <n v="4500"/>
    <n v="3150"/>
    <n v="1350"/>
    <x v="0"/>
    <s v="Delhi"/>
    <s v="North"/>
    <s v="Cash"/>
    <s v="Cancelled"/>
    <s v="Yes"/>
    <n v="4"/>
  </r>
  <r>
    <s v="ORD00907"/>
    <d v="2025-08-12T00:00:00"/>
    <s v="C1279"/>
    <x v="13"/>
    <s v="P1002"/>
    <x v="0"/>
    <x v="0"/>
    <x v="0"/>
    <x v="0"/>
    <n v="1"/>
    <n v="800"/>
    <n v="5"/>
    <n v="760"/>
    <n v="560"/>
    <n v="200"/>
    <x v="2"/>
    <s v="Maharashtra"/>
    <s v="West"/>
    <s v="Card"/>
    <s v="Cancelled"/>
    <s v="Yes"/>
    <n v="4"/>
  </r>
  <r>
    <s v="ORD00908"/>
    <d v="2025-03-12T00:00:00"/>
    <s v="C1938"/>
    <x v="103"/>
    <s v="P1005"/>
    <x v="1"/>
    <x v="1"/>
    <x v="1"/>
    <x v="1"/>
    <n v="3"/>
    <n v="4500"/>
    <n v="5"/>
    <n v="12825"/>
    <n v="9450"/>
    <n v="3375"/>
    <x v="3"/>
    <s v="Karnataka"/>
    <s v="South"/>
    <s v="Card"/>
    <s v="Delivered"/>
    <s v="Yes"/>
    <n v="4"/>
  </r>
  <r>
    <s v="ORD00909"/>
    <d v="2025-09-12T00:00:00"/>
    <s v="C1626"/>
    <x v="253"/>
    <s v="P1002"/>
    <x v="0"/>
    <x v="0"/>
    <x v="0"/>
    <x v="0"/>
    <n v="3"/>
    <n v="800"/>
    <n v="0"/>
    <n v="2400"/>
    <n v="1680"/>
    <n v="720"/>
    <x v="3"/>
    <s v="Karnataka"/>
    <s v="South"/>
    <s v="Card"/>
    <s v="Cancelled"/>
    <s v="No"/>
    <n v="5"/>
  </r>
  <r>
    <s v="ORD00910"/>
    <d v="2025-02-07T00:00:00"/>
    <s v="C1899"/>
    <x v="241"/>
    <s v="P1004"/>
    <x v="4"/>
    <x v="0"/>
    <x v="3"/>
    <x v="4"/>
    <n v="5"/>
    <n v="3500"/>
    <n v="15"/>
    <n v="14875"/>
    <n v="12250"/>
    <n v="2625"/>
    <x v="3"/>
    <s v="Karnataka"/>
    <s v="South"/>
    <s v="Card"/>
    <s v="Cancelled"/>
    <s v="No"/>
    <n v="1"/>
  </r>
  <r>
    <s v="ORD00911"/>
    <d v="2025-07-17T00:00:00"/>
    <s v="C1465"/>
    <x v="387"/>
    <s v="P1001"/>
    <x v="2"/>
    <x v="0"/>
    <x v="2"/>
    <x v="2"/>
    <n v="4"/>
    <n v="55000"/>
    <n v="0"/>
    <n v="220000"/>
    <n v="154000"/>
    <n v="66000"/>
    <x v="0"/>
    <s v="Delhi"/>
    <s v="North"/>
    <s v="Card"/>
    <s v="Delivered"/>
    <s v="No"/>
    <n v="4"/>
  </r>
  <r>
    <s v="ORD00912"/>
    <d v="2025-08-04T00:00:00"/>
    <s v="C1983"/>
    <x v="266"/>
    <s v="P1004"/>
    <x v="4"/>
    <x v="0"/>
    <x v="3"/>
    <x v="4"/>
    <n v="4"/>
    <n v="3500"/>
    <n v="0"/>
    <n v="14000"/>
    <n v="9800"/>
    <n v="4200"/>
    <x v="1"/>
    <s v="Gujarat"/>
    <s v="West"/>
    <s v="Cash"/>
    <s v="Pending"/>
    <s v="Yes"/>
    <n v="1"/>
  </r>
  <r>
    <s v="ORD00913"/>
    <d v="2025-09-11T00:00:00"/>
    <s v="C1709"/>
    <x v="137"/>
    <s v="P1002"/>
    <x v="0"/>
    <x v="0"/>
    <x v="0"/>
    <x v="0"/>
    <n v="4"/>
    <n v="800"/>
    <n v="5"/>
    <n v="3040"/>
    <n v="2240"/>
    <n v="800"/>
    <x v="2"/>
    <s v="Maharashtra"/>
    <s v="West"/>
    <s v="Card"/>
    <s v="Delivered"/>
    <s v="No"/>
    <n v="2"/>
  </r>
  <r>
    <s v="ORD00914"/>
    <d v="2025-10-11T00:00:00"/>
    <s v="C1321"/>
    <x v="183"/>
    <s v="P1001"/>
    <x v="2"/>
    <x v="0"/>
    <x v="2"/>
    <x v="2"/>
    <n v="2"/>
    <n v="55000"/>
    <n v="0"/>
    <n v="110000"/>
    <n v="77000"/>
    <n v="33000"/>
    <x v="1"/>
    <s v="Gujarat"/>
    <s v="West"/>
    <s v="Cash"/>
    <s v="Pending"/>
    <s v="Yes"/>
    <n v="1"/>
  </r>
  <r>
    <s v="ORD00915"/>
    <d v="2025-07-02T00:00:00"/>
    <s v="C1219"/>
    <x v="148"/>
    <s v="P1005"/>
    <x v="1"/>
    <x v="1"/>
    <x v="1"/>
    <x v="1"/>
    <n v="3"/>
    <n v="4500"/>
    <n v="5"/>
    <n v="12825"/>
    <n v="9450"/>
    <n v="3375"/>
    <x v="0"/>
    <s v="Delhi"/>
    <s v="North"/>
    <s v="Card"/>
    <s v="Cancelled"/>
    <s v="Yes"/>
    <n v="2"/>
  </r>
  <r>
    <s v="ORD00916"/>
    <d v="2025-04-03T00:00:00"/>
    <s v="C1893"/>
    <x v="418"/>
    <s v="P1002"/>
    <x v="0"/>
    <x v="0"/>
    <x v="0"/>
    <x v="0"/>
    <n v="5"/>
    <n v="800"/>
    <n v="15"/>
    <n v="3400"/>
    <n v="2800"/>
    <n v="600"/>
    <x v="3"/>
    <s v="Karnataka"/>
    <s v="South"/>
    <s v="UPI"/>
    <s v="Delivered"/>
    <s v="No"/>
    <n v="1"/>
  </r>
  <r>
    <s v="ORD00917"/>
    <d v="2025-06-28T00:00:00"/>
    <s v="C1837"/>
    <x v="383"/>
    <s v="P1002"/>
    <x v="0"/>
    <x v="0"/>
    <x v="0"/>
    <x v="0"/>
    <n v="5"/>
    <n v="800"/>
    <n v="0"/>
    <n v="4000"/>
    <n v="2800"/>
    <n v="1200"/>
    <x v="1"/>
    <s v="Gujarat"/>
    <s v="West"/>
    <s v="Cash"/>
    <s v="Pending"/>
    <s v="No"/>
    <n v="2"/>
  </r>
  <r>
    <s v="ORD00918"/>
    <d v="2025-11-18T00:00:00"/>
    <s v="C1631"/>
    <x v="420"/>
    <s v="P1003"/>
    <x v="3"/>
    <x v="0"/>
    <x v="0"/>
    <x v="3"/>
    <n v="1"/>
    <n v="1500"/>
    <n v="5"/>
    <n v="1425"/>
    <n v="1050"/>
    <n v="375"/>
    <x v="3"/>
    <s v="Karnataka"/>
    <s v="South"/>
    <s v="Cash"/>
    <s v="Cancelled"/>
    <s v="Yes"/>
    <n v="4"/>
  </r>
  <r>
    <s v="ORD00919"/>
    <d v="2025-11-29T00:00:00"/>
    <s v="C1198"/>
    <x v="268"/>
    <s v="P1003"/>
    <x v="3"/>
    <x v="0"/>
    <x v="0"/>
    <x v="3"/>
    <n v="3"/>
    <n v="1500"/>
    <n v="5"/>
    <n v="4275"/>
    <n v="3150"/>
    <n v="1125"/>
    <x v="0"/>
    <s v="Delhi"/>
    <s v="North"/>
    <s v="Card"/>
    <s v="Pending"/>
    <s v="No"/>
    <n v="4"/>
  </r>
  <r>
    <s v="ORD00920"/>
    <d v="2025-04-07T00:00:00"/>
    <s v="C1545"/>
    <x v="421"/>
    <s v="P1004"/>
    <x v="4"/>
    <x v="0"/>
    <x v="3"/>
    <x v="4"/>
    <n v="2"/>
    <n v="3500"/>
    <n v="0"/>
    <n v="7000"/>
    <n v="4900"/>
    <n v="2100"/>
    <x v="3"/>
    <s v="Karnataka"/>
    <s v="South"/>
    <s v="UPI"/>
    <s v="Delivered"/>
    <s v="Yes"/>
    <n v="5"/>
  </r>
  <r>
    <s v="ORD00921"/>
    <d v="2025-05-04T00:00:00"/>
    <s v="C1866"/>
    <x v="67"/>
    <s v="P1003"/>
    <x v="3"/>
    <x v="0"/>
    <x v="0"/>
    <x v="3"/>
    <n v="2"/>
    <n v="1500"/>
    <n v="10"/>
    <n v="2700"/>
    <n v="2100"/>
    <n v="600"/>
    <x v="3"/>
    <s v="Karnataka"/>
    <s v="South"/>
    <s v="UPI"/>
    <s v="Cancelled"/>
    <s v="No"/>
    <n v="2"/>
  </r>
  <r>
    <s v="ORD00922"/>
    <d v="2025-10-08T00:00:00"/>
    <s v="C1363"/>
    <x v="265"/>
    <s v="P1002"/>
    <x v="0"/>
    <x v="0"/>
    <x v="0"/>
    <x v="0"/>
    <n v="2"/>
    <n v="800"/>
    <n v="15"/>
    <n v="1360"/>
    <n v="1120"/>
    <n v="240"/>
    <x v="1"/>
    <s v="Gujarat"/>
    <s v="West"/>
    <s v="UPI"/>
    <s v="Delivered"/>
    <s v="No"/>
    <n v="2"/>
  </r>
  <r>
    <s v="ORD00923"/>
    <d v="2025-12-10T00:00:00"/>
    <s v="C1802"/>
    <x v="18"/>
    <s v="P1004"/>
    <x v="4"/>
    <x v="0"/>
    <x v="3"/>
    <x v="4"/>
    <n v="3"/>
    <n v="3500"/>
    <n v="5"/>
    <n v="9975"/>
    <n v="7349.9999999999991"/>
    <n v="2625.0000000000009"/>
    <x v="3"/>
    <s v="Karnataka"/>
    <s v="South"/>
    <s v="Cash"/>
    <s v="Delivered"/>
    <s v="No"/>
    <n v="1"/>
  </r>
  <r>
    <s v="ORD00924"/>
    <d v="2025-06-19T00:00:00"/>
    <s v="C1416"/>
    <x v="40"/>
    <s v="P1005"/>
    <x v="1"/>
    <x v="1"/>
    <x v="1"/>
    <x v="1"/>
    <n v="3"/>
    <n v="4500"/>
    <n v="15"/>
    <n v="11475"/>
    <n v="9450"/>
    <n v="2025"/>
    <x v="2"/>
    <s v="Maharashtra"/>
    <s v="West"/>
    <s v="Card"/>
    <s v="Pending"/>
    <s v="Yes"/>
    <n v="5"/>
  </r>
  <r>
    <s v="ORD00925"/>
    <d v="2025-12-21T00:00:00"/>
    <s v="C1392"/>
    <x v="226"/>
    <s v="P1005"/>
    <x v="1"/>
    <x v="1"/>
    <x v="1"/>
    <x v="1"/>
    <n v="2"/>
    <n v="4500"/>
    <n v="0"/>
    <n v="9000"/>
    <n v="6300"/>
    <n v="2700"/>
    <x v="0"/>
    <s v="Delhi"/>
    <s v="North"/>
    <s v="Card"/>
    <s v="Cancelled"/>
    <s v="No"/>
    <n v="1"/>
  </r>
  <r>
    <s v="ORD00926"/>
    <d v="2025-03-03T00:00:00"/>
    <s v="C1353"/>
    <x v="81"/>
    <s v="P1001"/>
    <x v="2"/>
    <x v="0"/>
    <x v="2"/>
    <x v="2"/>
    <n v="3"/>
    <n v="55000"/>
    <n v="5"/>
    <n v="156750"/>
    <n v="115500"/>
    <n v="41250.000000000007"/>
    <x v="0"/>
    <s v="Delhi"/>
    <s v="North"/>
    <s v="Cash"/>
    <s v="Delivered"/>
    <s v="No"/>
    <n v="3"/>
  </r>
  <r>
    <s v="ORD00927"/>
    <d v="2025-06-05T00:00:00"/>
    <s v="C1706"/>
    <x v="314"/>
    <s v="P1005"/>
    <x v="1"/>
    <x v="1"/>
    <x v="1"/>
    <x v="1"/>
    <n v="5"/>
    <n v="4500"/>
    <n v="10"/>
    <n v="20250"/>
    <n v="15750"/>
    <n v="4500.0000000000018"/>
    <x v="0"/>
    <s v="Delhi"/>
    <s v="North"/>
    <s v="UPI"/>
    <s v="Cancelled"/>
    <s v="Yes"/>
    <n v="3"/>
  </r>
  <r>
    <s v="ORD00928"/>
    <d v="2025-05-16T00:00:00"/>
    <s v="C1796"/>
    <x v="147"/>
    <s v="P1004"/>
    <x v="4"/>
    <x v="0"/>
    <x v="3"/>
    <x v="4"/>
    <n v="3"/>
    <n v="3500"/>
    <n v="5"/>
    <n v="9975"/>
    <n v="7349.9999999999991"/>
    <n v="2625.0000000000009"/>
    <x v="3"/>
    <s v="Karnataka"/>
    <s v="South"/>
    <s v="Card"/>
    <s v="Delivered"/>
    <s v="No"/>
    <n v="3"/>
  </r>
  <r>
    <s v="ORD00929"/>
    <d v="2025-08-08T00:00:00"/>
    <s v="C1014"/>
    <x v="69"/>
    <s v="P1002"/>
    <x v="0"/>
    <x v="0"/>
    <x v="0"/>
    <x v="0"/>
    <n v="2"/>
    <n v="800"/>
    <n v="0"/>
    <n v="1600"/>
    <n v="1120"/>
    <n v="480"/>
    <x v="2"/>
    <s v="Maharashtra"/>
    <s v="West"/>
    <s v="Card"/>
    <s v="Cancelled"/>
    <s v="Yes"/>
    <n v="4"/>
  </r>
  <r>
    <s v="ORD00930"/>
    <d v="2025-03-04T00:00:00"/>
    <s v="C1428"/>
    <x v="6"/>
    <s v="P1002"/>
    <x v="0"/>
    <x v="0"/>
    <x v="0"/>
    <x v="0"/>
    <n v="3"/>
    <n v="800"/>
    <n v="0"/>
    <n v="2400"/>
    <n v="1680"/>
    <n v="720"/>
    <x v="3"/>
    <s v="Karnataka"/>
    <s v="South"/>
    <s v="Cash"/>
    <s v="Pending"/>
    <s v="No"/>
    <n v="3"/>
  </r>
  <r>
    <s v="ORD00931"/>
    <d v="2025-07-10T00:00:00"/>
    <s v="C1708"/>
    <x v="42"/>
    <s v="P1002"/>
    <x v="0"/>
    <x v="0"/>
    <x v="0"/>
    <x v="0"/>
    <n v="1"/>
    <n v="800"/>
    <n v="0"/>
    <n v="800"/>
    <n v="560"/>
    <n v="240"/>
    <x v="2"/>
    <s v="Maharashtra"/>
    <s v="West"/>
    <s v="Card"/>
    <s v="Cancelled"/>
    <s v="No"/>
    <n v="5"/>
  </r>
  <r>
    <s v="ORD00932"/>
    <d v="2025-11-17T00:00:00"/>
    <s v="C1988"/>
    <x v="324"/>
    <s v="P1002"/>
    <x v="0"/>
    <x v="0"/>
    <x v="0"/>
    <x v="0"/>
    <n v="2"/>
    <n v="800"/>
    <n v="0"/>
    <n v="1600"/>
    <n v="1120"/>
    <n v="480"/>
    <x v="2"/>
    <s v="Maharashtra"/>
    <s v="West"/>
    <s v="Card"/>
    <s v="Pending"/>
    <s v="Yes"/>
    <n v="4"/>
  </r>
  <r>
    <s v="ORD00933"/>
    <d v="2025-05-22T00:00:00"/>
    <s v="C1666"/>
    <x v="99"/>
    <s v="P1003"/>
    <x v="3"/>
    <x v="0"/>
    <x v="0"/>
    <x v="3"/>
    <n v="5"/>
    <n v="1500"/>
    <n v="15"/>
    <n v="6375"/>
    <n v="5250"/>
    <n v="1125"/>
    <x v="3"/>
    <s v="Karnataka"/>
    <s v="South"/>
    <s v="Card"/>
    <s v="Cancelled"/>
    <s v="Yes"/>
    <n v="1"/>
  </r>
  <r>
    <s v="ORD00934"/>
    <d v="2025-07-24T00:00:00"/>
    <s v="C1837"/>
    <x v="261"/>
    <s v="P1004"/>
    <x v="4"/>
    <x v="0"/>
    <x v="3"/>
    <x v="4"/>
    <n v="4"/>
    <n v="3500"/>
    <n v="10"/>
    <n v="12600"/>
    <n v="9800"/>
    <n v="2800"/>
    <x v="3"/>
    <s v="Karnataka"/>
    <s v="South"/>
    <s v="Card"/>
    <s v="Delivered"/>
    <s v="No"/>
    <n v="5"/>
  </r>
  <r>
    <s v="ORD00935"/>
    <d v="2025-05-14T00:00:00"/>
    <s v="C1266"/>
    <x v="413"/>
    <s v="P1004"/>
    <x v="4"/>
    <x v="0"/>
    <x v="3"/>
    <x v="4"/>
    <n v="2"/>
    <n v="3500"/>
    <n v="10"/>
    <n v="6300"/>
    <n v="4900"/>
    <n v="1400"/>
    <x v="0"/>
    <s v="Delhi"/>
    <s v="North"/>
    <s v="Card"/>
    <s v="Delivered"/>
    <s v="Yes"/>
    <n v="2"/>
  </r>
  <r>
    <s v="ORD00936"/>
    <d v="2025-10-20T00:00:00"/>
    <s v="C1738"/>
    <x v="212"/>
    <s v="P1003"/>
    <x v="3"/>
    <x v="0"/>
    <x v="0"/>
    <x v="3"/>
    <n v="2"/>
    <n v="1500"/>
    <n v="0"/>
    <n v="3000"/>
    <n v="2100"/>
    <n v="900"/>
    <x v="3"/>
    <s v="Karnataka"/>
    <s v="South"/>
    <s v="UPI"/>
    <s v="Cancelled"/>
    <s v="Yes"/>
    <n v="4"/>
  </r>
  <r>
    <s v="ORD00937"/>
    <d v="2025-05-10T00:00:00"/>
    <s v="C1280"/>
    <x v="260"/>
    <s v="P1005"/>
    <x v="1"/>
    <x v="1"/>
    <x v="1"/>
    <x v="1"/>
    <n v="4"/>
    <n v="4500"/>
    <n v="15"/>
    <n v="15300"/>
    <n v="12600"/>
    <n v="2700"/>
    <x v="0"/>
    <s v="Delhi"/>
    <s v="North"/>
    <s v="UPI"/>
    <s v="Delivered"/>
    <s v="No"/>
    <n v="1"/>
  </r>
  <r>
    <s v="ORD00938"/>
    <d v="2025-06-06T00:00:00"/>
    <s v="C1882"/>
    <x v="293"/>
    <s v="P1001"/>
    <x v="2"/>
    <x v="0"/>
    <x v="2"/>
    <x v="2"/>
    <n v="1"/>
    <n v="55000"/>
    <n v="5"/>
    <n v="52250"/>
    <n v="38500"/>
    <n v="13750"/>
    <x v="0"/>
    <s v="Delhi"/>
    <s v="North"/>
    <s v="Cash"/>
    <s v="Pending"/>
    <s v="No"/>
    <n v="1"/>
  </r>
  <r>
    <s v="ORD00939"/>
    <d v="2025-12-25T00:00:00"/>
    <s v="C1494"/>
    <x v="123"/>
    <s v="P1002"/>
    <x v="0"/>
    <x v="0"/>
    <x v="0"/>
    <x v="0"/>
    <n v="5"/>
    <n v="800"/>
    <n v="10"/>
    <n v="3600"/>
    <n v="2800"/>
    <n v="800"/>
    <x v="1"/>
    <s v="Gujarat"/>
    <s v="West"/>
    <s v="UPI"/>
    <s v="Cancelled"/>
    <s v="No"/>
    <n v="3"/>
  </r>
  <r>
    <s v="ORD00940"/>
    <d v="2025-08-17T00:00:00"/>
    <s v="C1016"/>
    <x v="144"/>
    <s v="P1002"/>
    <x v="0"/>
    <x v="0"/>
    <x v="0"/>
    <x v="0"/>
    <n v="2"/>
    <n v="800"/>
    <n v="5"/>
    <n v="1520"/>
    <n v="1120"/>
    <n v="400"/>
    <x v="0"/>
    <s v="Delhi"/>
    <s v="North"/>
    <s v="Cash"/>
    <s v="Delivered"/>
    <s v="No"/>
    <n v="2"/>
  </r>
  <r>
    <s v="ORD00941"/>
    <d v="2025-12-09T00:00:00"/>
    <s v="C1289"/>
    <x v="376"/>
    <s v="P1001"/>
    <x v="2"/>
    <x v="0"/>
    <x v="2"/>
    <x v="2"/>
    <n v="2"/>
    <n v="55000"/>
    <n v="15"/>
    <n v="93500"/>
    <n v="77000"/>
    <n v="16500"/>
    <x v="3"/>
    <s v="Karnataka"/>
    <s v="South"/>
    <s v="Card"/>
    <s v="Delivered"/>
    <s v="No"/>
    <n v="1"/>
  </r>
  <r>
    <s v="ORD00942"/>
    <d v="2025-06-28T00:00:00"/>
    <s v="C1812"/>
    <x v="71"/>
    <s v="P1002"/>
    <x v="0"/>
    <x v="0"/>
    <x v="0"/>
    <x v="0"/>
    <n v="2"/>
    <n v="800"/>
    <n v="0"/>
    <n v="1600"/>
    <n v="1120"/>
    <n v="480"/>
    <x v="0"/>
    <s v="Delhi"/>
    <s v="North"/>
    <s v="Cash"/>
    <s v="Pending"/>
    <s v="No"/>
    <n v="1"/>
  </r>
  <r>
    <s v="ORD00943"/>
    <d v="2025-05-25T00:00:00"/>
    <s v="C1615"/>
    <x v="422"/>
    <s v="P1004"/>
    <x v="4"/>
    <x v="0"/>
    <x v="3"/>
    <x v="4"/>
    <n v="3"/>
    <n v="3500"/>
    <n v="0"/>
    <n v="10500"/>
    <n v="7349.9999999999991"/>
    <n v="3150.0000000000009"/>
    <x v="3"/>
    <s v="Karnataka"/>
    <s v="South"/>
    <s v="UPI"/>
    <s v="Delivered"/>
    <s v="No"/>
    <n v="4"/>
  </r>
  <r>
    <s v="ORD00944"/>
    <d v="2025-03-14T00:00:00"/>
    <s v="C1476"/>
    <x v="153"/>
    <s v="P1004"/>
    <x v="4"/>
    <x v="0"/>
    <x v="3"/>
    <x v="4"/>
    <n v="3"/>
    <n v="3500"/>
    <n v="15"/>
    <n v="8925"/>
    <n v="7349.9999999999991"/>
    <n v="1575.0000000000009"/>
    <x v="1"/>
    <s v="Gujarat"/>
    <s v="West"/>
    <s v="UPI"/>
    <s v="Delivered"/>
    <s v="Yes"/>
    <n v="3"/>
  </r>
  <r>
    <s v="ORD00945"/>
    <d v="2025-05-13T00:00:00"/>
    <s v="C1935"/>
    <x v="288"/>
    <s v="P1005"/>
    <x v="1"/>
    <x v="1"/>
    <x v="1"/>
    <x v="1"/>
    <n v="4"/>
    <n v="4500"/>
    <n v="15"/>
    <n v="15300"/>
    <n v="12600"/>
    <n v="2700"/>
    <x v="1"/>
    <s v="Gujarat"/>
    <s v="West"/>
    <s v="Card"/>
    <s v="Pending"/>
    <s v="No"/>
    <n v="1"/>
  </r>
  <r>
    <s v="ORD00946"/>
    <d v="2025-03-29T00:00:00"/>
    <s v="C1489"/>
    <x v="423"/>
    <s v="P1005"/>
    <x v="1"/>
    <x v="1"/>
    <x v="1"/>
    <x v="1"/>
    <n v="3"/>
    <n v="4500"/>
    <n v="0"/>
    <n v="13500"/>
    <n v="9450"/>
    <n v="4050"/>
    <x v="3"/>
    <s v="Karnataka"/>
    <s v="South"/>
    <s v="UPI"/>
    <s v="Cancelled"/>
    <s v="No"/>
    <n v="5"/>
  </r>
  <r>
    <s v="ORD00947"/>
    <d v="2025-10-23T00:00:00"/>
    <s v="C1284"/>
    <x v="424"/>
    <s v="P1005"/>
    <x v="1"/>
    <x v="1"/>
    <x v="1"/>
    <x v="1"/>
    <n v="4"/>
    <n v="4500"/>
    <n v="15"/>
    <n v="15300"/>
    <n v="12600"/>
    <n v="2700"/>
    <x v="0"/>
    <s v="Delhi"/>
    <s v="North"/>
    <s v="Card"/>
    <s v="Delivered"/>
    <s v="Yes"/>
    <n v="4"/>
  </r>
  <r>
    <s v="ORD00948"/>
    <d v="2025-05-29T00:00:00"/>
    <s v="C1746"/>
    <x v="302"/>
    <s v="P1001"/>
    <x v="2"/>
    <x v="0"/>
    <x v="2"/>
    <x v="2"/>
    <n v="1"/>
    <n v="55000"/>
    <n v="10"/>
    <n v="49500"/>
    <n v="38500"/>
    <n v="11000"/>
    <x v="0"/>
    <s v="Delhi"/>
    <s v="North"/>
    <s v="Card"/>
    <s v="Delivered"/>
    <s v="Yes"/>
    <n v="3"/>
  </r>
  <r>
    <s v="ORD00949"/>
    <d v="2025-10-03T00:00:00"/>
    <s v="C1366"/>
    <x v="236"/>
    <s v="P1005"/>
    <x v="1"/>
    <x v="1"/>
    <x v="1"/>
    <x v="1"/>
    <n v="2"/>
    <n v="4500"/>
    <n v="15"/>
    <n v="7650"/>
    <n v="6300"/>
    <n v="1350"/>
    <x v="0"/>
    <s v="Delhi"/>
    <s v="North"/>
    <s v="Cash"/>
    <s v="Pending"/>
    <s v="No"/>
    <n v="4"/>
  </r>
  <r>
    <s v="ORD00950"/>
    <d v="2025-11-25T00:00:00"/>
    <s v="C1900"/>
    <x v="425"/>
    <s v="P1004"/>
    <x v="4"/>
    <x v="0"/>
    <x v="3"/>
    <x v="4"/>
    <n v="2"/>
    <n v="3500"/>
    <n v="10"/>
    <n v="6300"/>
    <n v="4900"/>
    <n v="1400"/>
    <x v="2"/>
    <s v="Maharashtra"/>
    <s v="West"/>
    <s v="Card"/>
    <s v="Delivered"/>
    <s v="No"/>
    <n v="4"/>
  </r>
  <r>
    <s v="ORD00951"/>
    <d v="2025-07-12T00:00:00"/>
    <s v="C1339"/>
    <x v="357"/>
    <s v="P1004"/>
    <x v="4"/>
    <x v="0"/>
    <x v="3"/>
    <x v="4"/>
    <n v="5"/>
    <n v="3500"/>
    <n v="15"/>
    <n v="14875"/>
    <n v="12250"/>
    <n v="2625"/>
    <x v="0"/>
    <s v="Delhi"/>
    <s v="North"/>
    <s v="Cash"/>
    <s v="Delivered"/>
    <s v="Yes"/>
    <n v="1"/>
  </r>
  <r>
    <s v="ORD00952"/>
    <d v="2025-02-12T00:00:00"/>
    <s v="C1065"/>
    <x v="426"/>
    <s v="P1005"/>
    <x v="1"/>
    <x v="1"/>
    <x v="1"/>
    <x v="1"/>
    <n v="1"/>
    <n v="4500"/>
    <n v="0"/>
    <n v="4500"/>
    <n v="3150"/>
    <n v="1350"/>
    <x v="0"/>
    <s v="Delhi"/>
    <s v="North"/>
    <s v="Card"/>
    <s v="Cancelled"/>
    <s v="No"/>
    <n v="4"/>
  </r>
  <r>
    <s v="ORD00953"/>
    <d v="2025-08-01T00:00:00"/>
    <s v="C1312"/>
    <x v="92"/>
    <s v="P1002"/>
    <x v="0"/>
    <x v="0"/>
    <x v="0"/>
    <x v="0"/>
    <n v="4"/>
    <n v="800"/>
    <n v="0"/>
    <n v="3200"/>
    <n v="2240"/>
    <n v="960"/>
    <x v="2"/>
    <s v="Maharashtra"/>
    <s v="West"/>
    <s v="Card"/>
    <s v="Cancelled"/>
    <s v="No"/>
    <n v="5"/>
  </r>
  <r>
    <s v="ORD00954"/>
    <d v="2025-01-12T00:00:00"/>
    <s v="C1884"/>
    <x v="267"/>
    <s v="P1002"/>
    <x v="0"/>
    <x v="0"/>
    <x v="0"/>
    <x v="0"/>
    <n v="2"/>
    <n v="800"/>
    <n v="10"/>
    <n v="1440"/>
    <n v="1120"/>
    <n v="320"/>
    <x v="2"/>
    <s v="Maharashtra"/>
    <s v="West"/>
    <s v="Cash"/>
    <s v="Delivered"/>
    <s v="Yes"/>
    <n v="4"/>
  </r>
  <r>
    <s v="ORD00955"/>
    <d v="2025-05-25T00:00:00"/>
    <s v="C1611"/>
    <x v="201"/>
    <s v="P1005"/>
    <x v="1"/>
    <x v="1"/>
    <x v="1"/>
    <x v="1"/>
    <n v="4"/>
    <n v="4500"/>
    <n v="15"/>
    <n v="15300"/>
    <n v="12600"/>
    <n v="2700"/>
    <x v="0"/>
    <s v="Delhi"/>
    <s v="North"/>
    <s v="Card"/>
    <s v="Cancelled"/>
    <s v="Yes"/>
    <n v="4"/>
  </r>
  <r>
    <s v="ORD00956"/>
    <d v="2025-11-13T00:00:00"/>
    <s v="C1160"/>
    <x v="120"/>
    <s v="P1002"/>
    <x v="0"/>
    <x v="0"/>
    <x v="0"/>
    <x v="0"/>
    <n v="5"/>
    <n v="800"/>
    <n v="10"/>
    <n v="3600"/>
    <n v="2800"/>
    <n v="800"/>
    <x v="3"/>
    <s v="Karnataka"/>
    <s v="South"/>
    <s v="Cash"/>
    <s v="Pending"/>
    <s v="No"/>
    <n v="5"/>
  </r>
  <r>
    <s v="ORD00957"/>
    <d v="2025-12-30T00:00:00"/>
    <s v="C1027"/>
    <x v="132"/>
    <s v="P1001"/>
    <x v="2"/>
    <x v="0"/>
    <x v="2"/>
    <x v="2"/>
    <n v="5"/>
    <n v="55000"/>
    <n v="5"/>
    <n v="261250"/>
    <n v="192500"/>
    <n v="68750"/>
    <x v="0"/>
    <s v="Delhi"/>
    <s v="North"/>
    <s v="UPI"/>
    <s v="Delivered"/>
    <s v="Yes"/>
    <n v="5"/>
  </r>
  <r>
    <s v="ORD00958"/>
    <d v="2025-01-25T00:00:00"/>
    <s v="C1622"/>
    <x v="294"/>
    <s v="P1001"/>
    <x v="2"/>
    <x v="0"/>
    <x v="2"/>
    <x v="2"/>
    <n v="3"/>
    <n v="55000"/>
    <n v="10"/>
    <n v="148500"/>
    <n v="115500"/>
    <n v="33000.000000000007"/>
    <x v="2"/>
    <s v="Maharashtra"/>
    <s v="West"/>
    <s v="Cash"/>
    <s v="Pending"/>
    <s v="No"/>
    <n v="4"/>
  </r>
  <r>
    <s v="ORD00959"/>
    <d v="2025-04-11T00:00:00"/>
    <s v="C1246"/>
    <x v="77"/>
    <s v="P1001"/>
    <x v="2"/>
    <x v="0"/>
    <x v="2"/>
    <x v="2"/>
    <n v="4"/>
    <n v="55000"/>
    <n v="10"/>
    <n v="198000"/>
    <n v="154000"/>
    <n v="44000"/>
    <x v="3"/>
    <s v="Karnataka"/>
    <s v="South"/>
    <s v="UPI"/>
    <s v="Delivered"/>
    <s v="No"/>
    <n v="2"/>
  </r>
  <r>
    <s v="ORD00960"/>
    <d v="2025-01-19T00:00:00"/>
    <s v="C1946"/>
    <x v="83"/>
    <s v="P1003"/>
    <x v="3"/>
    <x v="0"/>
    <x v="0"/>
    <x v="3"/>
    <n v="2"/>
    <n v="1500"/>
    <n v="10"/>
    <n v="2700"/>
    <n v="2100"/>
    <n v="600"/>
    <x v="1"/>
    <s v="Gujarat"/>
    <s v="West"/>
    <s v="Cash"/>
    <s v="Cancelled"/>
    <s v="Yes"/>
    <n v="2"/>
  </r>
  <r>
    <s v="ORD00961"/>
    <d v="2025-12-29T00:00:00"/>
    <s v="C1568"/>
    <x v="131"/>
    <s v="P1002"/>
    <x v="0"/>
    <x v="0"/>
    <x v="0"/>
    <x v="0"/>
    <n v="1"/>
    <n v="800"/>
    <n v="5"/>
    <n v="760"/>
    <n v="560"/>
    <n v="200"/>
    <x v="3"/>
    <s v="Karnataka"/>
    <s v="South"/>
    <s v="Cash"/>
    <s v="Cancelled"/>
    <s v="Yes"/>
    <n v="1"/>
  </r>
  <r>
    <s v="ORD00962"/>
    <d v="2025-05-24T00:00:00"/>
    <s v="C1182"/>
    <x v="40"/>
    <s v="P1001"/>
    <x v="2"/>
    <x v="0"/>
    <x v="2"/>
    <x v="2"/>
    <n v="2"/>
    <n v="55000"/>
    <n v="0"/>
    <n v="110000"/>
    <n v="77000"/>
    <n v="33000"/>
    <x v="0"/>
    <s v="Delhi"/>
    <s v="North"/>
    <s v="Cash"/>
    <s v="Cancelled"/>
    <s v="Yes"/>
    <n v="4"/>
  </r>
  <r>
    <s v="ORD00963"/>
    <d v="2025-04-28T00:00:00"/>
    <s v="C1589"/>
    <x v="427"/>
    <s v="P1003"/>
    <x v="3"/>
    <x v="0"/>
    <x v="0"/>
    <x v="3"/>
    <n v="1"/>
    <n v="1500"/>
    <n v="5"/>
    <n v="1425"/>
    <n v="1050"/>
    <n v="375"/>
    <x v="1"/>
    <s v="Gujarat"/>
    <s v="West"/>
    <s v="Cash"/>
    <s v="Pending"/>
    <s v="No"/>
    <n v="2"/>
  </r>
  <r>
    <s v="ORD00964"/>
    <d v="2025-04-05T00:00:00"/>
    <s v="C1115"/>
    <x v="244"/>
    <s v="P1004"/>
    <x v="4"/>
    <x v="0"/>
    <x v="3"/>
    <x v="4"/>
    <n v="2"/>
    <n v="3500"/>
    <n v="15"/>
    <n v="5950"/>
    <n v="4900"/>
    <n v="1050"/>
    <x v="0"/>
    <s v="Delhi"/>
    <s v="North"/>
    <s v="Card"/>
    <s v="Pending"/>
    <s v="Yes"/>
    <n v="1"/>
  </r>
  <r>
    <s v="ORD00965"/>
    <d v="2025-01-23T00:00:00"/>
    <s v="C1283"/>
    <x v="335"/>
    <s v="P1005"/>
    <x v="1"/>
    <x v="1"/>
    <x v="1"/>
    <x v="1"/>
    <n v="3"/>
    <n v="4500"/>
    <n v="15"/>
    <n v="11475"/>
    <n v="9450"/>
    <n v="2025"/>
    <x v="0"/>
    <s v="Delhi"/>
    <s v="North"/>
    <s v="Card"/>
    <s v="Pending"/>
    <s v="Yes"/>
    <n v="4"/>
  </r>
  <r>
    <s v="ORD00966"/>
    <d v="2025-06-22T00:00:00"/>
    <s v="C1510"/>
    <x v="231"/>
    <s v="P1005"/>
    <x v="1"/>
    <x v="1"/>
    <x v="1"/>
    <x v="1"/>
    <n v="4"/>
    <n v="4500"/>
    <n v="15"/>
    <n v="15300"/>
    <n v="12600"/>
    <n v="2700"/>
    <x v="0"/>
    <s v="Delhi"/>
    <s v="North"/>
    <s v="Card"/>
    <s v="Delivered"/>
    <s v="Yes"/>
    <n v="5"/>
  </r>
  <r>
    <s v="ORD00967"/>
    <d v="2025-09-06T00:00:00"/>
    <s v="C1745"/>
    <x v="339"/>
    <s v="P1005"/>
    <x v="1"/>
    <x v="1"/>
    <x v="1"/>
    <x v="1"/>
    <n v="3"/>
    <n v="4500"/>
    <n v="0"/>
    <n v="13500"/>
    <n v="9450"/>
    <n v="4050"/>
    <x v="2"/>
    <s v="Maharashtra"/>
    <s v="West"/>
    <s v="Cash"/>
    <s v="Delivered"/>
    <s v="No"/>
    <n v="1"/>
  </r>
  <r>
    <s v="ORD00968"/>
    <d v="2025-07-01T00:00:00"/>
    <s v="C1771"/>
    <x v="209"/>
    <s v="P1001"/>
    <x v="2"/>
    <x v="0"/>
    <x v="2"/>
    <x v="2"/>
    <n v="4"/>
    <n v="55000"/>
    <n v="15"/>
    <n v="187000"/>
    <n v="154000"/>
    <n v="33000"/>
    <x v="3"/>
    <s v="Karnataka"/>
    <s v="South"/>
    <s v="Card"/>
    <s v="Delivered"/>
    <s v="No"/>
    <n v="5"/>
  </r>
  <r>
    <s v="ORD00969"/>
    <d v="2025-11-26T00:00:00"/>
    <s v="C1814"/>
    <x v="285"/>
    <s v="P1002"/>
    <x v="0"/>
    <x v="0"/>
    <x v="0"/>
    <x v="0"/>
    <n v="4"/>
    <n v="800"/>
    <n v="10"/>
    <n v="2880"/>
    <n v="2240"/>
    <n v="640"/>
    <x v="0"/>
    <s v="Delhi"/>
    <s v="North"/>
    <s v="UPI"/>
    <s v="Cancelled"/>
    <s v="Yes"/>
    <n v="4"/>
  </r>
  <r>
    <s v="ORD00970"/>
    <d v="2025-10-27T00:00:00"/>
    <s v="C1714"/>
    <x v="387"/>
    <s v="P1001"/>
    <x v="2"/>
    <x v="0"/>
    <x v="2"/>
    <x v="2"/>
    <n v="3"/>
    <n v="55000"/>
    <n v="15"/>
    <n v="140250"/>
    <n v="115500"/>
    <n v="24750.000000000011"/>
    <x v="0"/>
    <s v="Delhi"/>
    <s v="North"/>
    <s v="Cash"/>
    <s v="Cancelled"/>
    <s v="No"/>
    <n v="2"/>
  </r>
  <r>
    <s v="ORD00971"/>
    <d v="2025-10-21T00:00:00"/>
    <s v="C1478"/>
    <x v="113"/>
    <s v="P1001"/>
    <x v="2"/>
    <x v="0"/>
    <x v="2"/>
    <x v="2"/>
    <n v="3"/>
    <n v="55000"/>
    <n v="10"/>
    <n v="148500"/>
    <n v="115500"/>
    <n v="33000.000000000007"/>
    <x v="2"/>
    <s v="Maharashtra"/>
    <s v="West"/>
    <s v="UPI"/>
    <s v="Cancelled"/>
    <s v="Yes"/>
    <n v="2"/>
  </r>
  <r>
    <s v="ORD00972"/>
    <d v="2025-10-28T00:00:00"/>
    <s v="C1347"/>
    <x v="231"/>
    <s v="P1001"/>
    <x v="2"/>
    <x v="0"/>
    <x v="2"/>
    <x v="2"/>
    <n v="4"/>
    <n v="55000"/>
    <n v="0"/>
    <n v="220000"/>
    <n v="154000"/>
    <n v="66000"/>
    <x v="0"/>
    <s v="Delhi"/>
    <s v="North"/>
    <s v="Card"/>
    <s v="Cancelled"/>
    <s v="Yes"/>
    <n v="3"/>
  </r>
  <r>
    <s v="ORD00973"/>
    <d v="2025-10-18T00:00:00"/>
    <s v="C1648"/>
    <x v="228"/>
    <s v="P1001"/>
    <x v="2"/>
    <x v="0"/>
    <x v="2"/>
    <x v="2"/>
    <n v="4"/>
    <n v="55000"/>
    <n v="15"/>
    <n v="187000"/>
    <n v="154000"/>
    <n v="33000"/>
    <x v="1"/>
    <s v="Gujarat"/>
    <s v="West"/>
    <s v="Cash"/>
    <s v="Cancelled"/>
    <s v="Yes"/>
    <n v="2"/>
  </r>
  <r>
    <s v="ORD00974"/>
    <d v="2025-03-15T00:00:00"/>
    <s v="C1483"/>
    <x v="428"/>
    <s v="P1001"/>
    <x v="2"/>
    <x v="0"/>
    <x v="2"/>
    <x v="2"/>
    <n v="2"/>
    <n v="55000"/>
    <n v="10"/>
    <n v="99000"/>
    <n v="77000"/>
    <n v="22000"/>
    <x v="0"/>
    <s v="Delhi"/>
    <s v="North"/>
    <s v="Cash"/>
    <s v="Pending"/>
    <s v="No"/>
    <n v="1"/>
  </r>
  <r>
    <s v="ORD00975"/>
    <d v="2025-07-24T00:00:00"/>
    <s v="C1777"/>
    <x v="260"/>
    <s v="P1004"/>
    <x v="4"/>
    <x v="0"/>
    <x v="3"/>
    <x v="4"/>
    <n v="4"/>
    <n v="3500"/>
    <n v="0"/>
    <n v="14000"/>
    <n v="9800"/>
    <n v="4200"/>
    <x v="3"/>
    <s v="Karnataka"/>
    <s v="South"/>
    <s v="UPI"/>
    <s v="Delivered"/>
    <s v="No"/>
    <n v="3"/>
  </r>
  <r>
    <s v="ORD00976"/>
    <d v="2025-09-20T00:00:00"/>
    <s v="C1044"/>
    <x v="396"/>
    <s v="P1003"/>
    <x v="3"/>
    <x v="0"/>
    <x v="0"/>
    <x v="3"/>
    <n v="5"/>
    <n v="1500"/>
    <n v="10"/>
    <n v="6750"/>
    <n v="5250"/>
    <n v="1500"/>
    <x v="0"/>
    <s v="Delhi"/>
    <s v="North"/>
    <s v="Cash"/>
    <s v="Delivered"/>
    <s v="No"/>
    <n v="5"/>
  </r>
  <r>
    <s v="ORD00977"/>
    <d v="2025-05-25T00:00:00"/>
    <s v="C1460"/>
    <x v="429"/>
    <s v="P1003"/>
    <x v="3"/>
    <x v="0"/>
    <x v="0"/>
    <x v="3"/>
    <n v="2"/>
    <n v="1500"/>
    <n v="15"/>
    <n v="2550"/>
    <n v="2100"/>
    <n v="450"/>
    <x v="2"/>
    <s v="Maharashtra"/>
    <s v="West"/>
    <s v="Cash"/>
    <s v="Cancelled"/>
    <s v="No"/>
    <n v="1"/>
  </r>
  <r>
    <s v="ORD00978"/>
    <d v="2025-10-01T00:00:00"/>
    <s v="C1877"/>
    <x v="330"/>
    <s v="P1002"/>
    <x v="0"/>
    <x v="0"/>
    <x v="0"/>
    <x v="0"/>
    <n v="1"/>
    <n v="800"/>
    <n v="5"/>
    <n v="760"/>
    <n v="560"/>
    <n v="200"/>
    <x v="0"/>
    <s v="Delhi"/>
    <s v="North"/>
    <s v="Cash"/>
    <s v="Delivered"/>
    <s v="Yes"/>
    <n v="3"/>
  </r>
  <r>
    <s v="ORD00979"/>
    <d v="2025-01-05T00:00:00"/>
    <s v="C1913"/>
    <x v="291"/>
    <s v="P1005"/>
    <x v="1"/>
    <x v="1"/>
    <x v="1"/>
    <x v="1"/>
    <n v="2"/>
    <n v="4500"/>
    <n v="15"/>
    <n v="7650"/>
    <n v="6300"/>
    <n v="1350"/>
    <x v="2"/>
    <s v="Maharashtra"/>
    <s v="West"/>
    <s v="Card"/>
    <s v="Pending"/>
    <s v="No"/>
    <n v="1"/>
  </r>
  <r>
    <s v="ORD00980"/>
    <d v="2025-06-03T00:00:00"/>
    <s v="C1547"/>
    <x v="18"/>
    <s v="P1001"/>
    <x v="2"/>
    <x v="0"/>
    <x v="2"/>
    <x v="2"/>
    <n v="2"/>
    <n v="55000"/>
    <n v="5"/>
    <n v="104500"/>
    <n v="77000"/>
    <n v="27500"/>
    <x v="2"/>
    <s v="Maharashtra"/>
    <s v="West"/>
    <s v="Card"/>
    <s v="Pending"/>
    <s v="Yes"/>
    <n v="4"/>
  </r>
  <r>
    <s v="ORD00981"/>
    <d v="2025-11-12T00:00:00"/>
    <s v="C1237"/>
    <x v="142"/>
    <s v="P1005"/>
    <x v="1"/>
    <x v="1"/>
    <x v="1"/>
    <x v="1"/>
    <n v="2"/>
    <n v="4500"/>
    <n v="0"/>
    <n v="9000"/>
    <n v="6300"/>
    <n v="2700"/>
    <x v="1"/>
    <s v="Gujarat"/>
    <s v="West"/>
    <s v="Card"/>
    <s v="Pending"/>
    <s v="Yes"/>
    <n v="4"/>
  </r>
  <r>
    <s v="ORD00982"/>
    <d v="2025-07-08T00:00:00"/>
    <s v="C1730"/>
    <x v="430"/>
    <s v="P1003"/>
    <x v="3"/>
    <x v="0"/>
    <x v="0"/>
    <x v="3"/>
    <n v="3"/>
    <n v="1500"/>
    <n v="15"/>
    <n v="3825"/>
    <n v="3150"/>
    <n v="675"/>
    <x v="0"/>
    <s v="Delhi"/>
    <s v="North"/>
    <s v="Card"/>
    <s v="Cancelled"/>
    <s v="Yes"/>
    <n v="2"/>
  </r>
  <r>
    <s v="ORD00983"/>
    <d v="2025-03-18T00:00:00"/>
    <s v="C1566"/>
    <x v="18"/>
    <s v="P1003"/>
    <x v="3"/>
    <x v="0"/>
    <x v="0"/>
    <x v="3"/>
    <n v="3"/>
    <n v="1500"/>
    <n v="10"/>
    <n v="4050"/>
    <n v="3150"/>
    <n v="900"/>
    <x v="0"/>
    <s v="Delhi"/>
    <s v="North"/>
    <s v="Cash"/>
    <s v="Delivered"/>
    <s v="Yes"/>
    <n v="1"/>
  </r>
  <r>
    <s v="ORD00984"/>
    <d v="2025-07-03T00:00:00"/>
    <s v="C1445"/>
    <x v="15"/>
    <s v="P1001"/>
    <x v="2"/>
    <x v="0"/>
    <x v="2"/>
    <x v="2"/>
    <n v="1"/>
    <n v="55000"/>
    <n v="0"/>
    <n v="55000"/>
    <n v="38500"/>
    <n v="16500"/>
    <x v="0"/>
    <s v="Delhi"/>
    <s v="North"/>
    <s v="UPI"/>
    <s v="Delivered"/>
    <s v="Yes"/>
    <n v="3"/>
  </r>
  <r>
    <s v="ORD00985"/>
    <d v="2025-03-05T00:00:00"/>
    <s v="C1417"/>
    <x v="431"/>
    <s v="P1004"/>
    <x v="4"/>
    <x v="0"/>
    <x v="3"/>
    <x v="4"/>
    <n v="1"/>
    <n v="3500"/>
    <n v="0"/>
    <n v="3500"/>
    <n v="2450"/>
    <n v="1050"/>
    <x v="3"/>
    <s v="Karnataka"/>
    <s v="South"/>
    <s v="Card"/>
    <s v="Pending"/>
    <s v="No"/>
    <n v="5"/>
  </r>
  <r>
    <s v="ORD00986"/>
    <d v="2025-04-27T00:00:00"/>
    <s v="C1177"/>
    <x v="12"/>
    <s v="P1002"/>
    <x v="0"/>
    <x v="0"/>
    <x v="0"/>
    <x v="0"/>
    <n v="3"/>
    <n v="800"/>
    <n v="10"/>
    <n v="2160"/>
    <n v="1680"/>
    <n v="480"/>
    <x v="2"/>
    <s v="Maharashtra"/>
    <s v="West"/>
    <s v="Card"/>
    <s v="Delivered"/>
    <s v="Yes"/>
    <n v="4"/>
  </r>
  <r>
    <s v="ORD00987"/>
    <d v="2025-05-23T00:00:00"/>
    <s v="C1852"/>
    <x v="424"/>
    <s v="P1005"/>
    <x v="1"/>
    <x v="1"/>
    <x v="1"/>
    <x v="1"/>
    <n v="1"/>
    <n v="4500"/>
    <n v="0"/>
    <n v="4500"/>
    <n v="3150"/>
    <n v="1350"/>
    <x v="1"/>
    <s v="Gujarat"/>
    <s v="West"/>
    <s v="Cash"/>
    <s v="Delivered"/>
    <s v="Yes"/>
    <n v="3"/>
  </r>
  <r>
    <s v="ORD00988"/>
    <d v="2025-09-14T00:00:00"/>
    <s v="C1431"/>
    <x v="181"/>
    <s v="P1005"/>
    <x v="1"/>
    <x v="1"/>
    <x v="1"/>
    <x v="1"/>
    <n v="1"/>
    <n v="4500"/>
    <n v="10"/>
    <n v="4050"/>
    <n v="3150"/>
    <n v="900"/>
    <x v="1"/>
    <s v="Gujarat"/>
    <s v="West"/>
    <s v="Cash"/>
    <s v="Cancelled"/>
    <s v="Yes"/>
    <n v="4"/>
  </r>
  <r>
    <s v="ORD00989"/>
    <d v="2025-12-02T00:00:00"/>
    <s v="C1757"/>
    <x v="404"/>
    <s v="P1004"/>
    <x v="4"/>
    <x v="0"/>
    <x v="3"/>
    <x v="4"/>
    <n v="3"/>
    <n v="3500"/>
    <n v="10"/>
    <n v="9450"/>
    <n v="7349.9999999999991"/>
    <n v="2100.0000000000009"/>
    <x v="1"/>
    <s v="Gujarat"/>
    <s v="West"/>
    <s v="UPI"/>
    <s v="Delivered"/>
    <s v="Yes"/>
    <n v="1"/>
  </r>
  <r>
    <s v="ORD00990"/>
    <d v="2025-08-03T00:00:00"/>
    <s v="C1117"/>
    <x v="105"/>
    <s v="P1002"/>
    <x v="0"/>
    <x v="0"/>
    <x v="0"/>
    <x v="0"/>
    <n v="3"/>
    <n v="800"/>
    <n v="15"/>
    <n v="2040"/>
    <n v="1680"/>
    <n v="360"/>
    <x v="0"/>
    <s v="Delhi"/>
    <s v="North"/>
    <s v="UPI"/>
    <s v="Pending"/>
    <s v="Yes"/>
    <n v="1"/>
  </r>
  <r>
    <s v="ORD00991"/>
    <d v="2025-01-11T00:00:00"/>
    <s v="C1928"/>
    <x v="15"/>
    <s v="P1003"/>
    <x v="3"/>
    <x v="0"/>
    <x v="0"/>
    <x v="3"/>
    <n v="5"/>
    <n v="1500"/>
    <n v="0"/>
    <n v="7500"/>
    <n v="5250"/>
    <n v="2250"/>
    <x v="2"/>
    <s v="Maharashtra"/>
    <s v="West"/>
    <s v="Cash"/>
    <s v="Pending"/>
    <s v="Yes"/>
    <n v="4"/>
  </r>
  <r>
    <s v="ORD00992"/>
    <d v="2025-09-05T00:00:00"/>
    <s v="C1614"/>
    <x v="305"/>
    <s v="P1004"/>
    <x v="4"/>
    <x v="0"/>
    <x v="3"/>
    <x v="4"/>
    <n v="4"/>
    <n v="3500"/>
    <n v="5"/>
    <n v="13300"/>
    <n v="9800"/>
    <n v="3500"/>
    <x v="2"/>
    <s v="Maharashtra"/>
    <s v="West"/>
    <s v="Card"/>
    <s v="Cancelled"/>
    <s v="No"/>
    <n v="2"/>
  </r>
  <r>
    <s v="ORD00993"/>
    <d v="2025-03-26T00:00:00"/>
    <s v="C1644"/>
    <x v="151"/>
    <s v="P1004"/>
    <x v="4"/>
    <x v="0"/>
    <x v="3"/>
    <x v="4"/>
    <n v="5"/>
    <n v="3500"/>
    <n v="15"/>
    <n v="14875"/>
    <n v="12250"/>
    <n v="2625"/>
    <x v="1"/>
    <s v="Gujarat"/>
    <s v="West"/>
    <s v="Cash"/>
    <s v="Delivered"/>
    <s v="No"/>
    <n v="3"/>
  </r>
  <r>
    <s v="ORD00994"/>
    <d v="2025-05-30T00:00:00"/>
    <s v="C1248"/>
    <x v="167"/>
    <s v="P1003"/>
    <x v="3"/>
    <x v="0"/>
    <x v="0"/>
    <x v="3"/>
    <n v="1"/>
    <n v="1500"/>
    <n v="0"/>
    <n v="1500"/>
    <n v="1050"/>
    <n v="450"/>
    <x v="0"/>
    <s v="Delhi"/>
    <s v="North"/>
    <s v="UPI"/>
    <s v="Pending"/>
    <s v="No"/>
    <n v="5"/>
  </r>
  <r>
    <s v="ORD00995"/>
    <d v="2025-03-01T00:00:00"/>
    <s v="C1298"/>
    <x v="244"/>
    <s v="P1005"/>
    <x v="1"/>
    <x v="1"/>
    <x v="1"/>
    <x v="1"/>
    <n v="5"/>
    <n v="4500"/>
    <n v="0"/>
    <n v="22500"/>
    <n v="15750"/>
    <n v="6750.0000000000018"/>
    <x v="0"/>
    <s v="Delhi"/>
    <s v="North"/>
    <s v="Cash"/>
    <s v="Pending"/>
    <s v="No"/>
    <n v="4"/>
  </r>
  <r>
    <s v="ORD00996"/>
    <d v="2025-06-16T00:00:00"/>
    <s v="C1168"/>
    <x v="315"/>
    <s v="P1004"/>
    <x v="4"/>
    <x v="0"/>
    <x v="3"/>
    <x v="4"/>
    <n v="3"/>
    <n v="3500"/>
    <n v="10"/>
    <n v="9450"/>
    <n v="7349.9999999999991"/>
    <n v="2100.0000000000009"/>
    <x v="0"/>
    <s v="Delhi"/>
    <s v="North"/>
    <s v="Cash"/>
    <s v="Delivered"/>
    <s v="Yes"/>
    <n v="3"/>
  </r>
  <r>
    <s v="ORD00997"/>
    <d v="2025-09-10T00:00:00"/>
    <s v="C1746"/>
    <x v="397"/>
    <s v="P1003"/>
    <x v="3"/>
    <x v="0"/>
    <x v="0"/>
    <x v="3"/>
    <n v="3"/>
    <n v="1500"/>
    <n v="10"/>
    <n v="4050"/>
    <n v="3150"/>
    <n v="900"/>
    <x v="2"/>
    <s v="Maharashtra"/>
    <s v="West"/>
    <s v="UPI"/>
    <s v="Pending"/>
    <s v="No"/>
    <n v="1"/>
  </r>
  <r>
    <s v="ORD00998"/>
    <d v="2025-01-16T00:00:00"/>
    <s v="C1472"/>
    <x v="307"/>
    <s v="P1005"/>
    <x v="1"/>
    <x v="1"/>
    <x v="1"/>
    <x v="1"/>
    <n v="5"/>
    <n v="4500"/>
    <n v="15"/>
    <n v="19125"/>
    <n v="15750"/>
    <n v="3375.0000000000018"/>
    <x v="1"/>
    <s v="Gujarat"/>
    <s v="West"/>
    <s v="Cash"/>
    <s v="Delivered"/>
    <s v="No"/>
    <n v="4"/>
  </r>
  <r>
    <s v="ORD00999"/>
    <d v="2025-04-05T00:00:00"/>
    <s v="C1547"/>
    <x v="132"/>
    <s v="P1004"/>
    <x v="4"/>
    <x v="0"/>
    <x v="3"/>
    <x v="4"/>
    <n v="3"/>
    <n v="3500"/>
    <n v="10"/>
    <n v="9450"/>
    <n v="7349.9999999999991"/>
    <n v="2100.0000000000009"/>
    <x v="1"/>
    <s v="Gujarat"/>
    <s v="West"/>
    <s v="Card"/>
    <s v="Cancelled"/>
    <s v="Yes"/>
    <n v="2"/>
  </r>
  <r>
    <s v="ORD01000"/>
    <d v="2025-03-09T00:00:00"/>
    <s v="C1173"/>
    <x v="141"/>
    <s v="P1003"/>
    <x v="3"/>
    <x v="0"/>
    <x v="0"/>
    <x v="3"/>
    <n v="4"/>
    <n v="1500"/>
    <n v="0"/>
    <n v="6000"/>
    <n v="4200"/>
    <n v="1800"/>
    <x v="1"/>
    <s v="Gujarat"/>
    <s v="West"/>
    <s v="Card"/>
    <s v="Pending"/>
    <s v="Yes"/>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1DF19C-EC36-41CF-BF23-1C33204015F2}" name="CITY VS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2:B17" firstHeaderRow="1" firstDataRow="1" firstDataCol="1"/>
  <pivotFields count="22">
    <pivotField showAll="0"/>
    <pivotField numFmtId="14" showAll="0"/>
    <pivotField showAll="0"/>
    <pivotField showAll="0"/>
    <pivotField showAll="0"/>
    <pivotField showAll="0">
      <items count="6">
        <item x="1"/>
        <item x="4"/>
        <item x="3"/>
        <item x="2"/>
        <item x="0"/>
        <item t="default"/>
      </items>
    </pivotField>
    <pivotField showAll="0"/>
    <pivotField showAll="0">
      <items count="5">
        <item x="0"/>
        <item x="3"/>
        <item x="2"/>
        <item x="1"/>
        <item t="default"/>
      </items>
    </pivotField>
    <pivotField showAll="0">
      <items count="6">
        <item x="2"/>
        <item x="3"/>
        <item x="0"/>
        <item x="1"/>
        <item x="4"/>
        <item t="default"/>
      </items>
    </pivotField>
    <pivotField showAll="0"/>
    <pivotField showAll="0"/>
    <pivotField showAll="0"/>
    <pivotField dataField="1" showAll="0"/>
    <pivotField showAll="0"/>
    <pivotField showAll="0"/>
    <pivotField axis="axisRow" showAll="0">
      <items count="5">
        <item x="1"/>
        <item x="3"/>
        <item x="0"/>
        <item x="2"/>
        <item t="default"/>
      </items>
    </pivotField>
    <pivotField showAll="0"/>
    <pivotField showAll="0"/>
    <pivotField showAll="0"/>
    <pivotField showAll="0"/>
    <pivotField showAll="0"/>
    <pivotField showAll="0"/>
  </pivotFields>
  <rowFields count="1">
    <field x="15"/>
  </rowFields>
  <rowItems count="5">
    <i>
      <x/>
    </i>
    <i>
      <x v="1"/>
    </i>
    <i>
      <x v="2"/>
    </i>
    <i>
      <x v="3"/>
    </i>
    <i t="grand">
      <x/>
    </i>
  </rowItems>
  <colItems count="1">
    <i/>
  </colItems>
  <dataFields count="1">
    <dataField name="Sum of Sales" fld="12"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0" format="4">
      <pivotArea type="data" outline="0" fieldPosition="0">
        <references count="2">
          <reference field="4294967294" count="1" selected="0">
            <x v="0"/>
          </reference>
          <reference field="15" count="1" selected="0">
            <x v="3"/>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DCEBF4-D9B3-41B4-AA7F-7EB0E1C38694}" name="product vs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22">
    <pivotField showAll="0"/>
    <pivotField numFmtId="14" showAll="0"/>
    <pivotField showAll="0"/>
    <pivotField showAll="0"/>
    <pivotField showAll="0"/>
    <pivotField axis="axisRow" showAll="0">
      <items count="6">
        <item x="1"/>
        <item x="4"/>
        <item x="3"/>
        <item x="2"/>
        <item x="0"/>
        <item t="default"/>
      </items>
    </pivotField>
    <pivotField showAll="0">
      <items count="3">
        <item x="0"/>
        <item x="1"/>
        <item t="default"/>
      </items>
    </pivotField>
    <pivotField showAll="0">
      <items count="5">
        <item x="0"/>
        <item x="3"/>
        <item x="2"/>
        <item x="1"/>
        <item t="default"/>
      </items>
    </pivotField>
    <pivotField showAll="0">
      <items count="6">
        <item x="2"/>
        <item x="3"/>
        <item x="0"/>
        <item x="1"/>
        <item x="4"/>
        <item t="default"/>
      </items>
    </pivotField>
    <pivotField showAll="0"/>
    <pivotField showAll="0"/>
    <pivotField showAll="0"/>
    <pivotField dataField="1" showAll="0"/>
    <pivotField showAll="0"/>
    <pivotField showAll="0"/>
    <pivotField showAll="0">
      <items count="5">
        <item x="1"/>
        <item x="3"/>
        <item x="0"/>
        <item x="2"/>
        <item t="default"/>
      </items>
    </pivotField>
    <pivotField showAll="0"/>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Sum of Sales" fld="1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8E762A-3B8F-4438-8D73-8CF8CA34CA9F}" name="SUBCATEGORY VS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9:B34" firstHeaderRow="1" firstDataRow="1" firstDataCol="1"/>
  <pivotFields count="22">
    <pivotField showAll="0"/>
    <pivotField numFmtId="14" showAll="0"/>
    <pivotField showAll="0"/>
    <pivotField showAll="0">
      <items count="433">
        <item x="296"/>
        <item x="61"/>
        <item x="381"/>
        <item x="354"/>
        <item x="239"/>
        <item x="180"/>
        <item x="265"/>
        <item x="208"/>
        <item x="243"/>
        <item x="107"/>
        <item x="23"/>
        <item x="137"/>
        <item x="347"/>
        <item x="356"/>
        <item x="429"/>
        <item x="56"/>
        <item x="186"/>
        <item x="168"/>
        <item x="206"/>
        <item x="322"/>
        <item x="318"/>
        <item x="359"/>
        <item x="55"/>
        <item x="253"/>
        <item x="198"/>
        <item x="331"/>
        <item x="148"/>
        <item x="362"/>
        <item x="216"/>
        <item x="171"/>
        <item x="172"/>
        <item x="127"/>
        <item x="128"/>
        <item x="154"/>
        <item x="290"/>
        <item x="300"/>
        <item x="78"/>
        <item x="353"/>
        <item x="406"/>
        <item x="36"/>
        <item x="373"/>
        <item x="391"/>
        <item x="57"/>
        <item x="255"/>
        <item x="217"/>
        <item x="293"/>
        <item x="226"/>
        <item x="97"/>
        <item x="292"/>
        <item x="160"/>
        <item x="90"/>
        <item x="235"/>
        <item x="10"/>
        <item x="174"/>
        <item x="301"/>
        <item x="400"/>
        <item x="225"/>
        <item x="205"/>
        <item x="173"/>
        <item x="281"/>
        <item x="109"/>
        <item x="1"/>
        <item x="141"/>
        <item x="14"/>
        <item x="9"/>
        <item x="7"/>
        <item x="157"/>
        <item x="415"/>
        <item x="193"/>
        <item x="145"/>
        <item x="88"/>
        <item x="299"/>
        <item x="263"/>
        <item x="242"/>
        <item x="118"/>
        <item x="163"/>
        <item x="237"/>
        <item x="383"/>
        <item x="48"/>
        <item x="321"/>
        <item x="408"/>
        <item x="298"/>
        <item x="428"/>
        <item x="397"/>
        <item x="3"/>
        <item x="427"/>
        <item x="412"/>
        <item x="402"/>
        <item x="227"/>
        <item x="191"/>
        <item x="360"/>
        <item x="35"/>
        <item x="110"/>
        <item x="211"/>
        <item x="343"/>
        <item x="366"/>
        <item x="30"/>
        <item x="80"/>
        <item x="424"/>
        <item x="261"/>
        <item x="302"/>
        <item x="327"/>
        <item x="295"/>
        <item x="187"/>
        <item x="309"/>
        <item x="230"/>
        <item x="363"/>
        <item x="395"/>
        <item x="267"/>
        <item x="232"/>
        <item x="304"/>
        <item x="182"/>
        <item x="139"/>
        <item x="166"/>
        <item x="286"/>
        <item x="210"/>
        <item x="94"/>
        <item x="20"/>
        <item x="236"/>
        <item x="201"/>
        <item x="147"/>
        <item x="404"/>
        <item x="59"/>
        <item x="27"/>
        <item x="413"/>
        <item x="310"/>
        <item x="105"/>
        <item x="176"/>
        <item x="158"/>
        <item x="175"/>
        <item x="16"/>
        <item x="306"/>
        <item x="100"/>
        <item x="152"/>
        <item x="351"/>
        <item x="364"/>
        <item x="121"/>
        <item x="374"/>
        <item x="271"/>
        <item x="87"/>
        <item x="101"/>
        <item x="144"/>
        <item x="46"/>
        <item x="289"/>
        <item x="202"/>
        <item x="111"/>
        <item x="380"/>
        <item x="104"/>
        <item x="86"/>
        <item x="179"/>
        <item x="41"/>
        <item x="161"/>
        <item x="113"/>
        <item x="68"/>
        <item x="183"/>
        <item x="222"/>
        <item x="409"/>
        <item x="49"/>
        <item x="307"/>
        <item x="212"/>
        <item x="224"/>
        <item x="15"/>
        <item x="338"/>
        <item x="28"/>
        <item x="337"/>
        <item x="181"/>
        <item x="74"/>
        <item x="95"/>
        <item x="69"/>
        <item x="214"/>
        <item x="335"/>
        <item x="314"/>
        <item x="40"/>
        <item x="153"/>
        <item x="89"/>
        <item x="142"/>
        <item x="336"/>
        <item x="136"/>
        <item x="53"/>
        <item x="328"/>
        <item x="279"/>
        <item x="388"/>
        <item x="259"/>
        <item x="151"/>
        <item x="339"/>
        <item x="425"/>
        <item x="372"/>
        <item x="342"/>
        <item x="85"/>
        <item x="119"/>
        <item x="60"/>
        <item x="313"/>
        <item x="122"/>
        <item x="2"/>
        <item x="45"/>
        <item x="273"/>
        <item x="42"/>
        <item x="75"/>
        <item x="394"/>
        <item x="116"/>
        <item x="18"/>
        <item x="0"/>
        <item x="67"/>
        <item x="37"/>
        <item x="410"/>
        <item x="33"/>
        <item x="213"/>
        <item x="219"/>
        <item x="320"/>
        <item x="285"/>
        <item x="117"/>
        <item x="423"/>
        <item x="355"/>
        <item x="369"/>
        <item x="269"/>
        <item x="169"/>
        <item x="215"/>
        <item x="43"/>
        <item x="194"/>
        <item x="96"/>
        <item x="12"/>
        <item x="13"/>
        <item x="422"/>
        <item x="407"/>
        <item x="52"/>
        <item x="329"/>
        <item x="284"/>
        <item x="420"/>
        <item x="159"/>
        <item x="244"/>
        <item x="106"/>
        <item x="17"/>
        <item x="71"/>
        <item x="203"/>
        <item x="155"/>
        <item x="345"/>
        <item x="162"/>
        <item x="21"/>
        <item x="305"/>
        <item x="135"/>
        <item x="251"/>
        <item x="340"/>
        <item x="414"/>
        <item x="344"/>
        <item x="120"/>
        <item x="64"/>
        <item x="8"/>
        <item x="283"/>
        <item x="83"/>
        <item x="357"/>
        <item x="4"/>
        <item x="29"/>
        <item x="192"/>
        <item x="199"/>
        <item x="317"/>
        <item x="371"/>
        <item x="430"/>
        <item x="115"/>
        <item x="167"/>
        <item x="382"/>
        <item x="112"/>
        <item x="349"/>
        <item x="421"/>
        <item x="34"/>
        <item x="282"/>
        <item x="62"/>
        <item x="93"/>
        <item x="22"/>
        <item x="291"/>
        <item x="393"/>
        <item x="223"/>
        <item x="190"/>
        <item x="258"/>
        <item x="231"/>
        <item x="319"/>
        <item x="288"/>
        <item x="32"/>
        <item x="312"/>
        <item x="131"/>
        <item x="270"/>
        <item x="384"/>
        <item x="332"/>
        <item x="134"/>
        <item x="387"/>
        <item x="417"/>
        <item x="426"/>
        <item x="419"/>
        <item x="315"/>
        <item x="276"/>
        <item x="376"/>
        <item x="164"/>
        <item x="65"/>
        <item x="277"/>
        <item x="268"/>
        <item x="82"/>
        <item x="361"/>
        <item x="385"/>
        <item x="123"/>
        <item x="323"/>
        <item x="297"/>
        <item x="254"/>
        <item x="38"/>
        <item x="26"/>
        <item x="108"/>
        <item x="54"/>
        <item x="204"/>
        <item x="150"/>
        <item x="264"/>
        <item x="260"/>
        <item x="50"/>
        <item x="266"/>
        <item x="102"/>
        <item x="358"/>
        <item x="257"/>
        <item x="91"/>
        <item x="246"/>
        <item x="411"/>
        <item x="431"/>
        <item x="398"/>
        <item x="51"/>
        <item x="389"/>
        <item x="143"/>
        <item x="73"/>
        <item x="132"/>
        <item x="324"/>
        <item x="188"/>
        <item x="77"/>
        <item x="189"/>
        <item x="365"/>
        <item x="103"/>
        <item x="333"/>
        <item x="19"/>
        <item x="24"/>
        <item x="221"/>
        <item x="352"/>
        <item x="249"/>
        <item x="92"/>
        <item x="234"/>
        <item x="200"/>
        <item x="252"/>
        <item x="378"/>
        <item x="386"/>
        <item x="25"/>
        <item x="81"/>
        <item x="195"/>
        <item x="140"/>
        <item x="124"/>
        <item x="280"/>
        <item x="396"/>
        <item x="399"/>
        <item x="99"/>
        <item x="129"/>
        <item x="178"/>
        <item x="326"/>
        <item x="272"/>
        <item x="390"/>
        <item x="370"/>
        <item x="233"/>
        <item x="229"/>
        <item x="392"/>
        <item x="98"/>
        <item x="138"/>
        <item x="209"/>
        <item x="66"/>
        <item x="146"/>
        <item x="76"/>
        <item x="275"/>
        <item x="79"/>
        <item x="170"/>
        <item x="31"/>
        <item x="84"/>
        <item x="311"/>
        <item x="58"/>
        <item x="238"/>
        <item x="207"/>
        <item x="247"/>
        <item x="184"/>
        <item x="379"/>
        <item x="149"/>
        <item x="416"/>
        <item x="228"/>
        <item x="125"/>
        <item x="325"/>
        <item x="274"/>
        <item x="401"/>
        <item x="39"/>
        <item x="330"/>
        <item x="418"/>
        <item x="114"/>
        <item x="316"/>
        <item x="248"/>
        <item x="368"/>
        <item x="341"/>
        <item x="405"/>
        <item x="177"/>
        <item x="126"/>
        <item x="367"/>
        <item x="47"/>
        <item x="256"/>
        <item x="133"/>
        <item x="72"/>
        <item x="303"/>
        <item x="308"/>
        <item x="11"/>
        <item x="334"/>
        <item x="220"/>
        <item x="130"/>
        <item x="348"/>
        <item x="240"/>
        <item x="346"/>
        <item x="156"/>
        <item x="375"/>
        <item x="350"/>
        <item x="196"/>
        <item x="63"/>
        <item x="241"/>
        <item x="262"/>
        <item x="185"/>
        <item x="44"/>
        <item x="197"/>
        <item x="165"/>
        <item x="218"/>
        <item x="278"/>
        <item x="250"/>
        <item x="6"/>
        <item x="5"/>
        <item x="245"/>
        <item x="294"/>
        <item x="287"/>
        <item x="403"/>
        <item x="70"/>
        <item x="377"/>
        <item t="default"/>
      </items>
    </pivotField>
    <pivotField showAll="0"/>
    <pivotField showAll="0">
      <items count="6">
        <item x="1"/>
        <item x="4"/>
        <item x="3"/>
        <item x="2"/>
        <item x="0"/>
        <item t="default"/>
      </items>
    </pivotField>
    <pivotField showAll="0"/>
    <pivotField axis="axisRow" showAll="0">
      <items count="5">
        <item x="0"/>
        <item x="3"/>
        <item x="2"/>
        <item x="1"/>
        <item t="default"/>
      </items>
    </pivotField>
    <pivotField showAll="0">
      <items count="6">
        <item x="2"/>
        <item x="3"/>
        <item x="0"/>
        <item x="1"/>
        <item x="4"/>
        <item t="default"/>
      </items>
    </pivotField>
    <pivotField showAll="0"/>
    <pivotField showAll="0"/>
    <pivotField showAll="0"/>
    <pivotField dataField="1" showAll="0"/>
    <pivotField showAll="0"/>
    <pivotField showAll="0"/>
    <pivotField showAll="0">
      <items count="5">
        <item x="1"/>
        <item x="3"/>
        <item x="0"/>
        <item x="2"/>
        <item t="default"/>
      </items>
    </pivotField>
    <pivotField showAll="0"/>
    <pivotField showAll="0"/>
    <pivotField showAll="0"/>
    <pivotField showAll="0"/>
    <pivotField showAll="0"/>
    <pivotField showAll="0"/>
  </pivotFields>
  <rowFields count="1">
    <field x="7"/>
  </rowFields>
  <rowItems count="5">
    <i>
      <x/>
    </i>
    <i>
      <x v="1"/>
    </i>
    <i>
      <x v="2"/>
    </i>
    <i>
      <x v="3"/>
    </i>
    <i t="grand">
      <x/>
    </i>
  </rowItems>
  <colItems count="1">
    <i/>
  </colItems>
  <dataFields count="1">
    <dataField name="Sum of Sales" fld="12"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66655F-0AF4-4C3F-B79A-41E57A0F01B1}" name="BRAND VS QUANT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0:B26" firstHeaderRow="1" firstDataRow="1" firstDataCol="1"/>
  <pivotFields count="22">
    <pivotField showAll="0"/>
    <pivotField numFmtId="14" showAll="0"/>
    <pivotField showAll="0"/>
    <pivotField showAll="0"/>
    <pivotField showAll="0"/>
    <pivotField showAll="0">
      <items count="6">
        <item x="1"/>
        <item x="4"/>
        <item x="3"/>
        <item x="2"/>
        <item x="0"/>
        <item t="default"/>
      </items>
    </pivotField>
    <pivotField showAll="0"/>
    <pivotField showAll="0">
      <items count="5">
        <item x="0"/>
        <item x="3"/>
        <item x="2"/>
        <item x="1"/>
        <item t="default"/>
      </items>
    </pivotField>
    <pivotField axis="axisRow" showAll="0">
      <items count="6">
        <item x="3"/>
        <item x="0"/>
        <item x="1"/>
        <item x="2"/>
        <item x="4"/>
        <item t="default"/>
      </items>
    </pivotField>
    <pivotField dataField="1" showAll="0"/>
    <pivotField showAll="0"/>
    <pivotField showAll="0"/>
    <pivotField showAll="0"/>
    <pivotField showAll="0"/>
    <pivotField showAll="0"/>
    <pivotField showAll="0">
      <items count="5">
        <item x="1"/>
        <item x="3"/>
        <item x="0"/>
        <item x="2"/>
        <item t="default"/>
      </items>
    </pivotField>
    <pivotField showAll="0"/>
    <pivotField showAll="0"/>
    <pivotField showAll="0"/>
    <pivotField showAll="0"/>
    <pivotField showAll="0"/>
    <pivotField showAll="0"/>
  </pivotFields>
  <rowFields count="1">
    <field x="8"/>
  </rowFields>
  <rowItems count="6">
    <i>
      <x/>
    </i>
    <i>
      <x v="1"/>
    </i>
    <i>
      <x v="2"/>
    </i>
    <i>
      <x v="3"/>
    </i>
    <i>
      <x v="4"/>
    </i>
    <i t="grand">
      <x/>
    </i>
  </rowItems>
  <colItems count="1">
    <i/>
  </colItems>
  <dataFields count="1">
    <dataField name="Sum of Quantity"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822903B6-1760-4E4F-A90B-14DD8F843AD2}" sourceName="Product Name">
  <pivotTables>
    <pivotTable tabId="2" name="product vs sales"/>
    <pivotTable tabId="2" name="BRAND VS QUANTITY"/>
    <pivotTable tabId="2" name="CITY VS SALES"/>
    <pivotTable tabId="2" name="SUBCATEGORY VS SALES"/>
  </pivotTables>
  <data>
    <tabular pivotCacheId="507148004">
      <items count="5">
        <i x="1" s="1"/>
        <i x="4"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E8CE659-E3EB-4F70-BC17-DDEE0D5FF5A7}" sourceName="City">
  <pivotTables>
    <pivotTable tabId="2" name="CITY VS SALES"/>
    <pivotTable tabId="2" name="BRAND VS QUANTITY"/>
    <pivotTable tabId="2" name="product vs sales"/>
    <pivotTable tabId="2" name="SUBCATEGORY VS SALES"/>
  </pivotTables>
  <data>
    <tabular pivotCacheId="507148004">
      <items count="4">
        <i x="1"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063679EA-9C27-4D3D-8A66-FBC78433A52E}" sourceName="Brand">
  <pivotTables>
    <pivotTable tabId="2" name="BRAND VS QUANTITY"/>
    <pivotTable tabId="2" name="CITY VS SALES"/>
    <pivotTable tabId="2" name="product vs sales"/>
    <pivotTable tabId="2" name="SUBCATEGORY VS SALES"/>
  </pivotTables>
  <data>
    <tabular pivotCacheId="507148004">
      <items count="5">
        <i x="2" s="1"/>
        <i x="3" s="1"/>
        <i x="0"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1F0CE0E9-B908-4180-832F-731AAFF3FC67}" sourceName="Sub Category">
  <pivotTables>
    <pivotTable tabId="2" name="SUBCATEGORY VS SALES"/>
    <pivotTable tabId="2" name="BRAND VS QUANTITY"/>
    <pivotTable tabId="2" name="CITY VS SALES"/>
    <pivotTable tabId="2" name="product vs sales"/>
  </pivotTables>
  <data>
    <tabular pivotCacheId="507148004">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6F934417-60A2-4725-9BAE-D83409A8AF3A}" cache="Slicer_Product_Name" caption="Product Name" rowHeight="241300"/>
  <slicer name="City" xr10:uid="{DB37CE98-3277-4F29-8105-D0366C54BC22}" cache="Slicer_City" caption="City" rowHeight="241300"/>
  <slicer name="Brand" xr10:uid="{92A35609-A7D7-45FB-B9F3-3BB448EE97A3}" cache="Slicer_Brand" caption="Brand" rowHeight="241300"/>
  <slicer name="Sub Category" xr10:uid="{47471BAA-B802-4928-96A3-CB933457531E}" cache="Slicer_Sub_Category" caption="Sub 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6607EE-AA80-4AB3-8659-8835F232808D}" name="Table1" displayName="Table1" ref="A1:W1001" totalsRowShown="0">
  <autoFilter ref="A1:W1001" xr:uid="{AC6607EE-AA80-4AB3-8659-8835F232808D}"/>
  <tableColumns count="23">
    <tableColumn id="1" xr3:uid="{24E9BAED-B8F8-4953-8F9A-8A74DD4EFECF}" name="Order ID"/>
    <tableColumn id="2" xr3:uid="{A10C78A8-C332-498C-9150-3D59211B97A3}" name="Order Date" dataDxfId="1"/>
    <tableColumn id="3" xr3:uid="{7A5FEE08-908F-45E0-8E2B-227AC61CE25F}" name="Customer ID"/>
    <tableColumn id="4" xr3:uid="{2C1EC37E-FAC8-4207-965B-572E10A28C8F}" name="Customer Name"/>
    <tableColumn id="5" xr3:uid="{D8CDA654-355C-4CCB-99BF-388AF91C3DC0}" name="Product ID"/>
    <tableColumn id="6" xr3:uid="{216023A1-A0A5-4921-A303-631BB87E254F}" name="Product Name"/>
    <tableColumn id="7" xr3:uid="{28926C34-4160-4AA4-863E-A7D489BB2EE8}" name="Category"/>
    <tableColumn id="8" xr3:uid="{BD2692D3-3F7C-425D-8456-0E4A1289D438}" name="Sub Category"/>
    <tableColumn id="9" xr3:uid="{B23A2901-DE27-4E96-A2F6-D84DE34D8025}" name="Brand"/>
    <tableColumn id="10" xr3:uid="{74343B39-325C-43F6-9CB8-30E9E9FB58CF}" name="Quantity"/>
    <tableColumn id="11" xr3:uid="{2C2D816E-BC4A-47DF-B0F2-BBE19FFD55A7}" name="Unit Price"/>
    <tableColumn id="12" xr3:uid="{1BF8E975-684F-4F0D-AC2F-CE3C95A1E636}" name="Discount %"/>
    <tableColumn id="13" xr3:uid="{22E4E9FD-6D67-4CF3-A034-20B27008C71E}" name="Sales"/>
    <tableColumn id="14" xr3:uid="{BF964AA0-F177-4885-B706-D80F40911773}" name="Cost"/>
    <tableColumn id="15" xr3:uid="{A8980340-28D5-4BFC-8B23-C5F55F46489F}" name="Profit"/>
    <tableColumn id="16" xr3:uid="{3AE310AE-5B0D-474D-9DAC-1C37916E7FAE}" name="City"/>
    <tableColumn id="17" xr3:uid="{E16DCA88-7159-4014-A13B-C74C63219242}" name="State"/>
    <tableColumn id="18" xr3:uid="{4CB608DB-2EEB-446E-AEB4-955A042E7239}" name="Region"/>
    <tableColumn id="19" xr3:uid="{01948324-AD5B-4EC5-AD9C-422C98BF5276}" name="Payment Mode"/>
    <tableColumn id="20" xr3:uid="{75DA85DE-F7A3-4D98-8D63-475FC8300774}" name="Delivery Status"/>
    <tableColumn id="21" xr3:uid="{B524BE00-9E83-499A-890B-32AC07EA18ED}" name="Return Status"/>
    <tableColumn id="22" xr3:uid="{EFF21989-4C8C-4808-943A-9C8B8A3D95BE}" name="Rating"/>
    <tableColumn id="23" xr3:uid="{99CF61A8-0230-4DBC-9D18-2447871473A3}" name="profit%" dataDxfId="0">
      <calculatedColumnFormula>Table1[[#This Row],[Profit]]/Table1[[#This Row],[Sales]]</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34DBF-29DA-46DD-B1DA-89D2CC5DC04F}">
  <dimension ref="A2:N34"/>
  <sheetViews>
    <sheetView tabSelected="1" workbookViewId="0">
      <selection activeCell="C37" sqref="C37"/>
    </sheetView>
  </sheetViews>
  <sheetFormatPr defaultRowHeight="15" x14ac:dyDescent="0.25"/>
  <cols>
    <col min="1" max="1" width="13.140625" bestFit="1" customWidth="1"/>
    <col min="2" max="5" width="12.140625" bestFit="1" customWidth="1"/>
  </cols>
  <sheetData>
    <row r="2" spans="1:14" x14ac:dyDescent="0.25">
      <c r="A2" s="9" t="s">
        <v>2133</v>
      </c>
      <c r="B2" s="9"/>
      <c r="E2" s="8"/>
      <c r="F2" s="8"/>
      <c r="G2" s="8"/>
      <c r="H2" s="8"/>
      <c r="I2" s="8"/>
      <c r="J2" s="8"/>
      <c r="K2" s="8"/>
      <c r="L2" s="8"/>
      <c r="M2" s="8"/>
      <c r="N2" s="8"/>
    </row>
    <row r="3" spans="1:14" x14ac:dyDescent="0.25">
      <c r="A3" s="2" t="s">
        <v>2129</v>
      </c>
      <c r="B3" t="s">
        <v>2131</v>
      </c>
      <c r="E3" s="8"/>
      <c r="F3" s="8"/>
      <c r="G3" s="8"/>
      <c r="H3" s="8"/>
      <c r="I3" s="8"/>
      <c r="J3" s="8"/>
      <c r="K3" s="8"/>
      <c r="L3" s="8"/>
      <c r="M3" s="8"/>
      <c r="N3" s="8"/>
    </row>
    <row r="4" spans="1:14" x14ac:dyDescent="0.25">
      <c r="A4" s="3" t="s">
        <v>39</v>
      </c>
      <c r="B4" s="10">
        <v>2495925</v>
      </c>
    </row>
    <row r="5" spans="1:14" x14ac:dyDescent="0.25">
      <c r="A5" s="3" t="s">
        <v>74</v>
      </c>
      <c r="B5" s="10">
        <v>2171575</v>
      </c>
    </row>
    <row r="6" spans="1:14" x14ac:dyDescent="0.25">
      <c r="A6" s="3" t="s">
        <v>68</v>
      </c>
      <c r="B6" s="10">
        <v>832050</v>
      </c>
    </row>
    <row r="7" spans="1:14" x14ac:dyDescent="0.25">
      <c r="A7" s="3" t="s">
        <v>53</v>
      </c>
      <c r="B7" s="10">
        <v>27164500</v>
      </c>
    </row>
    <row r="8" spans="1:14" x14ac:dyDescent="0.25">
      <c r="A8" s="3" t="s">
        <v>26</v>
      </c>
      <c r="B8" s="10">
        <v>427640</v>
      </c>
    </row>
    <row r="9" spans="1:14" x14ac:dyDescent="0.25">
      <c r="A9" s="3" t="s">
        <v>2130</v>
      </c>
      <c r="B9" s="10">
        <v>33091690</v>
      </c>
    </row>
    <row r="11" spans="1:14" x14ac:dyDescent="0.25">
      <c r="A11" s="9" t="s">
        <v>2134</v>
      </c>
      <c r="B11" s="9"/>
    </row>
    <row r="12" spans="1:14" x14ac:dyDescent="0.25">
      <c r="A12" s="2" t="s">
        <v>2129</v>
      </c>
      <c r="B12" t="s">
        <v>2131</v>
      </c>
    </row>
    <row r="13" spans="1:14" x14ac:dyDescent="0.25">
      <c r="A13" s="3" t="s">
        <v>43</v>
      </c>
      <c r="B13" s="10">
        <v>7491755</v>
      </c>
    </row>
    <row r="14" spans="1:14" x14ac:dyDescent="0.25">
      <c r="A14" s="3" t="s">
        <v>109</v>
      </c>
      <c r="B14" s="10">
        <v>8818200</v>
      </c>
    </row>
    <row r="15" spans="1:14" x14ac:dyDescent="0.25">
      <c r="A15" s="3" t="s">
        <v>30</v>
      </c>
      <c r="B15" s="10">
        <v>9930040</v>
      </c>
    </row>
    <row r="16" spans="1:14" x14ac:dyDescent="0.25">
      <c r="A16" s="3" t="s">
        <v>95</v>
      </c>
      <c r="B16" s="10">
        <v>6851695</v>
      </c>
    </row>
    <row r="17" spans="1:2" x14ac:dyDescent="0.25">
      <c r="A17" s="3" t="s">
        <v>2130</v>
      </c>
      <c r="B17" s="10">
        <v>33091690</v>
      </c>
    </row>
    <row r="19" spans="1:2" x14ac:dyDescent="0.25">
      <c r="A19" s="9" t="s">
        <v>2135</v>
      </c>
      <c r="B19" s="9"/>
    </row>
    <row r="20" spans="1:2" x14ac:dyDescent="0.25">
      <c r="A20" s="2" t="s">
        <v>2129</v>
      </c>
      <c r="B20" t="s">
        <v>2132</v>
      </c>
    </row>
    <row r="21" spans="1:2" x14ac:dyDescent="0.25">
      <c r="A21" s="3" t="s">
        <v>69</v>
      </c>
      <c r="B21" s="10">
        <v>602</v>
      </c>
    </row>
    <row r="22" spans="1:2" x14ac:dyDescent="0.25">
      <c r="A22" s="3" t="s">
        <v>29</v>
      </c>
      <c r="B22" s="10">
        <v>583</v>
      </c>
    </row>
    <row r="23" spans="1:2" x14ac:dyDescent="0.25">
      <c r="A23" s="3" t="s">
        <v>42</v>
      </c>
      <c r="B23" s="10">
        <v>604</v>
      </c>
    </row>
    <row r="24" spans="1:2" x14ac:dyDescent="0.25">
      <c r="A24" s="3" t="s">
        <v>55</v>
      </c>
      <c r="B24" s="10">
        <v>541</v>
      </c>
    </row>
    <row r="25" spans="1:2" x14ac:dyDescent="0.25">
      <c r="A25" s="3" t="s">
        <v>76</v>
      </c>
      <c r="B25" s="10">
        <v>675</v>
      </c>
    </row>
    <row r="26" spans="1:2" x14ac:dyDescent="0.25">
      <c r="A26" s="3" t="s">
        <v>2130</v>
      </c>
      <c r="B26" s="10">
        <v>3005</v>
      </c>
    </row>
    <row r="28" spans="1:2" x14ac:dyDescent="0.25">
      <c r="A28" s="9" t="s">
        <v>2136</v>
      </c>
      <c r="B28" s="9"/>
    </row>
    <row r="29" spans="1:2" x14ac:dyDescent="0.25">
      <c r="A29" s="2" t="s">
        <v>2129</v>
      </c>
      <c r="B29" t="s">
        <v>2131</v>
      </c>
    </row>
    <row r="30" spans="1:2" x14ac:dyDescent="0.25">
      <c r="A30" s="3" t="s">
        <v>28</v>
      </c>
      <c r="B30" s="10">
        <v>1259690</v>
      </c>
    </row>
    <row r="31" spans="1:2" x14ac:dyDescent="0.25">
      <c r="A31" s="3" t="s">
        <v>75</v>
      </c>
      <c r="B31" s="10">
        <v>2171575</v>
      </c>
    </row>
    <row r="32" spans="1:2" x14ac:dyDescent="0.25">
      <c r="A32" s="3" t="s">
        <v>54</v>
      </c>
      <c r="B32" s="10">
        <v>27164500</v>
      </c>
    </row>
    <row r="33" spans="1:2" x14ac:dyDescent="0.25">
      <c r="A33" s="3" t="s">
        <v>41</v>
      </c>
      <c r="B33" s="10">
        <v>2495925</v>
      </c>
    </row>
    <row r="34" spans="1:2" x14ac:dyDescent="0.25">
      <c r="A34" s="3" t="s">
        <v>2130</v>
      </c>
      <c r="B34" s="10">
        <v>33091690</v>
      </c>
    </row>
  </sheetData>
  <mergeCells count="4">
    <mergeCell ref="A2:B2"/>
    <mergeCell ref="A11:B11"/>
    <mergeCell ref="A19:B19"/>
    <mergeCell ref="A28:B28"/>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E031F-ECDE-4734-8DFD-58DCF323969B}">
  <dimension ref="A1:Q1001"/>
  <sheetViews>
    <sheetView workbookViewId="0">
      <selection activeCell="P4" sqref="P4"/>
    </sheetView>
  </sheetViews>
  <sheetFormatPr defaultRowHeight="15" x14ac:dyDescent="0.25"/>
  <cols>
    <col min="2" max="2" width="15.7109375" customWidth="1"/>
    <col min="3" max="3" width="32.5703125" bestFit="1" customWidth="1"/>
    <col min="6" max="6" width="11" customWidth="1"/>
    <col min="8" max="8" width="10.5703125" customWidth="1"/>
    <col min="9" max="9" width="20.85546875" customWidth="1"/>
    <col min="11" max="11" width="13.42578125" bestFit="1" customWidth="1"/>
    <col min="15" max="15" width="13.42578125" bestFit="1" customWidth="1"/>
  </cols>
  <sheetData>
    <row r="1" spans="1:17" ht="15.75" thickBot="1" x14ac:dyDescent="0.3">
      <c r="A1" s="4" t="s">
        <v>12</v>
      </c>
      <c r="B1" t="s">
        <v>5</v>
      </c>
      <c r="F1" t="s">
        <v>6</v>
      </c>
      <c r="H1" t="s">
        <v>0</v>
      </c>
      <c r="I1" t="s">
        <v>2141</v>
      </c>
      <c r="J1" t="s">
        <v>2142</v>
      </c>
      <c r="K1" t="s">
        <v>2143</v>
      </c>
    </row>
    <row r="2" spans="1:17" ht="15.75" thickTop="1" x14ac:dyDescent="0.25">
      <c r="A2" s="5">
        <v>1600</v>
      </c>
      <c r="B2" t="s">
        <v>26</v>
      </c>
      <c r="C2" t="s">
        <v>2138</v>
      </c>
      <c r="D2">
        <f>SUM(A:A)</f>
        <v>33091690</v>
      </c>
      <c r="F2" t="s">
        <v>27</v>
      </c>
      <c r="H2" t="s">
        <v>22</v>
      </c>
      <c r="I2" t="str">
        <f>VLOOKUP(H2,Table1[#All],8,FALSE)</f>
        <v>Accessories</v>
      </c>
      <c r="J2" t="str" cm="1">
        <f t="array" ref="J2">_xlfn.XLOOKUP(H2,Table1[[#All],[Order ID]],Table1[[#All],[Brand]],0)</f>
        <v>Logitech</v>
      </c>
      <c r="K2" t="str">
        <f>INDEX(Table1[[#All],[Product Name]],MATCH(Sheet2!H2,Table1[[#All],[Order ID]],0))</f>
        <v>Mouse</v>
      </c>
      <c r="O2" t="s">
        <v>2145</v>
      </c>
      <c r="P2" t="s">
        <v>2144</v>
      </c>
      <c r="Q2" t="str">
        <f>INDEX(Table1[[#All],[Sub Category]],2)</f>
        <v>Accessories</v>
      </c>
    </row>
    <row r="3" spans="1:17" x14ac:dyDescent="0.25">
      <c r="A3" s="6">
        <v>22500</v>
      </c>
      <c r="B3" t="s">
        <v>39</v>
      </c>
      <c r="C3" t="s">
        <v>2139</v>
      </c>
      <c r="D3">
        <f>SUMIF(F:F,"electronics",A:A)</f>
        <v>30595765</v>
      </c>
      <c r="F3" t="s">
        <v>40</v>
      </c>
      <c r="H3" t="s">
        <v>35</v>
      </c>
      <c r="I3" t="str">
        <f>VLOOKUP(H3,Table1[#All],8,FALSE)</f>
        <v>Office</v>
      </c>
      <c r="J3" t="str" cm="1">
        <f t="array" ref="J3">_xlfn.XLOOKUP(H3,Table1[[#All],[Order ID]],Table1[[#All],[Brand]],0)</f>
        <v>Nilkamal</v>
      </c>
      <c r="K3" t="str">
        <f>INDEX(Table1[[#All],[Product Name]],MATCH(Sheet2!H3,Table1[[#All],[Order ID]],0))</f>
        <v>Chair</v>
      </c>
      <c r="O3" cm="1">
        <f t="array" ref="O3:O43">_xlfn.UNIQUE(_xlfn._xlws.FILTER(Table1[Sales],Table1[Sales]&gt;10000))</f>
        <v>22500</v>
      </c>
      <c r="P3" t="str" cm="1">
        <f t="array" ref="P3:P4">_xlfn.UNIQUE(F2:F1001)</f>
        <v>Electronics</v>
      </c>
    </row>
    <row r="4" spans="1:17" x14ac:dyDescent="0.25">
      <c r="A4" s="5">
        <v>247500</v>
      </c>
      <c r="B4" t="s">
        <v>53</v>
      </c>
      <c r="C4" t="s">
        <v>2140</v>
      </c>
      <c r="D4">
        <f>SUMIFS(A:A,B:B,"Mouse",F:F,"electronics")</f>
        <v>427640</v>
      </c>
      <c r="F4" t="s">
        <v>27</v>
      </c>
      <c r="H4" t="s">
        <v>49</v>
      </c>
      <c r="I4" t="str">
        <f>VLOOKUP(H4,Table1[#All],8,FALSE)</f>
        <v>Computers</v>
      </c>
      <c r="J4" t="str" cm="1">
        <f t="array" ref="J4">_xlfn.XLOOKUP(H4,Table1[[#All],[Order ID]],Table1[[#All],[Brand]],0)</f>
        <v>Dell</v>
      </c>
      <c r="K4" t="str">
        <f>INDEX(Table1[[#All],[Product Name]],MATCH(Sheet2!H4,Table1[[#All],[Order ID]],0))</f>
        <v>Laptop</v>
      </c>
      <c r="O4">
        <v>247500</v>
      </c>
      <c r="P4" t="str">
        <v>Furniture</v>
      </c>
    </row>
    <row r="5" spans="1:17" x14ac:dyDescent="0.25">
      <c r="A5" s="6">
        <v>9000</v>
      </c>
      <c r="B5" t="s">
        <v>39</v>
      </c>
      <c r="F5" t="s">
        <v>40</v>
      </c>
      <c r="H5" t="s">
        <v>57</v>
      </c>
      <c r="I5" t="str">
        <f>VLOOKUP(H5,Table1[#All],8,FALSE)</f>
        <v>Office</v>
      </c>
      <c r="J5" t="str" cm="1">
        <f t="array" ref="J5">_xlfn.XLOOKUP(H5,Table1[[#All],[Order ID]],Table1[[#All],[Brand]],0)</f>
        <v>Nilkamal</v>
      </c>
      <c r="K5" t="str">
        <f>INDEX(Table1[[#All],[Product Name]],MATCH(Sheet2!H5,Table1[[#All],[Order ID]],0))</f>
        <v>Chair</v>
      </c>
      <c r="O5">
        <v>140250</v>
      </c>
    </row>
    <row r="6" spans="1:17" x14ac:dyDescent="0.25">
      <c r="A6" s="5">
        <v>140250</v>
      </c>
      <c r="B6" t="s">
        <v>53</v>
      </c>
      <c r="C6" t="s">
        <v>2146</v>
      </c>
      <c r="D6">
        <f>COUNT(Amazon_Sales_Data!J:J)</f>
        <v>1000</v>
      </c>
      <c r="F6" t="s">
        <v>27</v>
      </c>
      <c r="H6" t="s">
        <v>61</v>
      </c>
      <c r="I6" t="str">
        <f>VLOOKUP(H6,Table1[#All],8,FALSE)</f>
        <v>Computers</v>
      </c>
      <c r="J6" t="str" cm="1">
        <f t="array" ref="J6">_xlfn.XLOOKUP(H6,Table1[[#All],[Order ID]],Table1[[#All],[Brand]],0)</f>
        <v>Dell</v>
      </c>
      <c r="K6" t="str">
        <f>INDEX(Table1[[#All],[Product Name]],MATCH(Sheet2!H6,Table1[[#All],[Order ID]],0))</f>
        <v>Laptop</v>
      </c>
      <c r="O6">
        <v>17500</v>
      </c>
    </row>
    <row r="7" spans="1:17" x14ac:dyDescent="0.25">
      <c r="A7" s="6">
        <v>5400</v>
      </c>
      <c r="B7" t="s">
        <v>68</v>
      </c>
      <c r="C7" t="s">
        <v>2147</v>
      </c>
      <c r="D7">
        <f>COUNTIF(Table1[[#All],[Product Name]],"mouse")</f>
        <v>201</v>
      </c>
      <c r="F7" t="s">
        <v>27</v>
      </c>
      <c r="H7" t="s">
        <v>64</v>
      </c>
      <c r="I7" t="str">
        <f>VLOOKUP(H7,Table1[#All],8,FALSE)</f>
        <v>Accessories</v>
      </c>
      <c r="J7" t="str" cm="1">
        <f t="array" ref="J7">_xlfn.XLOOKUP(H7,Table1[[#All],[Order ID]],Table1[[#All],[Brand]],0)</f>
        <v>HP</v>
      </c>
      <c r="K7" t="str">
        <f>INDEX(Table1[[#All],[Product Name]],MATCH(Sheet2!H7,Table1[[#All],[Order ID]],0))</f>
        <v>Keyboard</v>
      </c>
      <c r="O7">
        <v>14000</v>
      </c>
    </row>
    <row r="8" spans="1:17" x14ac:dyDescent="0.25">
      <c r="A8" s="5">
        <v>17500</v>
      </c>
      <c r="B8" t="s">
        <v>74</v>
      </c>
      <c r="C8" t="s">
        <v>2148</v>
      </c>
      <c r="D8">
        <f>COUNTIFS(Table1[[#All],[Category]],"electronics",Table1[[#All],[Product Name]],"laptop")</f>
        <v>187</v>
      </c>
      <c r="F8" t="s">
        <v>27</v>
      </c>
      <c r="H8" t="s">
        <v>70</v>
      </c>
      <c r="I8" t="str">
        <f>VLOOKUP(H8,Table1[#All],8,FALSE)</f>
        <v>Audio</v>
      </c>
      <c r="J8" t="str" cm="1">
        <f t="array" ref="J8">_xlfn.XLOOKUP(H8,Table1[[#All],[Order ID]],Table1[[#All],[Brand]],0)</f>
        <v>Sony</v>
      </c>
      <c r="K8" t="str">
        <f>INDEX(Table1[[#All],[Product Name]],MATCH(Sheet2!H8,Table1[[#All],[Order ID]],0))</f>
        <v>Headphones</v>
      </c>
      <c r="O8">
        <v>93500</v>
      </c>
    </row>
    <row r="9" spans="1:17" x14ac:dyDescent="0.25">
      <c r="A9" s="6">
        <v>14000</v>
      </c>
      <c r="B9" t="s">
        <v>74</v>
      </c>
      <c r="F9" t="s">
        <v>27</v>
      </c>
      <c r="H9" t="s">
        <v>77</v>
      </c>
      <c r="I9" t="str">
        <f>VLOOKUP(H9,Table1[#All],8,FALSE)</f>
        <v>Audio</v>
      </c>
      <c r="J9" t="str" cm="1">
        <f t="array" ref="J9">_xlfn.XLOOKUP(H9,Table1[[#All],[Order ID]],Table1[[#All],[Brand]],0)</f>
        <v>Sony</v>
      </c>
      <c r="K9" t="str">
        <f>INDEX(Table1[[#All],[Product Name]],MATCH(Sheet2!H9,Table1[[#All],[Order ID]],0))</f>
        <v>Headphones</v>
      </c>
      <c r="O9">
        <v>14875</v>
      </c>
    </row>
    <row r="10" spans="1:17" x14ac:dyDescent="0.25">
      <c r="A10" s="5">
        <v>5950</v>
      </c>
      <c r="B10" t="s">
        <v>74</v>
      </c>
      <c r="F10" t="s">
        <v>27</v>
      </c>
      <c r="H10" t="s">
        <v>80</v>
      </c>
      <c r="I10" t="str">
        <f>VLOOKUP(H10,Table1[#All],8,FALSE)</f>
        <v>Audio</v>
      </c>
      <c r="J10" t="str" cm="1">
        <f t="array" ref="J10">_xlfn.XLOOKUP(H10,Table1[[#All],[Order ID]],Table1[[#All],[Brand]],0)</f>
        <v>Sony</v>
      </c>
      <c r="K10" t="str">
        <f>INDEX(Table1[[#All],[Product Name]],MATCH(Sheet2!H10,Table1[[#All],[Order ID]],0))</f>
        <v>Headphones</v>
      </c>
      <c r="O10">
        <v>148500</v>
      </c>
    </row>
    <row r="11" spans="1:17" x14ac:dyDescent="0.25">
      <c r="A11" s="6">
        <v>8100</v>
      </c>
      <c r="B11" t="s">
        <v>39</v>
      </c>
      <c r="F11" t="s">
        <v>40</v>
      </c>
      <c r="H11" t="s">
        <v>83</v>
      </c>
      <c r="I11" t="str">
        <f>VLOOKUP(H11,Table1[#All],8,FALSE)</f>
        <v>Office</v>
      </c>
      <c r="J11" t="str" cm="1">
        <f t="array" ref="J11">_xlfn.XLOOKUP(H11,Table1[[#All],[Order ID]],Table1[[#All],[Brand]],0)</f>
        <v>Nilkamal</v>
      </c>
      <c r="K11" t="str">
        <f>INDEX(Table1[[#All],[Product Name]],MATCH(Sheet2!H11,Table1[[#All],[Order ID]],0))</f>
        <v>Chair</v>
      </c>
      <c r="O11">
        <v>198000</v>
      </c>
    </row>
    <row r="12" spans="1:17" x14ac:dyDescent="0.25">
      <c r="A12" s="5">
        <v>6750</v>
      </c>
      <c r="B12" t="s">
        <v>68</v>
      </c>
      <c r="F12" t="s">
        <v>27</v>
      </c>
      <c r="H12" t="s">
        <v>86</v>
      </c>
      <c r="I12" t="str">
        <f>VLOOKUP(H12,Table1[#All],8,FALSE)</f>
        <v>Accessories</v>
      </c>
      <c r="J12" t="str" cm="1">
        <f t="array" ref="J12">_xlfn.XLOOKUP(H12,Table1[[#All],[Order ID]],Table1[[#All],[Brand]],0)</f>
        <v>HP</v>
      </c>
      <c r="K12" t="str">
        <f>INDEX(Table1[[#All],[Product Name]],MATCH(Sheet2!H12,Table1[[#All],[Order ID]],0))</f>
        <v>Keyboard</v>
      </c>
      <c r="O12">
        <v>52250</v>
      </c>
    </row>
    <row r="13" spans="1:17" x14ac:dyDescent="0.25">
      <c r="A13" s="6">
        <v>3600</v>
      </c>
      <c r="B13" t="s">
        <v>26</v>
      </c>
      <c r="F13" t="s">
        <v>27</v>
      </c>
      <c r="H13" t="s">
        <v>89</v>
      </c>
      <c r="I13" t="str">
        <f>VLOOKUP(H13,Table1[#All],8,FALSE)</f>
        <v>Accessories</v>
      </c>
      <c r="J13" t="str" cm="1">
        <f t="array" ref="J13">_xlfn.XLOOKUP(H13,Table1[[#All],[Order ID]],Table1[[#All],[Brand]],0)</f>
        <v>Logitech</v>
      </c>
      <c r="K13" t="str">
        <f>INDEX(Table1[[#All],[Product Name]],MATCH(Sheet2!H13,Table1[[#All],[Order ID]],0))</f>
        <v>Mouse</v>
      </c>
      <c r="O13">
        <v>12150</v>
      </c>
    </row>
    <row r="14" spans="1:17" x14ac:dyDescent="0.25">
      <c r="A14" s="5">
        <v>7650</v>
      </c>
      <c r="B14" t="s">
        <v>39</v>
      </c>
      <c r="F14" t="s">
        <v>40</v>
      </c>
      <c r="H14" t="s">
        <v>92</v>
      </c>
      <c r="I14" t="str">
        <f>VLOOKUP(H14,Table1[#All],8,FALSE)</f>
        <v>Office</v>
      </c>
      <c r="J14" t="str" cm="1">
        <f t="array" ref="J14">_xlfn.XLOOKUP(H14,Table1[[#All],[Order ID]],Table1[[#All],[Brand]],0)</f>
        <v>Nilkamal</v>
      </c>
      <c r="K14" t="str">
        <f>INDEX(Table1[[#All],[Product Name]],MATCH(Sheet2!H14,Table1[[#All],[Order ID]],0))</f>
        <v>Chair</v>
      </c>
      <c r="O14">
        <v>10500</v>
      </c>
    </row>
    <row r="15" spans="1:17" x14ac:dyDescent="0.25">
      <c r="A15" s="6">
        <v>2850</v>
      </c>
      <c r="B15" t="s">
        <v>68</v>
      </c>
      <c r="F15" t="s">
        <v>27</v>
      </c>
      <c r="H15" t="s">
        <v>97</v>
      </c>
      <c r="I15" t="str">
        <f>VLOOKUP(H15,Table1[#All],8,FALSE)</f>
        <v>Accessories</v>
      </c>
      <c r="J15" t="str" cm="1">
        <f t="array" ref="J15">_xlfn.XLOOKUP(H15,Table1[[#All],[Order ID]],Table1[[#All],[Brand]],0)</f>
        <v>HP</v>
      </c>
      <c r="K15" t="str">
        <f>INDEX(Table1[[#All],[Product Name]],MATCH(Sheet2!H15,Table1[[#All],[Order ID]],0))</f>
        <v>Keyboard</v>
      </c>
      <c r="O15">
        <v>165000</v>
      </c>
    </row>
    <row r="16" spans="1:17" x14ac:dyDescent="0.25">
      <c r="A16" s="5">
        <v>5400</v>
      </c>
      <c r="B16" t="s">
        <v>68</v>
      </c>
      <c r="F16" t="s">
        <v>27</v>
      </c>
      <c r="H16" t="s">
        <v>100</v>
      </c>
      <c r="I16" t="str">
        <f>VLOOKUP(H16,Table1[#All],8,FALSE)</f>
        <v>Accessories</v>
      </c>
      <c r="J16" t="str" cm="1">
        <f t="array" ref="J16">_xlfn.XLOOKUP(H16,Table1[[#All],[Order ID]],Table1[[#All],[Brand]],0)</f>
        <v>HP</v>
      </c>
      <c r="K16" t="str">
        <f>INDEX(Table1[[#All],[Product Name]],MATCH(Sheet2!H16,Table1[[#All],[Order ID]],0))</f>
        <v>Keyboard</v>
      </c>
      <c r="O16">
        <v>16200</v>
      </c>
    </row>
    <row r="17" spans="1:15" x14ac:dyDescent="0.25">
      <c r="A17" s="6">
        <v>93500</v>
      </c>
      <c r="B17" t="s">
        <v>53</v>
      </c>
      <c r="F17" t="s">
        <v>27</v>
      </c>
      <c r="H17" t="s">
        <v>103</v>
      </c>
      <c r="I17" t="str">
        <f>VLOOKUP(H17,Table1[#All],8,FALSE)</f>
        <v>Computers</v>
      </c>
      <c r="J17" t="str" cm="1">
        <f t="array" ref="J17">_xlfn.XLOOKUP(H17,Table1[[#All],[Order ID]],Table1[[#All],[Brand]],0)</f>
        <v>Dell</v>
      </c>
      <c r="K17" t="str">
        <f>INDEX(Table1[[#All],[Product Name]],MATCH(Sheet2!H17,Table1[[#All],[Order ID]],0))</f>
        <v>Laptop</v>
      </c>
      <c r="O17">
        <v>15750</v>
      </c>
    </row>
    <row r="18" spans="1:15" x14ac:dyDescent="0.25">
      <c r="A18" s="5">
        <v>14875</v>
      </c>
      <c r="B18" t="s">
        <v>74</v>
      </c>
      <c r="F18" t="s">
        <v>27</v>
      </c>
      <c r="H18" t="s">
        <v>106</v>
      </c>
      <c r="I18" t="str">
        <f>VLOOKUP(H18,Table1[#All],8,FALSE)</f>
        <v>Audio</v>
      </c>
      <c r="J18" t="str" cm="1">
        <f t="array" ref="J18">_xlfn.XLOOKUP(H18,Table1[[#All],[Order ID]],Table1[[#All],[Brand]],0)</f>
        <v>Sony</v>
      </c>
      <c r="K18" t="str">
        <f>INDEX(Table1[[#All],[Product Name]],MATCH(Sheet2!H18,Table1[[#All],[Order ID]],0))</f>
        <v>Headphones</v>
      </c>
      <c r="O18">
        <v>19125</v>
      </c>
    </row>
    <row r="19" spans="1:15" x14ac:dyDescent="0.25">
      <c r="A19" s="6">
        <v>148500</v>
      </c>
      <c r="B19" t="s">
        <v>53</v>
      </c>
      <c r="F19" t="s">
        <v>27</v>
      </c>
      <c r="H19" t="s">
        <v>112</v>
      </c>
      <c r="I19" t="str">
        <f>VLOOKUP(H19,Table1[#All],8,FALSE)</f>
        <v>Computers</v>
      </c>
      <c r="J19" t="str" cm="1">
        <f t="array" ref="J19">_xlfn.XLOOKUP(H19,Table1[[#All],[Order ID]],Table1[[#All],[Brand]],0)</f>
        <v>Dell</v>
      </c>
      <c r="K19" t="str">
        <f>INDEX(Table1[[#All],[Product Name]],MATCH(Sheet2!H19,Table1[[#All],[Order ID]],0))</f>
        <v>Laptop</v>
      </c>
      <c r="O19">
        <v>156750</v>
      </c>
    </row>
    <row r="20" spans="1:15" x14ac:dyDescent="0.25">
      <c r="A20" s="5">
        <v>198000</v>
      </c>
      <c r="B20" t="s">
        <v>53</v>
      </c>
      <c r="F20" t="s">
        <v>27</v>
      </c>
      <c r="H20" t="s">
        <v>115</v>
      </c>
      <c r="I20" t="str">
        <f>VLOOKUP(H20,Table1[#All],8,FALSE)</f>
        <v>Computers</v>
      </c>
      <c r="J20" t="str" cm="1">
        <f t="array" ref="J20">_xlfn.XLOOKUP(H20,Table1[[#All],[Order ID]],Table1[[#All],[Brand]],0)</f>
        <v>Dell</v>
      </c>
      <c r="K20" t="str">
        <f>INDEX(Table1[[#All],[Product Name]],MATCH(Sheet2!H20,Table1[[#All],[Order ID]],0))</f>
        <v>Laptop</v>
      </c>
      <c r="O20">
        <v>11900</v>
      </c>
    </row>
    <row r="21" spans="1:15" x14ac:dyDescent="0.25">
      <c r="A21" s="6">
        <v>52250</v>
      </c>
      <c r="B21" t="s">
        <v>53</v>
      </c>
      <c r="F21" t="s">
        <v>27</v>
      </c>
      <c r="H21" t="s">
        <v>118</v>
      </c>
      <c r="I21" t="str">
        <f>VLOOKUP(H21,Table1[#All],8,FALSE)</f>
        <v>Computers</v>
      </c>
      <c r="J21" t="str" cm="1">
        <f t="array" ref="J21">_xlfn.XLOOKUP(H21,Table1[[#All],[Order ID]],Table1[[#All],[Brand]],0)</f>
        <v>Dell</v>
      </c>
      <c r="K21" t="str">
        <f>INDEX(Table1[[#All],[Product Name]],MATCH(Sheet2!H21,Table1[[#All],[Order ID]],0))</f>
        <v>Laptop</v>
      </c>
      <c r="O21">
        <v>99000</v>
      </c>
    </row>
    <row r="22" spans="1:15" x14ac:dyDescent="0.25">
      <c r="A22" s="5">
        <v>680</v>
      </c>
      <c r="B22" t="s">
        <v>26</v>
      </c>
      <c r="F22" t="s">
        <v>27</v>
      </c>
      <c r="H22" t="s">
        <v>121</v>
      </c>
      <c r="I22" t="str">
        <f>VLOOKUP(H22,Table1[#All],8,FALSE)</f>
        <v>Accessories</v>
      </c>
      <c r="J22" t="str" cm="1">
        <f t="array" ref="J22">_xlfn.XLOOKUP(H22,Table1[[#All],[Order ID]],Table1[[#All],[Brand]],0)</f>
        <v>Logitech</v>
      </c>
      <c r="K22" t="str">
        <f>INDEX(Table1[[#All],[Product Name]],MATCH(Sheet2!H22,Table1[[#All],[Order ID]],0))</f>
        <v>Mouse</v>
      </c>
      <c r="O22">
        <v>12600</v>
      </c>
    </row>
    <row r="23" spans="1:15" x14ac:dyDescent="0.25">
      <c r="A23" s="6">
        <v>12150</v>
      </c>
      <c r="B23" t="s">
        <v>39</v>
      </c>
      <c r="F23" t="s">
        <v>40</v>
      </c>
      <c r="H23" t="s">
        <v>124</v>
      </c>
      <c r="I23" t="str">
        <f>VLOOKUP(H23,Table1[#All],8,FALSE)</f>
        <v>Office</v>
      </c>
      <c r="J23" t="str" cm="1">
        <f t="array" ref="J23">_xlfn.XLOOKUP(H23,Table1[[#All],[Order ID]],Table1[[#All],[Brand]],0)</f>
        <v>Nilkamal</v>
      </c>
      <c r="K23" t="str">
        <f>INDEX(Table1[[#All],[Product Name]],MATCH(Sheet2!H23,Table1[[#All],[Order ID]],0))</f>
        <v>Chair</v>
      </c>
      <c r="O23">
        <v>16625</v>
      </c>
    </row>
    <row r="24" spans="1:15" x14ac:dyDescent="0.25">
      <c r="A24" s="5">
        <v>3825</v>
      </c>
      <c r="B24" t="s">
        <v>39</v>
      </c>
      <c r="F24" t="s">
        <v>40</v>
      </c>
      <c r="H24" t="s">
        <v>127</v>
      </c>
      <c r="I24" t="str">
        <f>VLOOKUP(H24,Table1[#All],8,FALSE)</f>
        <v>Office</v>
      </c>
      <c r="J24" t="str" cm="1">
        <f t="array" ref="J24">_xlfn.XLOOKUP(H24,Table1[[#All],[Order ID]],Table1[[#All],[Brand]],0)</f>
        <v>Nilkamal</v>
      </c>
      <c r="K24" t="str">
        <f>INDEX(Table1[[#All],[Product Name]],MATCH(Sheet2!H24,Table1[[#All],[Order ID]],0))</f>
        <v>Chair</v>
      </c>
      <c r="O24">
        <v>233750</v>
      </c>
    </row>
    <row r="25" spans="1:15" x14ac:dyDescent="0.25">
      <c r="A25" s="6">
        <v>22500</v>
      </c>
      <c r="B25" t="s">
        <v>39</v>
      </c>
      <c r="F25" t="s">
        <v>40</v>
      </c>
      <c r="H25" t="s">
        <v>130</v>
      </c>
      <c r="I25" t="str">
        <f>VLOOKUP(H25,Table1[#All],8,FALSE)</f>
        <v>Office</v>
      </c>
      <c r="J25" t="str" cm="1">
        <f t="array" ref="J25">_xlfn.XLOOKUP(H25,Table1[[#All],[Order ID]],Table1[[#All],[Brand]],0)</f>
        <v>Nilkamal</v>
      </c>
      <c r="K25" t="str">
        <f>INDEX(Table1[[#All],[Product Name]],MATCH(Sheet2!H25,Table1[[#All],[Order ID]],0))</f>
        <v>Chair</v>
      </c>
      <c r="O25">
        <v>55000</v>
      </c>
    </row>
    <row r="26" spans="1:15" x14ac:dyDescent="0.25">
      <c r="A26" s="5">
        <v>22500</v>
      </c>
      <c r="B26" t="s">
        <v>39</v>
      </c>
      <c r="F26" t="s">
        <v>40</v>
      </c>
      <c r="H26" t="s">
        <v>133</v>
      </c>
      <c r="I26" t="str">
        <f>VLOOKUP(H26,Table1[#All],8,FALSE)</f>
        <v>Office</v>
      </c>
      <c r="J26" t="str" cm="1">
        <f t="array" ref="J26">_xlfn.XLOOKUP(H26,Table1[[#All],[Order ID]],Table1[[#All],[Brand]],0)</f>
        <v>Nilkamal</v>
      </c>
      <c r="K26" t="str">
        <f>INDEX(Table1[[#All],[Product Name]],MATCH(Sheet2!H26,Table1[[#All],[Order ID]],0))</f>
        <v>Chair</v>
      </c>
      <c r="O26">
        <v>15300</v>
      </c>
    </row>
    <row r="27" spans="1:15" x14ac:dyDescent="0.25">
      <c r="A27" s="6">
        <v>9450</v>
      </c>
      <c r="B27" t="s">
        <v>74</v>
      </c>
      <c r="F27" t="s">
        <v>27</v>
      </c>
      <c r="H27" t="s">
        <v>136</v>
      </c>
      <c r="I27" t="str">
        <f>VLOOKUP(H27,Table1[#All],8,FALSE)</f>
        <v>Audio</v>
      </c>
      <c r="J27" t="str" cm="1">
        <f t="array" ref="J27">_xlfn.XLOOKUP(H27,Table1[[#All],[Order ID]],Table1[[#All],[Brand]],0)</f>
        <v>Sony</v>
      </c>
      <c r="K27" t="str">
        <f>INDEX(Table1[[#All],[Product Name]],MATCH(Sheet2!H27,Table1[[#All],[Order ID]],0))</f>
        <v>Headphones</v>
      </c>
      <c r="O27">
        <v>104500</v>
      </c>
    </row>
    <row r="28" spans="1:15" x14ac:dyDescent="0.25">
      <c r="A28" s="5">
        <v>5400</v>
      </c>
      <c r="B28" t="s">
        <v>68</v>
      </c>
      <c r="F28" t="s">
        <v>27</v>
      </c>
      <c r="H28" t="s">
        <v>139</v>
      </c>
      <c r="I28" t="str">
        <f>VLOOKUP(H28,Table1[#All],8,FALSE)</f>
        <v>Accessories</v>
      </c>
      <c r="J28" t="str" cm="1">
        <f t="array" ref="J28">_xlfn.XLOOKUP(H28,Table1[[#All],[Order ID]],Table1[[#All],[Brand]],0)</f>
        <v>HP</v>
      </c>
      <c r="K28" t="str">
        <f>INDEX(Table1[[#All],[Product Name]],MATCH(Sheet2!H28,Table1[[#All],[Order ID]],0))</f>
        <v>Keyboard</v>
      </c>
      <c r="O28">
        <v>209000</v>
      </c>
    </row>
    <row r="29" spans="1:15" x14ac:dyDescent="0.25">
      <c r="A29" s="6">
        <v>10500</v>
      </c>
      <c r="B29" t="s">
        <v>74</v>
      </c>
      <c r="F29" t="s">
        <v>27</v>
      </c>
      <c r="H29" t="s">
        <v>142</v>
      </c>
      <c r="I29" t="str">
        <f>VLOOKUP(H29,Table1[#All],8,FALSE)</f>
        <v>Audio</v>
      </c>
      <c r="J29" t="str" cm="1">
        <f t="array" ref="J29">_xlfn.XLOOKUP(H29,Table1[[#All],[Order ID]],Table1[[#All],[Brand]],0)</f>
        <v>Sony</v>
      </c>
      <c r="K29" t="str">
        <f>INDEX(Table1[[#All],[Product Name]],MATCH(Sheet2!H29,Table1[[#All],[Order ID]],0))</f>
        <v>Headphones</v>
      </c>
      <c r="O29">
        <v>220000</v>
      </c>
    </row>
    <row r="30" spans="1:15" x14ac:dyDescent="0.25">
      <c r="A30" s="5">
        <v>3600</v>
      </c>
      <c r="B30" t="s">
        <v>26</v>
      </c>
      <c r="F30" t="s">
        <v>27</v>
      </c>
      <c r="H30" t="s">
        <v>145</v>
      </c>
      <c r="I30" t="str">
        <f>VLOOKUP(H30,Table1[#All],8,FALSE)</f>
        <v>Accessories</v>
      </c>
      <c r="J30" t="str" cm="1">
        <f t="array" ref="J30">_xlfn.XLOOKUP(H30,Table1[[#All],[Order ID]],Table1[[#All],[Brand]],0)</f>
        <v>Logitech</v>
      </c>
      <c r="K30" t="str">
        <f>INDEX(Table1[[#All],[Product Name]],MATCH(Sheet2!H30,Table1[[#All],[Order ID]],0))</f>
        <v>Mouse</v>
      </c>
      <c r="O30">
        <v>11475</v>
      </c>
    </row>
    <row r="31" spans="1:15" x14ac:dyDescent="0.25">
      <c r="A31" s="6">
        <v>4275</v>
      </c>
      <c r="B31" t="s">
        <v>39</v>
      </c>
      <c r="F31" t="s">
        <v>40</v>
      </c>
      <c r="H31" t="s">
        <v>148</v>
      </c>
      <c r="I31" t="str">
        <f>VLOOKUP(H31,Table1[#All],8,FALSE)</f>
        <v>Office</v>
      </c>
      <c r="J31" t="str" cm="1">
        <f t="array" ref="J31">_xlfn.XLOOKUP(H31,Table1[[#All],[Order ID]],Table1[[#All],[Brand]],0)</f>
        <v>Nilkamal</v>
      </c>
      <c r="K31" t="str">
        <f>INDEX(Table1[[#All],[Product Name]],MATCH(Sheet2!H31,Table1[[#All],[Order ID]],0))</f>
        <v>Chair</v>
      </c>
      <c r="O31">
        <v>275000</v>
      </c>
    </row>
    <row r="32" spans="1:15" x14ac:dyDescent="0.25">
      <c r="A32" s="5">
        <v>2720</v>
      </c>
      <c r="B32" t="s">
        <v>26</v>
      </c>
      <c r="F32" t="s">
        <v>27</v>
      </c>
      <c r="H32" t="s">
        <v>151</v>
      </c>
      <c r="I32" t="str">
        <f>VLOOKUP(H32,Table1[#All],8,FALSE)</f>
        <v>Accessories</v>
      </c>
      <c r="J32" t="str" cm="1">
        <f t="array" ref="J32">_xlfn.XLOOKUP(H32,Table1[[#All],[Order ID]],Table1[[#All],[Brand]],0)</f>
        <v>Logitech</v>
      </c>
      <c r="K32" t="str">
        <f>INDEX(Table1[[#All],[Product Name]],MATCH(Sheet2!H32,Table1[[#All],[Order ID]],0))</f>
        <v>Mouse</v>
      </c>
      <c r="O32">
        <v>21375</v>
      </c>
    </row>
    <row r="33" spans="1:15" x14ac:dyDescent="0.25">
      <c r="A33" s="6">
        <v>2720</v>
      </c>
      <c r="B33" t="s">
        <v>26</v>
      </c>
      <c r="F33" t="s">
        <v>27</v>
      </c>
      <c r="H33" t="s">
        <v>154</v>
      </c>
      <c r="I33" t="str">
        <f>VLOOKUP(H33,Table1[#All],8,FALSE)</f>
        <v>Accessories</v>
      </c>
      <c r="J33" t="str" cm="1">
        <f t="array" ref="J33">_xlfn.XLOOKUP(H33,Table1[[#All],[Order ID]],Table1[[#All],[Brand]],0)</f>
        <v>Logitech</v>
      </c>
      <c r="K33" t="str">
        <f>INDEX(Table1[[#All],[Product Name]],MATCH(Sheet2!H33,Table1[[#All],[Order ID]],0))</f>
        <v>Mouse</v>
      </c>
      <c r="O33">
        <v>13300</v>
      </c>
    </row>
    <row r="34" spans="1:15" x14ac:dyDescent="0.25">
      <c r="A34" s="5">
        <v>3825</v>
      </c>
      <c r="B34" t="s">
        <v>68</v>
      </c>
      <c r="F34" t="s">
        <v>27</v>
      </c>
      <c r="H34" t="s">
        <v>157</v>
      </c>
      <c r="I34" t="str">
        <f>VLOOKUP(H34,Table1[#All],8,FALSE)</f>
        <v>Accessories</v>
      </c>
      <c r="J34" t="str" cm="1">
        <f t="array" ref="J34">_xlfn.XLOOKUP(H34,Table1[[#All],[Order ID]],Table1[[#All],[Brand]],0)</f>
        <v>HP</v>
      </c>
      <c r="K34" t="str">
        <f>INDEX(Table1[[#All],[Product Name]],MATCH(Sheet2!H34,Table1[[#All],[Order ID]],0))</f>
        <v>Keyboard</v>
      </c>
      <c r="O34">
        <v>18000</v>
      </c>
    </row>
    <row r="35" spans="1:15" x14ac:dyDescent="0.25">
      <c r="A35" s="6">
        <v>2975</v>
      </c>
      <c r="B35" t="s">
        <v>74</v>
      </c>
      <c r="F35" t="s">
        <v>27</v>
      </c>
      <c r="H35" t="s">
        <v>160</v>
      </c>
      <c r="I35" t="str">
        <f>VLOOKUP(H35,Table1[#All],8,FALSE)</f>
        <v>Audio</v>
      </c>
      <c r="J35" t="str" cm="1">
        <f t="array" ref="J35">_xlfn.XLOOKUP(H35,Table1[[#All],[Order ID]],Table1[[#All],[Brand]],0)</f>
        <v>Sony</v>
      </c>
      <c r="K35" t="str">
        <f>INDEX(Table1[[#All],[Product Name]],MATCH(Sheet2!H35,Table1[[#All],[Order ID]],0))</f>
        <v>Headphones</v>
      </c>
      <c r="O35">
        <v>49500</v>
      </c>
    </row>
    <row r="36" spans="1:15" x14ac:dyDescent="0.25">
      <c r="A36" s="5">
        <v>4275</v>
      </c>
      <c r="B36" t="s">
        <v>39</v>
      </c>
      <c r="F36" t="s">
        <v>40</v>
      </c>
      <c r="H36" t="s">
        <v>163</v>
      </c>
      <c r="I36" t="str">
        <f>VLOOKUP(H36,Table1[#All],8,FALSE)</f>
        <v>Office</v>
      </c>
      <c r="J36" t="str" cm="1">
        <f t="array" ref="J36">_xlfn.XLOOKUP(H36,Table1[[#All],[Order ID]],Table1[[#All],[Brand]],0)</f>
        <v>Nilkamal</v>
      </c>
      <c r="K36" t="str">
        <f>INDEX(Table1[[#All],[Product Name]],MATCH(Sheet2!H36,Table1[[#All],[Order ID]],0))</f>
        <v>Chair</v>
      </c>
      <c r="O36">
        <v>46750</v>
      </c>
    </row>
    <row r="37" spans="1:15" x14ac:dyDescent="0.25">
      <c r="A37" s="6">
        <v>165000</v>
      </c>
      <c r="B37" t="s">
        <v>53</v>
      </c>
      <c r="F37" t="s">
        <v>27</v>
      </c>
      <c r="H37" t="s">
        <v>166</v>
      </c>
      <c r="I37" t="str">
        <f>VLOOKUP(H37,Table1[#All],8,FALSE)</f>
        <v>Computers</v>
      </c>
      <c r="J37" t="str" cm="1">
        <f t="array" ref="J37">_xlfn.XLOOKUP(H37,Table1[[#All],[Order ID]],Table1[[#All],[Brand]],0)</f>
        <v>Dell</v>
      </c>
      <c r="K37" t="str">
        <f>INDEX(Table1[[#All],[Product Name]],MATCH(Sheet2!H37,Table1[[#All],[Order ID]],0))</f>
        <v>Laptop</v>
      </c>
      <c r="O37">
        <v>110000</v>
      </c>
    </row>
    <row r="38" spans="1:15" x14ac:dyDescent="0.25">
      <c r="A38" s="5">
        <v>2850</v>
      </c>
      <c r="B38" t="s">
        <v>68</v>
      </c>
      <c r="F38" t="s">
        <v>27</v>
      </c>
      <c r="H38" t="s">
        <v>169</v>
      </c>
      <c r="I38" t="str">
        <f>VLOOKUP(H38,Table1[#All],8,FALSE)</f>
        <v>Accessories</v>
      </c>
      <c r="J38" t="str" cm="1">
        <f t="array" ref="J38">_xlfn.XLOOKUP(H38,Table1[[#All],[Order ID]],Table1[[#All],[Brand]],0)</f>
        <v>HP</v>
      </c>
      <c r="K38" t="str">
        <f>INDEX(Table1[[#All],[Product Name]],MATCH(Sheet2!H38,Table1[[#All],[Order ID]],0))</f>
        <v>Keyboard</v>
      </c>
      <c r="O38">
        <v>261250</v>
      </c>
    </row>
    <row r="39" spans="1:15" x14ac:dyDescent="0.25">
      <c r="A39" s="6">
        <v>1275</v>
      </c>
      <c r="B39" t="s">
        <v>68</v>
      </c>
      <c r="F39" t="s">
        <v>27</v>
      </c>
      <c r="H39" t="s">
        <v>172</v>
      </c>
      <c r="I39" t="str">
        <f>VLOOKUP(H39,Table1[#All],8,FALSE)</f>
        <v>Accessories</v>
      </c>
      <c r="J39" t="str" cm="1">
        <f t="array" ref="J39">_xlfn.XLOOKUP(H39,Table1[[#All],[Order ID]],Table1[[#All],[Brand]],0)</f>
        <v>HP</v>
      </c>
      <c r="K39" t="str">
        <f>INDEX(Table1[[#All],[Product Name]],MATCH(Sheet2!H39,Table1[[#All],[Order ID]],0))</f>
        <v>Keyboard</v>
      </c>
      <c r="O39">
        <v>187000</v>
      </c>
    </row>
    <row r="40" spans="1:15" x14ac:dyDescent="0.25">
      <c r="A40" s="5">
        <v>16200</v>
      </c>
      <c r="B40" t="s">
        <v>39</v>
      </c>
      <c r="F40" t="s">
        <v>40</v>
      </c>
      <c r="H40" t="s">
        <v>175</v>
      </c>
      <c r="I40" t="str">
        <f>VLOOKUP(H40,Table1[#All],8,FALSE)</f>
        <v>Office</v>
      </c>
      <c r="J40" t="str" cm="1">
        <f t="array" ref="J40">_xlfn.XLOOKUP(H40,Table1[[#All],[Order ID]],Table1[[#All],[Brand]],0)</f>
        <v>Nilkamal</v>
      </c>
      <c r="K40" t="str">
        <f>INDEX(Table1[[#All],[Product Name]],MATCH(Sheet2!H40,Table1[[#All],[Order ID]],0))</f>
        <v>Chair</v>
      </c>
      <c r="O40">
        <v>20250</v>
      </c>
    </row>
    <row r="41" spans="1:15" x14ac:dyDescent="0.25">
      <c r="A41" s="6">
        <v>247500</v>
      </c>
      <c r="B41" t="s">
        <v>53</v>
      </c>
      <c r="F41" t="s">
        <v>27</v>
      </c>
      <c r="H41" t="s">
        <v>177</v>
      </c>
      <c r="I41" t="str">
        <f>VLOOKUP(H41,Table1[#All],8,FALSE)</f>
        <v>Computers</v>
      </c>
      <c r="J41" t="str" cm="1">
        <f t="array" ref="J41">_xlfn.XLOOKUP(H41,Table1[[#All],[Order ID]],Table1[[#All],[Brand]],0)</f>
        <v>Dell</v>
      </c>
      <c r="K41" t="str">
        <f>INDEX(Table1[[#All],[Product Name]],MATCH(Sheet2!H41,Table1[[#All],[Order ID]],0))</f>
        <v>Laptop</v>
      </c>
      <c r="O41">
        <v>17100</v>
      </c>
    </row>
    <row r="42" spans="1:15" x14ac:dyDescent="0.25">
      <c r="A42" s="5">
        <v>3200</v>
      </c>
      <c r="B42" t="s">
        <v>26</v>
      </c>
      <c r="F42" t="s">
        <v>27</v>
      </c>
      <c r="H42" t="s">
        <v>180</v>
      </c>
      <c r="I42" t="str">
        <f>VLOOKUP(H42,Table1[#All],8,FALSE)</f>
        <v>Accessories</v>
      </c>
      <c r="J42" t="str" cm="1">
        <f t="array" ref="J42">_xlfn.XLOOKUP(H42,Table1[[#All],[Order ID]],Table1[[#All],[Brand]],0)</f>
        <v>Logitech</v>
      </c>
      <c r="K42" t="str">
        <f>INDEX(Table1[[#All],[Product Name]],MATCH(Sheet2!H42,Table1[[#All],[Order ID]],0))</f>
        <v>Mouse</v>
      </c>
      <c r="O42">
        <v>12825</v>
      </c>
    </row>
    <row r="43" spans="1:15" x14ac:dyDescent="0.25">
      <c r="A43" s="6">
        <v>15750</v>
      </c>
      <c r="B43" t="s">
        <v>74</v>
      </c>
      <c r="F43" t="s">
        <v>27</v>
      </c>
      <c r="H43" t="s">
        <v>183</v>
      </c>
      <c r="I43" t="str">
        <f>VLOOKUP(H43,Table1[#All],8,FALSE)</f>
        <v>Audio</v>
      </c>
      <c r="J43" t="str" cm="1">
        <f t="array" ref="J43">_xlfn.XLOOKUP(H43,Table1[[#All],[Order ID]],Table1[[#All],[Brand]],0)</f>
        <v>Sony</v>
      </c>
      <c r="K43" t="str">
        <f>INDEX(Table1[[#All],[Product Name]],MATCH(Sheet2!H43,Table1[[#All],[Order ID]],0))</f>
        <v>Headphones</v>
      </c>
      <c r="O43">
        <v>13500</v>
      </c>
    </row>
    <row r="44" spans="1:15" x14ac:dyDescent="0.25">
      <c r="A44" s="5">
        <v>4275</v>
      </c>
      <c r="B44" t="s">
        <v>68</v>
      </c>
      <c r="F44" t="s">
        <v>27</v>
      </c>
      <c r="H44" t="s">
        <v>186</v>
      </c>
      <c r="I44" t="str">
        <f>VLOOKUP(H44,Table1[#All],8,FALSE)</f>
        <v>Accessories</v>
      </c>
      <c r="J44" t="str" cm="1">
        <f t="array" ref="J44">_xlfn.XLOOKUP(H44,Table1[[#All],[Order ID]],Table1[[#All],[Brand]],0)</f>
        <v>HP</v>
      </c>
      <c r="K44" t="str">
        <f>INDEX(Table1[[#All],[Product Name]],MATCH(Sheet2!H44,Table1[[#All],[Order ID]],0))</f>
        <v>Keyboard</v>
      </c>
    </row>
    <row r="45" spans="1:15" x14ac:dyDescent="0.25">
      <c r="A45" s="6">
        <v>10500</v>
      </c>
      <c r="B45" t="s">
        <v>74</v>
      </c>
      <c r="F45" t="s">
        <v>27</v>
      </c>
      <c r="H45" t="s">
        <v>189</v>
      </c>
      <c r="I45" t="str">
        <f>VLOOKUP(H45,Table1[#All],8,FALSE)</f>
        <v>Audio</v>
      </c>
      <c r="J45" t="str" cm="1">
        <f t="array" ref="J45">_xlfn.XLOOKUP(H45,Table1[[#All],[Order ID]],Table1[[#All],[Brand]],0)</f>
        <v>Sony</v>
      </c>
      <c r="K45" t="str">
        <f>INDEX(Table1[[#All],[Product Name]],MATCH(Sheet2!H45,Table1[[#All],[Order ID]],0))</f>
        <v>Headphones</v>
      </c>
    </row>
    <row r="46" spans="1:15" x14ac:dyDescent="0.25">
      <c r="A46" s="5">
        <v>2880</v>
      </c>
      <c r="B46" t="s">
        <v>26</v>
      </c>
      <c r="F46" t="s">
        <v>27</v>
      </c>
      <c r="H46" t="s">
        <v>192</v>
      </c>
      <c r="I46" t="str">
        <f>VLOOKUP(H46,Table1[#All],8,FALSE)</f>
        <v>Accessories</v>
      </c>
      <c r="J46" t="str" cm="1">
        <f t="array" ref="J46">_xlfn.XLOOKUP(H46,Table1[[#All],[Order ID]],Table1[[#All],[Brand]],0)</f>
        <v>Logitech</v>
      </c>
      <c r="K46" t="str">
        <f>INDEX(Table1[[#All],[Product Name]],MATCH(Sheet2!H46,Table1[[#All],[Order ID]],0))</f>
        <v>Mouse</v>
      </c>
    </row>
    <row r="47" spans="1:15" x14ac:dyDescent="0.25">
      <c r="A47" s="6">
        <v>1440</v>
      </c>
      <c r="B47" t="s">
        <v>26</v>
      </c>
      <c r="F47" t="s">
        <v>27</v>
      </c>
      <c r="H47" t="s">
        <v>195</v>
      </c>
      <c r="I47" t="str">
        <f>VLOOKUP(H47,Table1[#All],8,FALSE)</f>
        <v>Accessories</v>
      </c>
      <c r="J47" t="str" cm="1">
        <f t="array" ref="J47">_xlfn.XLOOKUP(H47,Table1[[#All],[Order ID]],Table1[[#All],[Brand]],0)</f>
        <v>Logitech</v>
      </c>
      <c r="K47" t="str">
        <f>INDEX(Table1[[#All],[Product Name]],MATCH(Sheet2!H47,Table1[[#All],[Order ID]],0))</f>
        <v>Mouse</v>
      </c>
    </row>
    <row r="48" spans="1:15" x14ac:dyDescent="0.25">
      <c r="A48" s="5">
        <v>19125</v>
      </c>
      <c r="B48" t="s">
        <v>39</v>
      </c>
      <c r="F48" t="s">
        <v>40</v>
      </c>
      <c r="H48" t="s">
        <v>198</v>
      </c>
      <c r="I48" t="str">
        <f>VLOOKUP(H48,Table1[#All],8,FALSE)</f>
        <v>Office</v>
      </c>
      <c r="J48" t="str" cm="1">
        <f t="array" ref="J48">_xlfn.XLOOKUP(H48,Table1[[#All],[Order ID]],Table1[[#All],[Brand]],0)</f>
        <v>Nilkamal</v>
      </c>
      <c r="K48" t="str">
        <f>INDEX(Table1[[#All],[Product Name]],MATCH(Sheet2!H48,Table1[[#All],[Order ID]],0))</f>
        <v>Chair</v>
      </c>
    </row>
    <row r="49" spans="1:11" x14ac:dyDescent="0.25">
      <c r="A49" s="6">
        <v>3000</v>
      </c>
      <c r="B49" t="s">
        <v>68</v>
      </c>
      <c r="F49" t="s">
        <v>27</v>
      </c>
      <c r="H49" t="s">
        <v>201</v>
      </c>
      <c r="I49" t="str">
        <f>VLOOKUP(H49,Table1[#All],8,FALSE)</f>
        <v>Accessories</v>
      </c>
      <c r="J49" t="str" cm="1">
        <f t="array" ref="J49">_xlfn.XLOOKUP(H49,Table1[[#All],[Order ID]],Table1[[#All],[Brand]],0)</f>
        <v>HP</v>
      </c>
      <c r="K49" t="str">
        <f>INDEX(Table1[[#All],[Product Name]],MATCH(Sheet2!H49,Table1[[#All],[Order ID]],0))</f>
        <v>Keyboard</v>
      </c>
    </row>
    <row r="50" spans="1:11" x14ac:dyDescent="0.25">
      <c r="A50" s="5">
        <v>156750</v>
      </c>
      <c r="B50" t="s">
        <v>53</v>
      </c>
      <c r="F50" t="s">
        <v>27</v>
      </c>
      <c r="H50" t="s">
        <v>204</v>
      </c>
      <c r="I50" t="str">
        <f>VLOOKUP(H50,Table1[#All],8,FALSE)</f>
        <v>Computers</v>
      </c>
      <c r="J50" t="str" cm="1">
        <f t="array" ref="J50">_xlfn.XLOOKUP(H50,Table1[[#All],[Order ID]],Table1[[#All],[Brand]],0)</f>
        <v>Dell</v>
      </c>
      <c r="K50" t="str">
        <f>INDEX(Table1[[#All],[Product Name]],MATCH(Sheet2!H50,Table1[[#All],[Order ID]],0))</f>
        <v>Laptop</v>
      </c>
    </row>
    <row r="51" spans="1:11" x14ac:dyDescent="0.25">
      <c r="A51" s="6">
        <v>165000</v>
      </c>
      <c r="B51" t="s">
        <v>53</v>
      </c>
      <c r="F51" t="s">
        <v>27</v>
      </c>
      <c r="H51" t="s">
        <v>207</v>
      </c>
      <c r="I51" t="str">
        <f>VLOOKUP(H51,Table1[#All],8,FALSE)</f>
        <v>Computers</v>
      </c>
      <c r="J51" t="str" cm="1">
        <f t="array" ref="J51">_xlfn.XLOOKUP(H51,Table1[[#All],[Order ID]],Table1[[#All],[Brand]],0)</f>
        <v>Dell</v>
      </c>
      <c r="K51" t="str">
        <f>INDEX(Table1[[#All],[Product Name]],MATCH(Sheet2!H51,Table1[[#All],[Order ID]],0))</f>
        <v>Laptop</v>
      </c>
    </row>
    <row r="52" spans="1:11" x14ac:dyDescent="0.25">
      <c r="A52" s="5">
        <v>3825</v>
      </c>
      <c r="B52" t="s">
        <v>68</v>
      </c>
      <c r="F52" t="s">
        <v>27</v>
      </c>
      <c r="H52" t="s">
        <v>210</v>
      </c>
      <c r="I52" t="str">
        <f>VLOOKUP(H52,Table1[#All],8,FALSE)</f>
        <v>Accessories</v>
      </c>
      <c r="J52" t="str" cm="1">
        <f t="array" ref="J52">_xlfn.XLOOKUP(H52,Table1[[#All],[Order ID]],Table1[[#All],[Brand]],0)</f>
        <v>HP</v>
      </c>
      <c r="K52" t="str">
        <f>INDEX(Table1[[#All],[Product Name]],MATCH(Sheet2!H52,Table1[[#All],[Order ID]],0))</f>
        <v>Keyboard</v>
      </c>
    </row>
    <row r="53" spans="1:11" x14ac:dyDescent="0.25">
      <c r="A53" s="6">
        <v>11900</v>
      </c>
      <c r="B53" t="s">
        <v>74</v>
      </c>
      <c r="F53" t="s">
        <v>27</v>
      </c>
      <c r="H53" t="s">
        <v>213</v>
      </c>
      <c r="I53" t="str">
        <f>VLOOKUP(H53,Table1[#All],8,FALSE)</f>
        <v>Audio</v>
      </c>
      <c r="J53" t="str" cm="1">
        <f t="array" ref="J53">_xlfn.XLOOKUP(H53,Table1[[#All],[Order ID]],Table1[[#All],[Brand]],0)</f>
        <v>Sony</v>
      </c>
      <c r="K53" t="str">
        <f>INDEX(Table1[[#All],[Product Name]],MATCH(Sheet2!H53,Table1[[#All],[Order ID]],0))</f>
        <v>Headphones</v>
      </c>
    </row>
    <row r="54" spans="1:11" x14ac:dyDescent="0.25">
      <c r="A54" s="5">
        <v>99000</v>
      </c>
      <c r="B54" t="s">
        <v>53</v>
      </c>
      <c r="F54" t="s">
        <v>27</v>
      </c>
      <c r="H54" t="s">
        <v>216</v>
      </c>
      <c r="I54" t="str">
        <f>VLOOKUP(H54,Table1[#All],8,FALSE)</f>
        <v>Computers</v>
      </c>
      <c r="J54" t="str" cm="1">
        <f t="array" ref="J54">_xlfn.XLOOKUP(H54,Table1[[#All],[Order ID]],Table1[[#All],[Brand]],0)</f>
        <v>Dell</v>
      </c>
      <c r="K54" t="str">
        <f>INDEX(Table1[[#All],[Product Name]],MATCH(Sheet2!H54,Table1[[#All],[Order ID]],0))</f>
        <v>Laptop</v>
      </c>
    </row>
    <row r="55" spans="1:11" x14ac:dyDescent="0.25">
      <c r="A55" s="6">
        <v>198000</v>
      </c>
      <c r="B55" t="s">
        <v>53</v>
      </c>
      <c r="F55" t="s">
        <v>27</v>
      </c>
      <c r="H55" t="s">
        <v>219</v>
      </c>
      <c r="I55" t="str">
        <f>VLOOKUP(H55,Table1[#All],8,FALSE)</f>
        <v>Computers</v>
      </c>
      <c r="J55" t="str" cm="1">
        <f t="array" ref="J55">_xlfn.XLOOKUP(H55,Table1[[#All],[Order ID]],Table1[[#All],[Brand]],0)</f>
        <v>Dell</v>
      </c>
      <c r="K55" t="str">
        <f>INDEX(Table1[[#All],[Product Name]],MATCH(Sheet2!H55,Table1[[#All],[Order ID]],0))</f>
        <v>Laptop</v>
      </c>
    </row>
    <row r="56" spans="1:11" x14ac:dyDescent="0.25">
      <c r="A56" s="5">
        <v>3600</v>
      </c>
      <c r="B56" t="s">
        <v>26</v>
      </c>
      <c r="F56" t="s">
        <v>27</v>
      </c>
      <c r="H56" t="s">
        <v>221</v>
      </c>
      <c r="I56" t="str">
        <f>VLOOKUP(H56,Table1[#All],8,FALSE)</f>
        <v>Accessories</v>
      </c>
      <c r="J56" t="str" cm="1">
        <f t="array" ref="J56">_xlfn.XLOOKUP(H56,Table1[[#All],[Order ID]],Table1[[#All],[Brand]],0)</f>
        <v>Logitech</v>
      </c>
      <c r="K56" t="str">
        <f>INDEX(Table1[[#All],[Product Name]],MATCH(Sheet2!H56,Table1[[#All],[Order ID]],0))</f>
        <v>Mouse</v>
      </c>
    </row>
    <row r="57" spans="1:11" x14ac:dyDescent="0.25">
      <c r="A57" s="6">
        <v>12600</v>
      </c>
      <c r="B57" t="s">
        <v>74</v>
      </c>
      <c r="F57" t="s">
        <v>27</v>
      </c>
      <c r="H57" t="s">
        <v>224</v>
      </c>
      <c r="I57" t="str">
        <f>VLOOKUP(H57,Table1[#All],8,FALSE)</f>
        <v>Audio</v>
      </c>
      <c r="J57" t="str" cm="1">
        <f t="array" ref="J57">_xlfn.XLOOKUP(H57,Table1[[#All],[Order ID]],Table1[[#All],[Brand]],0)</f>
        <v>Sony</v>
      </c>
      <c r="K57" t="str">
        <f>INDEX(Table1[[#All],[Product Name]],MATCH(Sheet2!H57,Table1[[#All],[Order ID]],0))</f>
        <v>Headphones</v>
      </c>
    </row>
    <row r="58" spans="1:11" x14ac:dyDescent="0.25">
      <c r="A58" s="5">
        <v>8925</v>
      </c>
      <c r="B58" t="s">
        <v>74</v>
      </c>
      <c r="F58" t="s">
        <v>27</v>
      </c>
      <c r="H58" t="s">
        <v>227</v>
      </c>
      <c r="I58" t="str">
        <f>VLOOKUP(H58,Table1[#All],8,FALSE)</f>
        <v>Audio</v>
      </c>
      <c r="J58" t="str" cm="1">
        <f t="array" ref="J58">_xlfn.XLOOKUP(H58,Table1[[#All],[Order ID]],Table1[[#All],[Brand]],0)</f>
        <v>Sony</v>
      </c>
      <c r="K58" t="str">
        <f>INDEX(Table1[[#All],[Product Name]],MATCH(Sheet2!H58,Table1[[#All],[Order ID]],0))</f>
        <v>Headphones</v>
      </c>
    </row>
    <row r="59" spans="1:11" x14ac:dyDescent="0.25">
      <c r="A59" s="6">
        <v>7125</v>
      </c>
      <c r="B59" t="s">
        <v>68</v>
      </c>
      <c r="F59" t="s">
        <v>27</v>
      </c>
      <c r="H59" t="s">
        <v>229</v>
      </c>
      <c r="I59" t="str">
        <f>VLOOKUP(H59,Table1[#All],8,FALSE)</f>
        <v>Accessories</v>
      </c>
      <c r="J59" t="str" cm="1">
        <f t="array" ref="J59">_xlfn.XLOOKUP(H59,Table1[[#All],[Order ID]],Table1[[#All],[Brand]],0)</f>
        <v>HP</v>
      </c>
      <c r="K59" t="str">
        <f>INDEX(Table1[[#All],[Product Name]],MATCH(Sheet2!H59,Table1[[#All],[Order ID]],0))</f>
        <v>Keyboard</v>
      </c>
    </row>
    <row r="60" spans="1:11" x14ac:dyDescent="0.25">
      <c r="A60" s="5">
        <v>16625</v>
      </c>
      <c r="B60" t="s">
        <v>74</v>
      </c>
      <c r="F60" t="s">
        <v>27</v>
      </c>
      <c r="H60" t="s">
        <v>232</v>
      </c>
      <c r="I60" t="str">
        <f>VLOOKUP(H60,Table1[#All],8,FALSE)</f>
        <v>Audio</v>
      </c>
      <c r="J60" t="str" cm="1">
        <f t="array" ref="J60">_xlfn.XLOOKUP(H60,Table1[[#All],[Order ID]],Table1[[#All],[Brand]],0)</f>
        <v>Sony</v>
      </c>
      <c r="K60" t="str">
        <f>INDEX(Table1[[#All],[Product Name]],MATCH(Sheet2!H60,Table1[[#All],[Order ID]],0))</f>
        <v>Headphones</v>
      </c>
    </row>
    <row r="61" spans="1:11" x14ac:dyDescent="0.25">
      <c r="A61" s="6">
        <v>2550</v>
      </c>
      <c r="B61" t="s">
        <v>68</v>
      </c>
      <c r="F61" t="s">
        <v>27</v>
      </c>
      <c r="H61" t="s">
        <v>235</v>
      </c>
      <c r="I61" t="str">
        <f>VLOOKUP(H61,Table1[#All],8,FALSE)</f>
        <v>Accessories</v>
      </c>
      <c r="J61" t="str" cm="1">
        <f t="array" ref="J61">_xlfn.XLOOKUP(H61,Table1[[#All],[Order ID]],Table1[[#All],[Brand]],0)</f>
        <v>HP</v>
      </c>
      <c r="K61" t="str">
        <f>INDEX(Table1[[#All],[Product Name]],MATCH(Sheet2!H61,Table1[[#All],[Order ID]],0))</f>
        <v>Keyboard</v>
      </c>
    </row>
    <row r="62" spans="1:11" x14ac:dyDescent="0.25">
      <c r="A62" s="5">
        <v>4500</v>
      </c>
      <c r="B62" t="s">
        <v>68</v>
      </c>
      <c r="F62" t="s">
        <v>27</v>
      </c>
      <c r="H62" t="s">
        <v>238</v>
      </c>
      <c r="I62" t="str">
        <f>VLOOKUP(H62,Table1[#All],8,FALSE)</f>
        <v>Accessories</v>
      </c>
      <c r="J62" t="str" cm="1">
        <f t="array" ref="J62">_xlfn.XLOOKUP(H62,Table1[[#All],[Order ID]],Table1[[#All],[Brand]],0)</f>
        <v>HP</v>
      </c>
      <c r="K62" t="str">
        <f>INDEX(Table1[[#All],[Product Name]],MATCH(Sheet2!H62,Table1[[#All],[Order ID]],0))</f>
        <v>Keyboard</v>
      </c>
    </row>
    <row r="63" spans="1:11" x14ac:dyDescent="0.25">
      <c r="A63" s="6">
        <v>3200</v>
      </c>
      <c r="B63" t="s">
        <v>26</v>
      </c>
      <c r="F63" t="s">
        <v>27</v>
      </c>
      <c r="H63" t="s">
        <v>241</v>
      </c>
      <c r="I63" t="str">
        <f>VLOOKUP(H63,Table1[#All],8,FALSE)</f>
        <v>Accessories</v>
      </c>
      <c r="J63" t="str" cm="1">
        <f t="array" ref="J63">_xlfn.XLOOKUP(H63,Table1[[#All],[Order ID]],Table1[[#All],[Brand]],0)</f>
        <v>Logitech</v>
      </c>
      <c r="K63" t="str">
        <f>INDEX(Table1[[#All],[Product Name]],MATCH(Sheet2!H63,Table1[[#All],[Order ID]],0))</f>
        <v>Mouse</v>
      </c>
    </row>
    <row r="64" spans="1:11" x14ac:dyDescent="0.25">
      <c r="A64" s="5">
        <v>680</v>
      </c>
      <c r="B64" t="s">
        <v>26</v>
      </c>
      <c r="F64" t="s">
        <v>27</v>
      </c>
      <c r="H64" t="s">
        <v>244</v>
      </c>
      <c r="I64" t="str">
        <f>VLOOKUP(H64,Table1[#All],8,FALSE)</f>
        <v>Accessories</v>
      </c>
      <c r="J64" t="str" cm="1">
        <f t="array" ref="J64">_xlfn.XLOOKUP(H64,Table1[[#All],[Order ID]],Table1[[#All],[Brand]],0)</f>
        <v>Logitech</v>
      </c>
      <c r="K64" t="str">
        <f>INDEX(Table1[[#All],[Product Name]],MATCH(Sheet2!H64,Table1[[#All],[Order ID]],0))</f>
        <v>Mouse</v>
      </c>
    </row>
    <row r="65" spans="1:11" x14ac:dyDescent="0.25">
      <c r="A65" s="6">
        <v>6650</v>
      </c>
      <c r="B65" t="s">
        <v>74</v>
      </c>
      <c r="F65" t="s">
        <v>27</v>
      </c>
      <c r="H65" t="s">
        <v>247</v>
      </c>
      <c r="I65" t="str">
        <f>VLOOKUP(H65,Table1[#All],8,FALSE)</f>
        <v>Audio</v>
      </c>
      <c r="J65" t="str" cm="1">
        <f t="array" ref="J65">_xlfn.XLOOKUP(H65,Table1[[#All],[Order ID]],Table1[[#All],[Brand]],0)</f>
        <v>Sony</v>
      </c>
      <c r="K65" t="str">
        <f>INDEX(Table1[[#All],[Product Name]],MATCH(Sheet2!H65,Table1[[#All],[Order ID]],0))</f>
        <v>Headphones</v>
      </c>
    </row>
    <row r="66" spans="1:11" x14ac:dyDescent="0.25">
      <c r="A66" s="5">
        <v>14000</v>
      </c>
      <c r="B66" t="s">
        <v>74</v>
      </c>
      <c r="F66" t="s">
        <v>27</v>
      </c>
      <c r="H66" t="s">
        <v>250</v>
      </c>
      <c r="I66" t="str">
        <f>VLOOKUP(H66,Table1[#All],8,FALSE)</f>
        <v>Audio</v>
      </c>
      <c r="J66" t="str" cm="1">
        <f t="array" ref="J66">_xlfn.XLOOKUP(H66,Table1[[#All],[Order ID]],Table1[[#All],[Brand]],0)</f>
        <v>Sony</v>
      </c>
      <c r="K66" t="str">
        <f>INDEX(Table1[[#All],[Product Name]],MATCH(Sheet2!H66,Table1[[#All],[Order ID]],0))</f>
        <v>Headphones</v>
      </c>
    </row>
    <row r="67" spans="1:11" x14ac:dyDescent="0.25">
      <c r="A67" s="6">
        <v>19125</v>
      </c>
      <c r="B67" t="s">
        <v>39</v>
      </c>
      <c r="F67" t="s">
        <v>40</v>
      </c>
      <c r="H67" t="s">
        <v>253</v>
      </c>
      <c r="I67" t="str">
        <f>VLOOKUP(H67,Table1[#All],8,FALSE)</f>
        <v>Office</v>
      </c>
      <c r="J67" t="str" cm="1">
        <f t="array" ref="J67">_xlfn.XLOOKUP(H67,Table1[[#All],[Order ID]],Table1[[#All],[Brand]],0)</f>
        <v>Nilkamal</v>
      </c>
      <c r="K67" t="str">
        <f>INDEX(Table1[[#All],[Product Name]],MATCH(Sheet2!H67,Table1[[#All],[Order ID]],0))</f>
        <v>Chair</v>
      </c>
    </row>
    <row r="68" spans="1:11" x14ac:dyDescent="0.25">
      <c r="A68" s="5">
        <v>233750</v>
      </c>
      <c r="B68" t="s">
        <v>53</v>
      </c>
      <c r="F68" t="s">
        <v>27</v>
      </c>
      <c r="H68" t="s">
        <v>255</v>
      </c>
      <c r="I68" t="str">
        <f>VLOOKUP(H68,Table1[#All],8,FALSE)</f>
        <v>Computers</v>
      </c>
      <c r="J68" t="str" cm="1">
        <f t="array" ref="J68">_xlfn.XLOOKUP(H68,Table1[[#All],[Order ID]],Table1[[#All],[Brand]],0)</f>
        <v>Dell</v>
      </c>
      <c r="K68" t="str">
        <f>INDEX(Table1[[#All],[Product Name]],MATCH(Sheet2!H68,Table1[[#All],[Order ID]],0))</f>
        <v>Laptop</v>
      </c>
    </row>
    <row r="69" spans="1:11" x14ac:dyDescent="0.25">
      <c r="A69" s="6">
        <v>3400</v>
      </c>
      <c r="B69" t="s">
        <v>26</v>
      </c>
      <c r="F69" t="s">
        <v>27</v>
      </c>
      <c r="H69" t="s">
        <v>258</v>
      </c>
      <c r="I69" t="str">
        <f>VLOOKUP(H69,Table1[#All],8,FALSE)</f>
        <v>Accessories</v>
      </c>
      <c r="J69" t="str" cm="1">
        <f t="array" ref="J69">_xlfn.XLOOKUP(H69,Table1[[#All],[Order ID]],Table1[[#All],[Brand]],0)</f>
        <v>Logitech</v>
      </c>
      <c r="K69" t="str">
        <f>INDEX(Table1[[#All],[Product Name]],MATCH(Sheet2!H69,Table1[[#All],[Order ID]],0))</f>
        <v>Mouse</v>
      </c>
    </row>
    <row r="70" spans="1:11" x14ac:dyDescent="0.25">
      <c r="A70" s="5">
        <v>3040</v>
      </c>
      <c r="B70" t="s">
        <v>26</v>
      </c>
      <c r="F70" t="s">
        <v>27</v>
      </c>
      <c r="H70" t="s">
        <v>261</v>
      </c>
      <c r="I70" t="str">
        <f>VLOOKUP(H70,Table1[#All],8,FALSE)</f>
        <v>Accessories</v>
      </c>
      <c r="J70" t="str" cm="1">
        <f t="array" ref="J70">_xlfn.XLOOKUP(H70,Table1[[#All],[Order ID]],Table1[[#All],[Brand]],0)</f>
        <v>Logitech</v>
      </c>
      <c r="K70" t="str">
        <f>INDEX(Table1[[#All],[Product Name]],MATCH(Sheet2!H70,Table1[[#All],[Order ID]],0))</f>
        <v>Mouse</v>
      </c>
    </row>
    <row r="71" spans="1:11" x14ac:dyDescent="0.25">
      <c r="A71" s="6">
        <v>156750</v>
      </c>
      <c r="B71" t="s">
        <v>53</v>
      </c>
      <c r="F71" t="s">
        <v>27</v>
      </c>
      <c r="H71" t="s">
        <v>263</v>
      </c>
      <c r="I71" t="str">
        <f>VLOOKUP(H71,Table1[#All],8,FALSE)</f>
        <v>Computers</v>
      </c>
      <c r="J71" t="str" cm="1">
        <f t="array" ref="J71">_xlfn.XLOOKUP(H71,Table1[[#All],[Order ID]],Table1[[#All],[Brand]],0)</f>
        <v>Dell</v>
      </c>
      <c r="K71" t="str">
        <f>INDEX(Table1[[#All],[Product Name]],MATCH(Sheet2!H71,Table1[[#All],[Order ID]],0))</f>
        <v>Laptop</v>
      </c>
    </row>
    <row r="72" spans="1:11" x14ac:dyDescent="0.25">
      <c r="A72" s="5">
        <v>1425</v>
      </c>
      <c r="B72" t="s">
        <v>68</v>
      </c>
      <c r="F72" t="s">
        <v>27</v>
      </c>
      <c r="H72" t="s">
        <v>266</v>
      </c>
      <c r="I72" t="str">
        <f>VLOOKUP(H72,Table1[#All],8,FALSE)</f>
        <v>Accessories</v>
      </c>
      <c r="J72" t="str" cm="1">
        <f t="array" ref="J72">_xlfn.XLOOKUP(H72,Table1[[#All],[Order ID]],Table1[[#All],[Brand]],0)</f>
        <v>HP</v>
      </c>
      <c r="K72" t="str">
        <f>INDEX(Table1[[#All],[Product Name]],MATCH(Sheet2!H72,Table1[[#All],[Order ID]],0))</f>
        <v>Keyboard</v>
      </c>
    </row>
    <row r="73" spans="1:11" x14ac:dyDescent="0.25">
      <c r="A73" s="6">
        <v>2040</v>
      </c>
      <c r="B73" t="s">
        <v>26</v>
      </c>
      <c r="F73" t="s">
        <v>27</v>
      </c>
      <c r="H73" t="s">
        <v>269</v>
      </c>
      <c r="I73" t="str">
        <f>VLOOKUP(H73,Table1[#All],8,FALSE)</f>
        <v>Accessories</v>
      </c>
      <c r="J73" t="str" cm="1">
        <f t="array" ref="J73">_xlfn.XLOOKUP(H73,Table1[[#All],[Order ID]],Table1[[#All],[Brand]],0)</f>
        <v>Logitech</v>
      </c>
      <c r="K73" t="str">
        <f>INDEX(Table1[[#All],[Product Name]],MATCH(Sheet2!H73,Table1[[#All],[Order ID]],0))</f>
        <v>Mouse</v>
      </c>
    </row>
    <row r="74" spans="1:11" x14ac:dyDescent="0.25">
      <c r="A74" s="5">
        <v>16200</v>
      </c>
      <c r="B74" t="s">
        <v>39</v>
      </c>
      <c r="F74" t="s">
        <v>40</v>
      </c>
      <c r="H74" t="s">
        <v>272</v>
      </c>
      <c r="I74" t="str">
        <f>VLOOKUP(H74,Table1[#All],8,FALSE)</f>
        <v>Office</v>
      </c>
      <c r="J74" t="str" cm="1">
        <f t="array" ref="J74">_xlfn.XLOOKUP(H74,Table1[[#All],[Order ID]],Table1[[#All],[Brand]],0)</f>
        <v>Nilkamal</v>
      </c>
      <c r="K74" t="str">
        <f>INDEX(Table1[[#All],[Product Name]],MATCH(Sheet2!H74,Table1[[#All],[Order ID]],0))</f>
        <v>Chair</v>
      </c>
    </row>
    <row r="75" spans="1:11" x14ac:dyDescent="0.25">
      <c r="A75" s="6">
        <v>12150</v>
      </c>
      <c r="B75" t="s">
        <v>39</v>
      </c>
      <c r="F75" t="s">
        <v>40</v>
      </c>
      <c r="H75" t="s">
        <v>274</v>
      </c>
      <c r="I75" t="str">
        <f>VLOOKUP(H75,Table1[#All],8,FALSE)</f>
        <v>Office</v>
      </c>
      <c r="J75" t="str" cm="1">
        <f t="array" ref="J75">_xlfn.XLOOKUP(H75,Table1[[#All],[Order ID]],Table1[[#All],[Brand]],0)</f>
        <v>Nilkamal</v>
      </c>
      <c r="K75" t="str">
        <f>INDEX(Table1[[#All],[Product Name]],MATCH(Sheet2!H75,Table1[[#All],[Order ID]],0))</f>
        <v>Chair</v>
      </c>
    </row>
    <row r="76" spans="1:11" x14ac:dyDescent="0.25">
      <c r="A76" s="5">
        <v>6300</v>
      </c>
      <c r="B76" t="s">
        <v>74</v>
      </c>
      <c r="F76" t="s">
        <v>27</v>
      </c>
      <c r="H76" t="s">
        <v>277</v>
      </c>
      <c r="I76" t="str">
        <f>VLOOKUP(H76,Table1[#All],8,FALSE)</f>
        <v>Audio</v>
      </c>
      <c r="J76" t="str" cm="1">
        <f t="array" ref="J76">_xlfn.XLOOKUP(H76,Table1[[#All],[Order ID]],Table1[[#All],[Brand]],0)</f>
        <v>Sony</v>
      </c>
      <c r="K76" t="str">
        <f>INDEX(Table1[[#All],[Product Name]],MATCH(Sheet2!H76,Table1[[#All],[Order ID]],0))</f>
        <v>Headphones</v>
      </c>
    </row>
    <row r="77" spans="1:11" x14ac:dyDescent="0.25">
      <c r="A77" s="6">
        <v>760</v>
      </c>
      <c r="B77" t="s">
        <v>26</v>
      </c>
      <c r="F77" t="s">
        <v>27</v>
      </c>
      <c r="H77" t="s">
        <v>280</v>
      </c>
      <c r="I77" t="str">
        <f>VLOOKUP(H77,Table1[#All],8,FALSE)</f>
        <v>Accessories</v>
      </c>
      <c r="J77" t="str" cm="1">
        <f t="array" ref="J77">_xlfn.XLOOKUP(H77,Table1[[#All],[Order ID]],Table1[[#All],[Brand]],0)</f>
        <v>Logitech</v>
      </c>
      <c r="K77" t="str">
        <f>INDEX(Table1[[#All],[Product Name]],MATCH(Sheet2!H77,Table1[[#All],[Order ID]],0))</f>
        <v>Mouse</v>
      </c>
    </row>
    <row r="78" spans="1:11" x14ac:dyDescent="0.25">
      <c r="A78" s="5">
        <v>5100</v>
      </c>
      <c r="B78" t="s">
        <v>68</v>
      </c>
      <c r="F78" t="s">
        <v>27</v>
      </c>
      <c r="H78" t="s">
        <v>283</v>
      </c>
      <c r="I78" t="str">
        <f>VLOOKUP(H78,Table1[#All],8,FALSE)</f>
        <v>Accessories</v>
      </c>
      <c r="J78" t="str" cm="1">
        <f t="array" ref="J78">_xlfn.XLOOKUP(H78,Table1[[#All],[Order ID]],Table1[[#All],[Brand]],0)</f>
        <v>HP</v>
      </c>
      <c r="K78" t="str">
        <f>INDEX(Table1[[#All],[Product Name]],MATCH(Sheet2!H78,Table1[[#All],[Order ID]],0))</f>
        <v>Keyboard</v>
      </c>
    </row>
    <row r="79" spans="1:11" x14ac:dyDescent="0.25">
      <c r="A79" s="6">
        <v>148500</v>
      </c>
      <c r="B79" t="s">
        <v>53</v>
      </c>
      <c r="F79" t="s">
        <v>27</v>
      </c>
      <c r="H79" t="s">
        <v>286</v>
      </c>
      <c r="I79" t="str">
        <f>VLOOKUP(H79,Table1[#All],8,FALSE)</f>
        <v>Computers</v>
      </c>
      <c r="J79" t="str" cm="1">
        <f t="array" ref="J79">_xlfn.XLOOKUP(H79,Table1[[#All],[Order ID]],Table1[[#All],[Brand]],0)</f>
        <v>Dell</v>
      </c>
      <c r="K79" t="str">
        <f>INDEX(Table1[[#All],[Product Name]],MATCH(Sheet2!H79,Table1[[#All],[Order ID]],0))</f>
        <v>Laptop</v>
      </c>
    </row>
    <row r="80" spans="1:11" x14ac:dyDescent="0.25">
      <c r="A80" s="5">
        <v>2280</v>
      </c>
      <c r="B80" t="s">
        <v>26</v>
      </c>
      <c r="F80" t="s">
        <v>27</v>
      </c>
      <c r="H80" t="s">
        <v>289</v>
      </c>
      <c r="I80" t="str">
        <f>VLOOKUP(H80,Table1[#All],8,FALSE)</f>
        <v>Accessories</v>
      </c>
      <c r="J80" t="str" cm="1">
        <f t="array" ref="J80">_xlfn.XLOOKUP(H80,Table1[[#All],[Order ID]],Table1[[#All],[Brand]],0)</f>
        <v>Logitech</v>
      </c>
      <c r="K80" t="str">
        <f>INDEX(Table1[[#All],[Product Name]],MATCH(Sheet2!H80,Table1[[#All],[Order ID]],0))</f>
        <v>Mouse</v>
      </c>
    </row>
    <row r="81" spans="1:11" x14ac:dyDescent="0.25">
      <c r="A81" s="6">
        <v>1360</v>
      </c>
      <c r="B81" t="s">
        <v>26</v>
      </c>
      <c r="F81" t="s">
        <v>27</v>
      </c>
      <c r="H81" t="s">
        <v>292</v>
      </c>
      <c r="I81" t="str">
        <f>VLOOKUP(H81,Table1[#All],8,FALSE)</f>
        <v>Accessories</v>
      </c>
      <c r="J81" t="str" cm="1">
        <f t="array" ref="J81">_xlfn.XLOOKUP(H81,Table1[[#All],[Order ID]],Table1[[#All],[Brand]],0)</f>
        <v>Logitech</v>
      </c>
      <c r="K81" t="str">
        <f>INDEX(Table1[[#All],[Product Name]],MATCH(Sheet2!H81,Table1[[#All],[Order ID]],0))</f>
        <v>Mouse</v>
      </c>
    </row>
    <row r="82" spans="1:11" x14ac:dyDescent="0.25">
      <c r="A82" s="5">
        <v>52250</v>
      </c>
      <c r="B82" t="s">
        <v>53</v>
      </c>
      <c r="F82" t="s">
        <v>27</v>
      </c>
      <c r="H82" t="s">
        <v>295</v>
      </c>
      <c r="I82" t="str">
        <f>VLOOKUP(H82,Table1[#All],8,FALSE)</f>
        <v>Computers</v>
      </c>
      <c r="J82" t="str" cm="1">
        <f t="array" ref="J82">_xlfn.XLOOKUP(H82,Table1[[#All],[Order ID]],Table1[[#All],[Brand]],0)</f>
        <v>Dell</v>
      </c>
      <c r="K82" t="str">
        <f>INDEX(Table1[[#All],[Product Name]],MATCH(Sheet2!H82,Table1[[#All],[Order ID]],0))</f>
        <v>Laptop</v>
      </c>
    </row>
    <row r="83" spans="1:11" x14ac:dyDescent="0.25">
      <c r="A83" s="6">
        <v>3150</v>
      </c>
      <c r="B83" t="s">
        <v>74</v>
      </c>
      <c r="F83" t="s">
        <v>27</v>
      </c>
      <c r="H83" t="s">
        <v>298</v>
      </c>
      <c r="I83" t="str">
        <f>VLOOKUP(H83,Table1[#All],8,FALSE)</f>
        <v>Audio</v>
      </c>
      <c r="J83" t="str" cm="1">
        <f t="array" ref="J83">_xlfn.XLOOKUP(H83,Table1[[#All],[Order ID]],Table1[[#All],[Brand]],0)</f>
        <v>Sony</v>
      </c>
      <c r="K83" t="str">
        <f>INDEX(Table1[[#All],[Product Name]],MATCH(Sheet2!H83,Table1[[#All],[Order ID]],0))</f>
        <v>Headphones</v>
      </c>
    </row>
    <row r="84" spans="1:11" x14ac:dyDescent="0.25">
      <c r="A84" s="5">
        <v>1360</v>
      </c>
      <c r="B84" t="s">
        <v>26</v>
      </c>
      <c r="F84" t="s">
        <v>27</v>
      </c>
      <c r="H84" t="s">
        <v>300</v>
      </c>
      <c r="I84" t="str">
        <f>VLOOKUP(H84,Table1[#All],8,FALSE)</f>
        <v>Accessories</v>
      </c>
      <c r="J84" t="str" cm="1">
        <f t="array" ref="J84">_xlfn.XLOOKUP(H84,Table1[[#All],[Order ID]],Table1[[#All],[Brand]],0)</f>
        <v>Logitech</v>
      </c>
      <c r="K84" t="str">
        <f>INDEX(Table1[[#All],[Product Name]],MATCH(Sheet2!H84,Table1[[#All],[Order ID]],0))</f>
        <v>Mouse</v>
      </c>
    </row>
    <row r="85" spans="1:11" x14ac:dyDescent="0.25">
      <c r="A85" s="6">
        <v>55000</v>
      </c>
      <c r="B85" t="s">
        <v>53</v>
      </c>
      <c r="F85" t="s">
        <v>27</v>
      </c>
      <c r="H85" t="s">
        <v>302</v>
      </c>
      <c r="I85" t="str">
        <f>VLOOKUP(H85,Table1[#All],8,FALSE)</f>
        <v>Computers</v>
      </c>
      <c r="J85" t="str" cm="1">
        <f t="array" ref="J85">_xlfn.XLOOKUP(H85,Table1[[#All],[Order ID]],Table1[[#All],[Brand]],0)</f>
        <v>Dell</v>
      </c>
      <c r="K85" t="str">
        <f>INDEX(Table1[[#All],[Product Name]],MATCH(Sheet2!H85,Table1[[#All],[Order ID]],0))</f>
        <v>Laptop</v>
      </c>
    </row>
    <row r="86" spans="1:11" x14ac:dyDescent="0.25">
      <c r="A86" s="5">
        <v>15300</v>
      </c>
      <c r="B86" t="s">
        <v>39</v>
      </c>
      <c r="F86" t="s">
        <v>40</v>
      </c>
      <c r="H86" t="s">
        <v>305</v>
      </c>
      <c r="I86" t="str">
        <f>VLOOKUP(H86,Table1[#All],8,FALSE)</f>
        <v>Office</v>
      </c>
      <c r="J86" t="str" cm="1">
        <f t="array" ref="J86">_xlfn.XLOOKUP(H86,Table1[[#All],[Order ID]],Table1[[#All],[Brand]],0)</f>
        <v>Nilkamal</v>
      </c>
      <c r="K86" t="str">
        <f>INDEX(Table1[[#All],[Product Name]],MATCH(Sheet2!H86,Table1[[#All],[Order ID]],0))</f>
        <v>Chair</v>
      </c>
    </row>
    <row r="87" spans="1:11" x14ac:dyDescent="0.25">
      <c r="A87" s="6">
        <v>6650</v>
      </c>
      <c r="B87" t="s">
        <v>74</v>
      </c>
      <c r="F87" t="s">
        <v>27</v>
      </c>
      <c r="H87" t="s">
        <v>308</v>
      </c>
      <c r="I87" t="str">
        <f>VLOOKUP(H87,Table1[#All],8,FALSE)</f>
        <v>Audio</v>
      </c>
      <c r="J87" t="str" cm="1">
        <f t="array" ref="J87">_xlfn.XLOOKUP(H87,Table1[[#All],[Order ID]],Table1[[#All],[Brand]],0)</f>
        <v>Sony</v>
      </c>
      <c r="K87" t="str">
        <f>INDEX(Table1[[#All],[Product Name]],MATCH(Sheet2!H87,Table1[[#All],[Order ID]],0))</f>
        <v>Headphones</v>
      </c>
    </row>
    <row r="88" spans="1:11" x14ac:dyDescent="0.25">
      <c r="A88" s="5">
        <v>9975</v>
      </c>
      <c r="B88" t="s">
        <v>74</v>
      </c>
      <c r="F88" t="s">
        <v>27</v>
      </c>
      <c r="H88" t="s">
        <v>311</v>
      </c>
      <c r="I88" t="str">
        <f>VLOOKUP(H88,Table1[#All],8,FALSE)</f>
        <v>Audio</v>
      </c>
      <c r="J88" t="str" cm="1">
        <f t="array" ref="J88">_xlfn.XLOOKUP(H88,Table1[[#All],[Order ID]],Table1[[#All],[Brand]],0)</f>
        <v>Sony</v>
      </c>
      <c r="K88" t="str">
        <f>INDEX(Table1[[#All],[Product Name]],MATCH(Sheet2!H88,Table1[[#All],[Order ID]],0))</f>
        <v>Headphones</v>
      </c>
    </row>
    <row r="89" spans="1:11" x14ac:dyDescent="0.25">
      <c r="A89" s="6">
        <v>1500</v>
      </c>
      <c r="B89" t="s">
        <v>68</v>
      </c>
      <c r="F89" t="s">
        <v>27</v>
      </c>
      <c r="H89" t="s">
        <v>314</v>
      </c>
      <c r="I89" t="str">
        <f>VLOOKUP(H89,Table1[#All],8,FALSE)</f>
        <v>Accessories</v>
      </c>
      <c r="J89" t="str" cm="1">
        <f t="array" ref="J89">_xlfn.XLOOKUP(H89,Table1[[#All],[Order ID]],Table1[[#All],[Brand]],0)</f>
        <v>HP</v>
      </c>
      <c r="K89" t="str">
        <f>INDEX(Table1[[#All],[Product Name]],MATCH(Sheet2!H89,Table1[[#All],[Order ID]],0))</f>
        <v>Keyboard</v>
      </c>
    </row>
    <row r="90" spans="1:11" x14ac:dyDescent="0.25">
      <c r="A90" s="5">
        <v>52250</v>
      </c>
      <c r="B90" t="s">
        <v>53</v>
      </c>
      <c r="F90" t="s">
        <v>27</v>
      </c>
      <c r="H90" t="s">
        <v>317</v>
      </c>
      <c r="I90" t="str">
        <f>VLOOKUP(H90,Table1[#All],8,FALSE)</f>
        <v>Computers</v>
      </c>
      <c r="J90" t="str" cm="1">
        <f t="array" ref="J90">_xlfn.XLOOKUP(H90,Table1[[#All],[Order ID]],Table1[[#All],[Brand]],0)</f>
        <v>Dell</v>
      </c>
      <c r="K90" t="str">
        <f>INDEX(Table1[[#All],[Product Name]],MATCH(Sheet2!H90,Table1[[#All],[Order ID]],0))</f>
        <v>Laptop</v>
      </c>
    </row>
    <row r="91" spans="1:11" x14ac:dyDescent="0.25">
      <c r="A91" s="6">
        <v>104500</v>
      </c>
      <c r="B91" t="s">
        <v>53</v>
      </c>
      <c r="F91" t="s">
        <v>27</v>
      </c>
      <c r="H91" t="s">
        <v>320</v>
      </c>
      <c r="I91" t="str">
        <f>VLOOKUP(H91,Table1[#All],8,FALSE)</f>
        <v>Computers</v>
      </c>
      <c r="J91" t="str" cm="1">
        <f t="array" ref="J91">_xlfn.XLOOKUP(H91,Table1[[#All],[Order ID]],Table1[[#All],[Brand]],0)</f>
        <v>Dell</v>
      </c>
      <c r="K91" t="str">
        <f>INDEX(Table1[[#All],[Product Name]],MATCH(Sheet2!H91,Table1[[#All],[Order ID]],0))</f>
        <v>Laptop</v>
      </c>
    </row>
    <row r="92" spans="1:11" x14ac:dyDescent="0.25">
      <c r="A92" s="5">
        <v>3150</v>
      </c>
      <c r="B92" t="s">
        <v>74</v>
      </c>
      <c r="F92" t="s">
        <v>27</v>
      </c>
      <c r="H92" t="s">
        <v>323</v>
      </c>
      <c r="I92" t="str">
        <f>VLOOKUP(H92,Table1[#All],8,FALSE)</f>
        <v>Audio</v>
      </c>
      <c r="J92" t="str" cm="1">
        <f t="array" ref="J92">_xlfn.XLOOKUP(H92,Table1[[#All],[Order ID]],Table1[[#All],[Brand]],0)</f>
        <v>Sony</v>
      </c>
      <c r="K92" t="str">
        <f>INDEX(Table1[[#All],[Product Name]],MATCH(Sheet2!H92,Table1[[#All],[Order ID]],0))</f>
        <v>Headphones</v>
      </c>
    </row>
    <row r="93" spans="1:11" x14ac:dyDescent="0.25">
      <c r="A93" s="6">
        <v>12150</v>
      </c>
      <c r="B93" t="s">
        <v>39</v>
      </c>
      <c r="F93" t="s">
        <v>40</v>
      </c>
      <c r="H93" t="s">
        <v>326</v>
      </c>
      <c r="I93" t="str">
        <f>VLOOKUP(H93,Table1[#All],8,FALSE)</f>
        <v>Office</v>
      </c>
      <c r="J93" t="str" cm="1">
        <f t="array" ref="J93">_xlfn.XLOOKUP(H93,Table1[[#All],[Order ID]],Table1[[#All],[Brand]],0)</f>
        <v>Nilkamal</v>
      </c>
      <c r="K93" t="str">
        <f>INDEX(Table1[[#All],[Product Name]],MATCH(Sheet2!H93,Table1[[#All],[Order ID]],0))</f>
        <v>Chair</v>
      </c>
    </row>
    <row r="94" spans="1:11" x14ac:dyDescent="0.25">
      <c r="A94" s="5">
        <v>3040</v>
      </c>
      <c r="B94" t="s">
        <v>26</v>
      </c>
      <c r="F94" t="s">
        <v>27</v>
      </c>
      <c r="H94" t="s">
        <v>328</v>
      </c>
      <c r="I94" t="str">
        <f>VLOOKUP(H94,Table1[#All],8,FALSE)</f>
        <v>Accessories</v>
      </c>
      <c r="J94" t="str" cm="1">
        <f t="array" ref="J94">_xlfn.XLOOKUP(H94,Table1[[#All],[Order ID]],Table1[[#All],[Brand]],0)</f>
        <v>Logitech</v>
      </c>
      <c r="K94" t="str">
        <f>INDEX(Table1[[#All],[Product Name]],MATCH(Sheet2!H94,Table1[[#All],[Order ID]],0))</f>
        <v>Mouse</v>
      </c>
    </row>
    <row r="95" spans="1:11" x14ac:dyDescent="0.25">
      <c r="A95" s="6">
        <v>760</v>
      </c>
      <c r="B95" t="s">
        <v>26</v>
      </c>
      <c r="F95" t="s">
        <v>27</v>
      </c>
      <c r="H95" t="s">
        <v>331</v>
      </c>
      <c r="I95" t="str">
        <f>VLOOKUP(H95,Table1[#All],8,FALSE)</f>
        <v>Accessories</v>
      </c>
      <c r="J95" t="str" cm="1">
        <f t="array" ref="J95">_xlfn.XLOOKUP(H95,Table1[[#All],[Order ID]],Table1[[#All],[Brand]],0)</f>
        <v>Logitech</v>
      </c>
      <c r="K95" t="str">
        <f>INDEX(Table1[[#All],[Product Name]],MATCH(Sheet2!H95,Table1[[#All],[Order ID]],0))</f>
        <v>Mouse</v>
      </c>
    </row>
    <row r="96" spans="1:11" x14ac:dyDescent="0.25">
      <c r="A96" s="5">
        <v>16625</v>
      </c>
      <c r="B96" t="s">
        <v>74</v>
      </c>
      <c r="F96" t="s">
        <v>27</v>
      </c>
      <c r="H96" t="s">
        <v>334</v>
      </c>
      <c r="I96" t="str">
        <f>VLOOKUP(H96,Table1[#All],8,FALSE)</f>
        <v>Audio</v>
      </c>
      <c r="J96" t="str" cm="1">
        <f t="array" ref="J96">_xlfn.XLOOKUP(H96,Table1[[#All],[Order ID]],Table1[[#All],[Brand]],0)</f>
        <v>Sony</v>
      </c>
      <c r="K96" t="str">
        <f>INDEX(Table1[[#All],[Product Name]],MATCH(Sheet2!H96,Table1[[#All],[Order ID]],0))</f>
        <v>Headphones</v>
      </c>
    </row>
    <row r="97" spans="1:11" x14ac:dyDescent="0.25">
      <c r="A97" s="6">
        <v>6750</v>
      </c>
      <c r="B97" t="s">
        <v>68</v>
      </c>
      <c r="F97" t="s">
        <v>27</v>
      </c>
      <c r="H97" t="s">
        <v>336</v>
      </c>
      <c r="I97" t="str">
        <f>VLOOKUP(H97,Table1[#All],8,FALSE)</f>
        <v>Accessories</v>
      </c>
      <c r="J97" t="str" cm="1">
        <f t="array" ref="J97">_xlfn.XLOOKUP(H97,Table1[[#All],[Order ID]],Table1[[#All],[Brand]],0)</f>
        <v>HP</v>
      </c>
      <c r="K97" t="str">
        <f>INDEX(Table1[[#All],[Product Name]],MATCH(Sheet2!H97,Table1[[#All],[Order ID]],0))</f>
        <v>Keyboard</v>
      </c>
    </row>
    <row r="98" spans="1:11" x14ac:dyDescent="0.25">
      <c r="A98" s="5">
        <v>148500</v>
      </c>
      <c r="B98" t="s">
        <v>53</v>
      </c>
      <c r="F98" t="s">
        <v>27</v>
      </c>
      <c r="H98" t="s">
        <v>339</v>
      </c>
      <c r="I98" t="str">
        <f>VLOOKUP(H98,Table1[#All],8,FALSE)</f>
        <v>Computers</v>
      </c>
      <c r="J98" t="str" cm="1">
        <f t="array" ref="J98">_xlfn.XLOOKUP(H98,Table1[[#All],[Order ID]],Table1[[#All],[Brand]],0)</f>
        <v>Dell</v>
      </c>
      <c r="K98" t="str">
        <f>INDEX(Table1[[#All],[Product Name]],MATCH(Sheet2!H98,Table1[[#All],[Order ID]],0))</f>
        <v>Laptop</v>
      </c>
    </row>
    <row r="99" spans="1:11" x14ac:dyDescent="0.25">
      <c r="A99" s="6">
        <v>3825</v>
      </c>
      <c r="B99" t="s">
        <v>68</v>
      </c>
      <c r="F99" t="s">
        <v>27</v>
      </c>
      <c r="H99" t="s">
        <v>342</v>
      </c>
      <c r="I99" t="str">
        <f>VLOOKUP(H99,Table1[#All],8,FALSE)</f>
        <v>Accessories</v>
      </c>
      <c r="J99" t="str" cm="1">
        <f t="array" ref="J99">_xlfn.XLOOKUP(H99,Table1[[#All],[Order ID]],Table1[[#All],[Brand]],0)</f>
        <v>HP</v>
      </c>
      <c r="K99" t="str">
        <f>INDEX(Table1[[#All],[Product Name]],MATCH(Sheet2!H99,Table1[[#All],[Order ID]],0))</f>
        <v>Keyboard</v>
      </c>
    </row>
    <row r="100" spans="1:11" x14ac:dyDescent="0.25">
      <c r="A100" s="5">
        <v>9450</v>
      </c>
      <c r="B100" t="s">
        <v>74</v>
      </c>
      <c r="F100" t="s">
        <v>27</v>
      </c>
      <c r="H100" t="s">
        <v>345</v>
      </c>
      <c r="I100" t="str">
        <f>VLOOKUP(H100,Table1[#All],8,FALSE)</f>
        <v>Audio</v>
      </c>
      <c r="J100" t="str" cm="1">
        <f t="array" ref="J100">_xlfn.XLOOKUP(H100,Table1[[#All],[Order ID]],Table1[[#All],[Brand]],0)</f>
        <v>Sony</v>
      </c>
      <c r="K100" t="str">
        <f>INDEX(Table1[[#All],[Product Name]],MATCH(Sheet2!H100,Table1[[#All],[Order ID]],0))</f>
        <v>Headphones</v>
      </c>
    </row>
    <row r="101" spans="1:11" x14ac:dyDescent="0.25">
      <c r="A101" s="6">
        <v>209000</v>
      </c>
      <c r="B101" t="s">
        <v>53</v>
      </c>
      <c r="F101" t="s">
        <v>27</v>
      </c>
      <c r="H101" t="s">
        <v>347</v>
      </c>
      <c r="I101" t="str">
        <f>VLOOKUP(H101,Table1[#All],8,FALSE)</f>
        <v>Computers</v>
      </c>
      <c r="J101" t="str" cm="1">
        <f t="array" ref="J101">_xlfn.XLOOKUP(H101,Table1[[#All],[Order ID]],Table1[[#All],[Brand]],0)</f>
        <v>Dell</v>
      </c>
      <c r="K101" t="str">
        <f>INDEX(Table1[[#All],[Product Name]],MATCH(Sheet2!H101,Table1[[#All],[Order ID]],0))</f>
        <v>Laptop</v>
      </c>
    </row>
    <row r="102" spans="1:11" x14ac:dyDescent="0.25">
      <c r="A102" s="5">
        <v>1600</v>
      </c>
      <c r="B102" t="s">
        <v>26</v>
      </c>
      <c r="F102" t="s">
        <v>27</v>
      </c>
      <c r="H102" t="s">
        <v>350</v>
      </c>
      <c r="I102" t="str">
        <f>VLOOKUP(H102,Table1[#All],8,FALSE)</f>
        <v>Accessories</v>
      </c>
      <c r="J102" t="str" cm="1">
        <f t="array" ref="J102">_xlfn.XLOOKUP(H102,Table1[[#All],[Order ID]],Table1[[#All],[Brand]],0)</f>
        <v>Logitech</v>
      </c>
      <c r="K102" t="str">
        <f>INDEX(Table1[[#All],[Product Name]],MATCH(Sheet2!H102,Table1[[#All],[Order ID]],0))</f>
        <v>Mouse</v>
      </c>
    </row>
    <row r="103" spans="1:11" x14ac:dyDescent="0.25">
      <c r="A103" s="6">
        <v>2720</v>
      </c>
      <c r="B103" t="s">
        <v>26</v>
      </c>
      <c r="F103" t="s">
        <v>27</v>
      </c>
      <c r="H103" t="s">
        <v>352</v>
      </c>
      <c r="I103" t="str">
        <f>VLOOKUP(H103,Table1[#All],8,FALSE)</f>
        <v>Accessories</v>
      </c>
      <c r="J103" t="str" cm="1">
        <f t="array" ref="J103">_xlfn.XLOOKUP(H103,Table1[[#All],[Order ID]],Table1[[#All],[Brand]],0)</f>
        <v>Logitech</v>
      </c>
      <c r="K103" t="str">
        <f>INDEX(Table1[[#All],[Product Name]],MATCH(Sheet2!H103,Table1[[#All],[Order ID]],0))</f>
        <v>Mouse</v>
      </c>
    </row>
    <row r="104" spans="1:11" x14ac:dyDescent="0.25">
      <c r="A104" s="5">
        <v>4275</v>
      </c>
      <c r="B104" t="s">
        <v>39</v>
      </c>
      <c r="F104" t="s">
        <v>40</v>
      </c>
      <c r="H104" t="s">
        <v>355</v>
      </c>
      <c r="I104" t="str">
        <f>VLOOKUP(H104,Table1[#All],8,FALSE)</f>
        <v>Office</v>
      </c>
      <c r="J104" t="str" cm="1">
        <f t="array" ref="J104">_xlfn.XLOOKUP(H104,Table1[[#All],[Order ID]],Table1[[#All],[Brand]],0)</f>
        <v>Nilkamal</v>
      </c>
      <c r="K104" t="str">
        <f>INDEX(Table1[[#All],[Product Name]],MATCH(Sheet2!H104,Table1[[#All],[Order ID]],0))</f>
        <v>Chair</v>
      </c>
    </row>
    <row r="105" spans="1:11" x14ac:dyDescent="0.25">
      <c r="A105" s="6">
        <v>1350</v>
      </c>
      <c r="B105" t="s">
        <v>68</v>
      </c>
      <c r="F105" t="s">
        <v>27</v>
      </c>
      <c r="H105" t="s">
        <v>358</v>
      </c>
      <c r="I105" t="str">
        <f>VLOOKUP(H105,Table1[#All],8,FALSE)</f>
        <v>Accessories</v>
      </c>
      <c r="J105" t="str" cm="1">
        <f t="array" ref="J105">_xlfn.XLOOKUP(H105,Table1[[#All],[Order ID]],Table1[[#All],[Brand]],0)</f>
        <v>HP</v>
      </c>
      <c r="K105" t="str">
        <f>INDEX(Table1[[#All],[Product Name]],MATCH(Sheet2!H105,Table1[[#All],[Order ID]],0))</f>
        <v>Keyboard</v>
      </c>
    </row>
    <row r="106" spans="1:11" x14ac:dyDescent="0.25">
      <c r="A106" s="5">
        <v>156750</v>
      </c>
      <c r="B106" t="s">
        <v>53</v>
      </c>
      <c r="F106" t="s">
        <v>27</v>
      </c>
      <c r="H106" t="s">
        <v>360</v>
      </c>
      <c r="I106" t="str">
        <f>VLOOKUP(H106,Table1[#All],8,FALSE)</f>
        <v>Computers</v>
      </c>
      <c r="J106" t="str" cm="1">
        <f t="array" ref="J106">_xlfn.XLOOKUP(H106,Table1[[#All],[Order ID]],Table1[[#All],[Brand]],0)</f>
        <v>Dell</v>
      </c>
      <c r="K106" t="str">
        <f>INDEX(Table1[[#All],[Product Name]],MATCH(Sheet2!H106,Table1[[#All],[Order ID]],0))</f>
        <v>Laptop</v>
      </c>
    </row>
    <row r="107" spans="1:11" x14ac:dyDescent="0.25">
      <c r="A107" s="6">
        <v>9450</v>
      </c>
      <c r="B107" t="s">
        <v>74</v>
      </c>
      <c r="F107" t="s">
        <v>27</v>
      </c>
      <c r="H107" t="s">
        <v>363</v>
      </c>
      <c r="I107" t="str">
        <f>VLOOKUP(H107,Table1[#All],8,FALSE)</f>
        <v>Audio</v>
      </c>
      <c r="J107" t="str" cm="1">
        <f t="array" ref="J107">_xlfn.XLOOKUP(H107,Table1[[#All],[Order ID]],Table1[[#All],[Brand]],0)</f>
        <v>Sony</v>
      </c>
      <c r="K107" t="str">
        <f>INDEX(Table1[[#All],[Product Name]],MATCH(Sheet2!H107,Table1[[#All],[Order ID]],0))</f>
        <v>Headphones</v>
      </c>
    </row>
    <row r="108" spans="1:11" x14ac:dyDescent="0.25">
      <c r="A108" s="5">
        <v>220000</v>
      </c>
      <c r="B108" t="s">
        <v>53</v>
      </c>
      <c r="F108" t="s">
        <v>27</v>
      </c>
      <c r="H108" t="s">
        <v>366</v>
      </c>
      <c r="I108" t="str">
        <f>VLOOKUP(H108,Table1[#All],8,FALSE)</f>
        <v>Computers</v>
      </c>
      <c r="J108" t="str" cm="1">
        <f t="array" ref="J108">_xlfn.XLOOKUP(H108,Table1[[#All],[Order ID]],Table1[[#All],[Brand]],0)</f>
        <v>Dell</v>
      </c>
      <c r="K108" t="str">
        <f>INDEX(Table1[[#All],[Product Name]],MATCH(Sheet2!H108,Table1[[#All],[Order ID]],0))</f>
        <v>Laptop</v>
      </c>
    </row>
    <row r="109" spans="1:11" x14ac:dyDescent="0.25">
      <c r="A109" s="6">
        <v>8100</v>
      </c>
      <c r="B109" t="s">
        <v>39</v>
      </c>
      <c r="F109" t="s">
        <v>40</v>
      </c>
      <c r="H109" t="s">
        <v>369</v>
      </c>
      <c r="I109" t="str">
        <f>VLOOKUP(H109,Table1[#All],8,FALSE)</f>
        <v>Office</v>
      </c>
      <c r="J109" t="str" cm="1">
        <f t="array" ref="J109">_xlfn.XLOOKUP(H109,Table1[[#All],[Order ID]],Table1[[#All],[Brand]],0)</f>
        <v>Nilkamal</v>
      </c>
      <c r="K109" t="str">
        <f>INDEX(Table1[[#All],[Product Name]],MATCH(Sheet2!H109,Table1[[#All],[Order ID]],0))</f>
        <v>Chair</v>
      </c>
    </row>
    <row r="110" spans="1:11" x14ac:dyDescent="0.25">
      <c r="A110" s="5">
        <v>14000</v>
      </c>
      <c r="B110" t="s">
        <v>74</v>
      </c>
      <c r="F110" t="s">
        <v>27</v>
      </c>
      <c r="H110" t="s">
        <v>372</v>
      </c>
      <c r="I110" t="str">
        <f>VLOOKUP(H110,Table1[#All],8,FALSE)</f>
        <v>Audio</v>
      </c>
      <c r="J110" t="str" cm="1">
        <f t="array" ref="J110">_xlfn.XLOOKUP(H110,Table1[[#All],[Order ID]],Table1[[#All],[Brand]],0)</f>
        <v>Sony</v>
      </c>
      <c r="K110" t="str">
        <f>INDEX(Table1[[#All],[Product Name]],MATCH(Sheet2!H110,Table1[[#All],[Order ID]],0))</f>
        <v>Headphones</v>
      </c>
    </row>
    <row r="111" spans="1:11" x14ac:dyDescent="0.25">
      <c r="A111" s="6">
        <v>8100</v>
      </c>
      <c r="B111" t="s">
        <v>39</v>
      </c>
      <c r="F111" t="s">
        <v>40</v>
      </c>
      <c r="H111" t="s">
        <v>374</v>
      </c>
      <c r="I111" t="str">
        <f>VLOOKUP(H111,Table1[#All],8,FALSE)</f>
        <v>Office</v>
      </c>
      <c r="J111" t="str" cm="1">
        <f t="array" ref="J111">_xlfn.XLOOKUP(H111,Table1[[#All],[Order ID]],Table1[[#All],[Brand]],0)</f>
        <v>Nilkamal</v>
      </c>
      <c r="K111" t="str">
        <f>INDEX(Table1[[#All],[Product Name]],MATCH(Sheet2!H111,Table1[[#All],[Order ID]],0))</f>
        <v>Chair</v>
      </c>
    </row>
    <row r="112" spans="1:11" x14ac:dyDescent="0.25">
      <c r="A112" s="5">
        <v>11475</v>
      </c>
      <c r="B112" t="s">
        <v>39</v>
      </c>
      <c r="F112" t="s">
        <v>40</v>
      </c>
      <c r="H112" t="s">
        <v>377</v>
      </c>
      <c r="I112" t="str">
        <f>VLOOKUP(H112,Table1[#All],8,FALSE)</f>
        <v>Office</v>
      </c>
      <c r="J112" t="str" cm="1">
        <f t="array" ref="J112">_xlfn.XLOOKUP(H112,Table1[[#All],[Order ID]],Table1[[#All],[Brand]],0)</f>
        <v>Nilkamal</v>
      </c>
      <c r="K112" t="str">
        <f>INDEX(Table1[[#All],[Product Name]],MATCH(Sheet2!H112,Table1[[#All],[Order ID]],0))</f>
        <v>Chair</v>
      </c>
    </row>
    <row r="113" spans="1:11" x14ac:dyDescent="0.25">
      <c r="A113" s="6">
        <v>4500</v>
      </c>
      <c r="B113" t="s">
        <v>68</v>
      </c>
      <c r="F113" t="s">
        <v>27</v>
      </c>
      <c r="H113" t="s">
        <v>380</v>
      </c>
      <c r="I113" t="str">
        <f>VLOOKUP(H113,Table1[#All],8,FALSE)</f>
        <v>Accessories</v>
      </c>
      <c r="J113" t="str" cm="1">
        <f t="array" ref="J113">_xlfn.XLOOKUP(H113,Table1[[#All],[Order ID]],Table1[[#All],[Brand]],0)</f>
        <v>HP</v>
      </c>
      <c r="K113" t="str">
        <f>INDEX(Table1[[#All],[Product Name]],MATCH(Sheet2!H113,Table1[[#All],[Order ID]],0))</f>
        <v>Keyboard</v>
      </c>
    </row>
    <row r="114" spans="1:11" x14ac:dyDescent="0.25">
      <c r="A114" s="5">
        <v>7125</v>
      </c>
      <c r="B114" t="s">
        <v>68</v>
      </c>
      <c r="F114" t="s">
        <v>27</v>
      </c>
      <c r="H114" t="s">
        <v>383</v>
      </c>
      <c r="I114" t="str">
        <f>VLOOKUP(H114,Table1[#All],8,FALSE)</f>
        <v>Accessories</v>
      </c>
      <c r="J114" t="str" cm="1">
        <f t="array" ref="J114">_xlfn.XLOOKUP(H114,Table1[[#All],[Order ID]],Table1[[#All],[Brand]],0)</f>
        <v>HP</v>
      </c>
      <c r="K114" t="str">
        <f>INDEX(Table1[[#All],[Product Name]],MATCH(Sheet2!H114,Table1[[#All],[Order ID]],0))</f>
        <v>Keyboard</v>
      </c>
    </row>
    <row r="115" spans="1:11" x14ac:dyDescent="0.25">
      <c r="A115" s="6">
        <v>1275</v>
      </c>
      <c r="B115" t="s">
        <v>68</v>
      </c>
      <c r="F115" t="s">
        <v>27</v>
      </c>
      <c r="H115" t="s">
        <v>385</v>
      </c>
      <c r="I115" t="str">
        <f>VLOOKUP(H115,Table1[#All],8,FALSE)</f>
        <v>Accessories</v>
      </c>
      <c r="J115" t="str" cm="1">
        <f t="array" ref="J115">_xlfn.XLOOKUP(H115,Table1[[#All],[Order ID]],Table1[[#All],[Brand]],0)</f>
        <v>HP</v>
      </c>
      <c r="K115" t="str">
        <f>INDEX(Table1[[#All],[Product Name]],MATCH(Sheet2!H115,Table1[[#All],[Order ID]],0))</f>
        <v>Keyboard</v>
      </c>
    </row>
    <row r="116" spans="1:11" x14ac:dyDescent="0.25">
      <c r="A116" s="5">
        <v>2975</v>
      </c>
      <c r="B116" t="s">
        <v>74</v>
      </c>
      <c r="F116" t="s">
        <v>27</v>
      </c>
      <c r="H116" t="s">
        <v>388</v>
      </c>
      <c r="I116" t="str">
        <f>VLOOKUP(H116,Table1[#All],8,FALSE)</f>
        <v>Audio</v>
      </c>
      <c r="J116" t="str" cm="1">
        <f t="array" ref="J116">_xlfn.XLOOKUP(H116,Table1[[#All],[Order ID]],Table1[[#All],[Brand]],0)</f>
        <v>Sony</v>
      </c>
      <c r="K116" t="str">
        <f>INDEX(Table1[[#All],[Product Name]],MATCH(Sheet2!H116,Table1[[#All],[Order ID]],0))</f>
        <v>Headphones</v>
      </c>
    </row>
    <row r="117" spans="1:11" x14ac:dyDescent="0.25">
      <c r="A117" s="6">
        <v>1520</v>
      </c>
      <c r="B117" t="s">
        <v>26</v>
      </c>
      <c r="F117" t="s">
        <v>27</v>
      </c>
      <c r="H117" t="s">
        <v>390</v>
      </c>
      <c r="I117" t="str">
        <f>VLOOKUP(H117,Table1[#All],8,FALSE)</f>
        <v>Accessories</v>
      </c>
      <c r="J117" t="str" cm="1">
        <f t="array" ref="J117">_xlfn.XLOOKUP(H117,Table1[[#All],[Order ID]],Table1[[#All],[Brand]],0)</f>
        <v>Logitech</v>
      </c>
      <c r="K117" t="str">
        <f>INDEX(Table1[[#All],[Product Name]],MATCH(Sheet2!H117,Table1[[#All],[Order ID]],0))</f>
        <v>Mouse</v>
      </c>
    </row>
    <row r="118" spans="1:11" x14ac:dyDescent="0.25">
      <c r="A118" s="5">
        <v>3800</v>
      </c>
      <c r="B118" t="s">
        <v>26</v>
      </c>
      <c r="F118" t="s">
        <v>27</v>
      </c>
      <c r="H118" t="s">
        <v>393</v>
      </c>
      <c r="I118" t="str">
        <f>VLOOKUP(H118,Table1[#All],8,FALSE)</f>
        <v>Accessories</v>
      </c>
      <c r="J118" t="str" cm="1">
        <f t="array" ref="J118">_xlfn.XLOOKUP(H118,Table1[[#All],[Order ID]],Table1[[#All],[Brand]],0)</f>
        <v>Logitech</v>
      </c>
      <c r="K118" t="str">
        <f>INDEX(Table1[[#All],[Product Name]],MATCH(Sheet2!H118,Table1[[#All],[Order ID]],0))</f>
        <v>Mouse</v>
      </c>
    </row>
    <row r="119" spans="1:11" x14ac:dyDescent="0.25">
      <c r="A119" s="6">
        <v>5400</v>
      </c>
      <c r="B119" t="s">
        <v>68</v>
      </c>
      <c r="F119" t="s">
        <v>27</v>
      </c>
      <c r="H119" t="s">
        <v>395</v>
      </c>
      <c r="I119" t="str">
        <f>VLOOKUP(H119,Table1[#All],8,FALSE)</f>
        <v>Accessories</v>
      </c>
      <c r="J119" t="str" cm="1">
        <f t="array" ref="J119">_xlfn.XLOOKUP(H119,Table1[[#All],[Order ID]],Table1[[#All],[Brand]],0)</f>
        <v>HP</v>
      </c>
      <c r="K119" t="str">
        <f>INDEX(Table1[[#All],[Product Name]],MATCH(Sheet2!H119,Table1[[#All],[Order ID]],0))</f>
        <v>Keyboard</v>
      </c>
    </row>
    <row r="120" spans="1:11" x14ac:dyDescent="0.25">
      <c r="A120" s="5">
        <v>800</v>
      </c>
      <c r="B120" t="s">
        <v>26</v>
      </c>
      <c r="F120" t="s">
        <v>27</v>
      </c>
      <c r="H120" t="s">
        <v>398</v>
      </c>
      <c r="I120" t="str">
        <f>VLOOKUP(H120,Table1[#All],8,FALSE)</f>
        <v>Accessories</v>
      </c>
      <c r="J120" t="str" cm="1">
        <f t="array" ref="J120">_xlfn.XLOOKUP(H120,Table1[[#All],[Order ID]],Table1[[#All],[Brand]],0)</f>
        <v>Logitech</v>
      </c>
      <c r="K120" t="str">
        <f>INDEX(Table1[[#All],[Product Name]],MATCH(Sheet2!H120,Table1[[#All],[Order ID]],0))</f>
        <v>Mouse</v>
      </c>
    </row>
    <row r="121" spans="1:11" x14ac:dyDescent="0.25">
      <c r="A121" s="6">
        <v>6000</v>
      </c>
      <c r="B121" t="s">
        <v>68</v>
      </c>
      <c r="F121" t="s">
        <v>27</v>
      </c>
      <c r="H121" t="s">
        <v>401</v>
      </c>
      <c r="I121" t="str">
        <f>VLOOKUP(H121,Table1[#All],8,FALSE)</f>
        <v>Accessories</v>
      </c>
      <c r="J121" t="str" cm="1">
        <f t="array" ref="J121">_xlfn.XLOOKUP(H121,Table1[[#All],[Order ID]],Table1[[#All],[Brand]],0)</f>
        <v>HP</v>
      </c>
      <c r="K121" t="str">
        <f>INDEX(Table1[[#All],[Product Name]],MATCH(Sheet2!H121,Table1[[#All],[Order ID]],0))</f>
        <v>Keyboard</v>
      </c>
    </row>
    <row r="122" spans="1:11" x14ac:dyDescent="0.25">
      <c r="A122" s="5">
        <v>2880</v>
      </c>
      <c r="B122" t="s">
        <v>26</v>
      </c>
      <c r="F122" t="s">
        <v>27</v>
      </c>
      <c r="H122" t="s">
        <v>403</v>
      </c>
      <c r="I122" t="str">
        <f>VLOOKUP(H122,Table1[#All],8,FALSE)</f>
        <v>Accessories</v>
      </c>
      <c r="J122" t="str" cm="1">
        <f t="array" ref="J122">_xlfn.XLOOKUP(H122,Table1[[#All],[Order ID]],Table1[[#All],[Brand]],0)</f>
        <v>Logitech</v>
      </c>
      <c r="K122" t="str">
        <f>INDEX(Table1[[#All],[Product Name]],MATCH(Sheet2!H122,Table1[[#All],[Order ID]],0))</f>
        <v>Mouse</v>
      </c>
    </row>
    <row r="123" spans="1:11" x14ac:dyDescent="0.25">
      <c r="A123" s="6">
        <v>11475</v>
      </c>
      <c r="B123" t="s">
        <v>39</v>
      </c>
      <c r="F123" t="s">
        <v>40</v>
      </c>
      <c r="H123" t="s">
        <v>405</v>
      </c>
      <c r="I123" t="str">
        <f>VLOOKUP(H123,Table1[#All],8,FALSE)</f>
        <v>Office</v>
      </c>
      <c r="J123" t="str" cm="1">
        <f t="array" ref="J123">_xlfn.XLOOKUP(H123,Table1[[#All],[Order ID]],Table1[[#All],[Brand]],0)</f>
        <v>Nilkamal</v>
      </c>
      <c r="K123" t="str">
        <f>INDEX(Table1[[#All],[Product Name]],MATCH(Sheet2!H123,Table1[[#All],[Order ID]],0))</f>
        <v>Chair</v>
      </c>
    </row>
    <row r="124" spans="1:11" x14ac:dyDescent="0.25">
      <c r="A124" s="5">
        <v>3825</v>
      </c>
      <c r="B124" t="s">
        <v>68</v>
      </c>
      <c r="F124" t="s">
        <v>27</v>
      </c>
      <c r="H124" t="s">
        <v>408</v>
      </c>
      <c r="I124" t="str">
        <f>VLOOKUP(H124,Table1[#All],8,FALSE)</f>
        <v>Accessories</v>
      </c>
      <c r="J124" t="str" cm="1">
        <f t="array" ref="J124">_xlfn.XLOOKUP(H124,Table1[[#All],[Order ID]],Table1[[#All],[Brand]],0)</f>
        <v>HP</v>
      </c>
      <c r="K124" t="str">
        <f>INDEX(Table1[[#All],[Product Name]],MATCH(Sheet2!H124,Table1[[#All],[Order ID]],0))</f>
        <v>Keyboard</v>
      </c>
    </row>
    <row r="125" spans="1:11" x14ac:dyDescent="0.25">
      <c r="A125" s="6">
        <v>3800</v>
      </c>
      <c r="B125" t="s">
        <v>26</v>
      </c>
      <c r="F125" t="s">
        <v>27</v>
      </c>
      <c r="H125" t="s">
        <v>411</v>
      </c>
      <c r="I125" t="str">
        <f>VLOOKUP(H125,Table1[#All],8,FALSE)</f>
        <v>Accessories</v>
      </c>
      <c r="J125" t="str" cm="1">
        <f t="array" ref="J125">_xlfn.XLOOKUP(H125,Table1[[#All],[Order ID]],Table1[[#All],[Brand]],0)</f>
        <v>Logitech</v>
      </c>
      <c r="K125" t="str">
        <f>INDEX(Table1[[#All],[Product Name]],MATCH(Sheet2!H125,Table1[[#All],[Order ID]],0))</f>
        <v>Mouse</v>
      </c>
    </row>
    <row r="126" spans="1:11" x14ac:dyDescent="0.25">
      <c r="A126" s="5">
        <v>1360</v>
      </c>
      <c r="B126" t="s">
        <v>26</v>
      </c>
      <c r="F126" t="s">
        <v>27</v>
      </c>
      <c r="H126" t="s">
        <v>414</v>
      </c>
      <c r="I126" t="str">
        <f>VLOOKUP(H126,Table1[#All],8,FALSE)</f>
        <v>Accessories</v>
      </c>
      <c r="J126" t="str" cm="1">
        <f t="array" ref="J126">_xlfn.XLOOKUP(H126,Table1[[#All],[Order ID]],Table1[[#All],[Brand]],0)</f>
        <v>Logitech</v>
      </c>
      <c r="K126" t="str">
        <f>INDEX(Table1[[#All],[Product Name]],MATCH(Sheet2!H126,Table1[[#All],[Order ID]],0))</f>
        <v>Mouse</v>
      </c>
    </row>
    <row r="127" spans="1:11" x14ac:dyDescent="0.25">
      <c r="A127" s="6">
        <v>209000</v>
      </c>
      <c r="B127" t="s">
        <v>53</v>
      </c>
      <c r="F127" t="s">
        <v>27</v>
      </c>
      <c r="H127" t="s">
        <v>416</v>
      </c>
      <c r="I127" t="str">
        <f>VLOOKUP(H127,Table1[#All],8,FALSE)</f>
        <v>Computers</v>
      </c>
      <c r="J127" t="str" cm="1">
        <f t="array" ref="J127">_xlfn.XLOOKUP(H127,Table1[[#All],[Order ID]],Table1[[#All],[Brand]],0)</f>
        <v>Dell</v>
      </c>
      <c r="K127" t="str">
        <f>INDEX(Table1[[#All],[Product Name]],MATCH(Sheet2!H127,Table1[[#All],[Order ID]],0))</f>
        <v>Laptop</v>
      </c>
    </row>
    <row r="128" spans="1:11" x14ac:dyDescent="0.25">
      <c r="A128" s="5">
        <v>233750</v>
      </c>
      <c r="B128" t="s">
        <v>53</v>
      </c>
      <c r="F128" t="s">
        <v>27</v>
      </c>
      <c r="H128" t="s">
        <v>419</v>
      </c>
      <c r="I128" t="str">
        <f>VLOOKUP(H128,Table1[#All],8,FALSE)</f>
        <v>Computers</v>
      </c>
      <c r="J128" t="str" cm="1">
        <f t="array" ref="J128">_xlfn.XLOOKUP(H128,Table1[[#All],[Order ID]],Table1[[#All],[Brand]],0)</f>
        <v>Dell</v>
      </c>
      <c r="K128" t="str">
        <f>INDEX(Table1[[#All],[Product Name]],MATCH(Sheet2!H128,Table1[[#All],[Order ID]],0))</f>
        <v>Laptop</v>
      </c>
    </row>
    <row r="129" spans="1:11" x14ac:dyDescent="0.25">
      <c r="A129" s="6">
        <v>9450</v>
      </c>
      <c r="B129" t="s">
        <v>74</v>
      </c>
      <c r="F129" t="s">
        <v>27</v>
      </c>
      <c r="H129" t="s">
        <v>422</v>
      </c>
      <c r="I129" t="str">
        <f>VLOOKUP(H129,Table1[#All],8,FALSE)</f>
        <v>Audio</v>
      </c>
      <c r="J129" t="str" cm="1">
        <f t="array" ref="J129">_xlfn.XLOOKUP(H129,Table1[[#All],[Order ID]],Table1[[#All],[Brand]],0)</f>
        <v>Sony</v>
      </c>
      <c r="K129" t="str">
        <f>INDEX(Table1[[#All],[Product Name]],MATCH(Sheet2!H129,Table1[[#All],[Order ID]],0))</f>
        <v>Headphones</v>
      </c>
    </row>
    <row r="130" spans="1:11" x14ac:dyDescent="0.25">
      <c r="A130" s="5">
        <v>12150</v>
      </c>
      <c r="B130" t="s">
        <v>39</v>
      </c>
      <c r="F130" t="s">
        <v>40</v>
      </c>
      <c r="H130" t="s">
        <v>425</v>
      </c>
      <c r="I130" t="str">
        <f>VLOOKUP(H130,Table1[#All],8,FALSE)</f>
        <v>Office</v>
      </c>
      <c r="J130" t="str" cm="1">
        <f t="array" ref="J130">_xlfn.XLOOKUP(H130,Table1[[#All],[Order ID]],Table1[[#All],[Brand]],0)</f>
        <v>Nilkamal</v>
      </c>
      <c r="K130" t="str">
        <f>INDEX(Table1[[#All],[Product Name]],MATCH(Sheet2!H130,Table1[[#All],[Order ID]],0))</f>
        <v>Chair</v>
      </c>
    </row>
    <row r="131" spans="1:11" x14ac:dyDescent="0.25">
      <c r="A131" s="6">
        <v>8550</v>
      </c>
      <c r="B131" t="s">
        <v>39</v>
      </c>
      <c r="F131" t="s">
        <v>40</v>
      </c>
      <c r="H131" t="s">
        <v>427</v>
      </c>
      <c r="I131" t="str">
        <f>VLOOKUP(H131,Table1[#All],8,FALSE)</f>
        <v>Office</v>
      </c>
      <c r="J131" t="str" cm="1">
        <f t="array" ref="J131">_xlfn.XLOOKUP(H131,Table1[[#All],[Order ID]],Table1[[#All],[Brand]],0)</f>
        <v>Nilkamal</v>
      </c>
      <c r="K131" t="str">
        <f>INDEX(Table1[[#All],[Product Name]],MATCH(Sheet2!H131,Table1[[#All],[Order ID]],0))</f>
        <v>Chair</v>
      </c>
    </row>
    <row r="132" spans="1:11" x14ac:dyDescent="0.25">
      <c r="A132" s="5">
        <v>275000</v>
      </c>
      <c r="B132" t="s">
        <v>53</v>
      </c>
      <c r="F132" t="s">
        <v>27</v>
      </c>
      <c r="H132" t="s">
        <v>430</v>
      </c>
      <c r="I132" t="str">
        <f>VLOOKUP(H132,Table1[#All],8,FALSE)</f>
        <v>Computers</v>
      </c>
      <c r="J132" t="str" cm="1">
        <f t="array" ref="J132">_xlfn.XLOOKUP(H132,Table1[[#All],[Order ID]],Table1[[#All],[Brand]],0)</f>
        <v>Dell</v>
      </c>
      <c r="K132" t="str">
        <f>INDEX(Table1[[#All],[Product Name]],MATCH(Sheet2!H132,Table1[[#All],[Order ID]],0))</f>
        <v>Laptop</v>
      </c>
    </row>
    <row r="133" spans="1:11" x14ac:dyDescent="0.25">
      <c r="A133" s="6">
        <v>2975</v>
      </c>
      <c r="B133" t="s">
        <v>74</v>
      </c>
      <c r="F133" t="s">
        <v>27</v>
      </c>
      <c r="H133" t="s">
        <v>433</v>
      </c>
      <c r="I133" t="str">
        <f>VLOOKUP(H133,Table1[#All],8,FALSE)</f>
        <v>Audio</v>
      </c>
      <c r="J133" t="str" cm="1">
        <f t="array" ref="J133">_xlfn.XLOOKUP(H133,Table1[[#All],[Order ID]],Table1[[#All],[Brand]],0)</f>
        <v>Sony</v>
      </c>
      <c r="K133" t="str">
        <f>INDEX(Table1[[#All],[Product Name]],MATCH(Sheet2!H133,Table1[[#All],[Order ID]],0))</f>
        <v>Headphones</v>
      </c>
    </row>
    <row r="134" spans="1:11" x14ac:dyDescent="0.25">
      <c r="A134" s="5">
        <v>6000</v>
      </c>
      <c r="B134" t="s">
        <v>68</v>
      </c>
      <c r="F134" t="s">
        <v>27</v>
      </c>
      <c r="H134" t="s">
        <v>436</v>
      </c>
      <c r="I134" t="str">
        <f>VLOOKUP(H134,Table1[#All],8,FALSE)</f>
        <v>Accessories</v>
      </c>
      <c r="J134" t="str" cm="1">
        <f t="array" ref="J134">_xlfn.XLOOKUP(H134,Table1[[#All],[Order ID]],Table1[[#All],[Brand]],0)</f>
        <v>HP</v>
      </c>
      <c r="K134" t="str">
        <f>INDEX(Table1[[#All],[Product Name]],MATCH(Sheet2!H134,Table1[[#All],[Order ID]],0))</f>
        <v>Keyboard</v>
      </c>
    </row>
    <row r="135" spans="1:11" x14ac:dyDescent="0.25">
      <c r="A135" s="6">
        <v>148500</v>
      </c>
      <c r="B135" t="s">
        <v>53</v>
      </c>
      <c r="F135" t="s">
        <v>27</v>
      </c>
      <c r="H135" t="s">
        <v>439</v>
      </c>
      <c r="I135" t="str">
        <f>VLOOKUP(H135,Table1[#All],8,FALSE)</f>
        <v>Computers</v>
      </c>
      <c r="J135" t="str" cm="1">
        <f t="array" ref="J135">_xlfn.XLOOKUP(H135,Table1[[#All],[Order ID]],Table1[[#All],[Brand]],0)</f>
        <v>Dell</v>
      </c>
      <c r="K135" t="str">
        <f>INDEX(Table1[[#All],[Product Name]],MATCH(Sheet2!H135,Table1[[#All],[Order ID]],0))</f>
        <v>Laptop</v>
      </c>
    </row>
    <row r="136" spans="1:11" x14ac:dyDescent="0.25">
      <c r="A136" s="5">
        <v>9975</v>
      </c>
      <c r="B136" t="s">
        <v>74</v>
      </c>
      <c r="F136" t="s">
        <v>27</v>
      </c>
      <c r="H136" t="s">
        <v>442</v>
      </c>
      <c r="I136" t="str">
        <f>VLOOKUP(H136,Table1[#All],8,FALSE)</f>
        <v>Audio</v>
      </c>
      <c r="J136" t="str" cm="1">
        <f t="array" ref="J136">_xlfn.XLOOKUP(H136,Table1[[#All],[Order ID]],Table1[[#All],[Brand]],0)</f>
        <v>Sony</v>
      </c>
      <c r="K136" t="str">
        <f>INDEX(Table1[[#All],[Product Name]],MATCH(Sheet2!H136,Table1[[#All],[Order ID]],0))</f>
        <v>Headphones</v>
      </c>
    </row>
    <row r="137" spans="1:11" x14ac:dyDescent="0.25">
      <c r="A137" s="6">
        <v>8550</v>
      </c>
      <c r="B137" t="s">
        <v>39</v>
      </c>
      <c r="F137" t="s">
        <v>40</v>
      </c>
      <c r="H137" t="s">
        <v>444</v>
      </c>
      <c r="I137" t="str">
        <f>VLOOKUP(H137,Table1[#All],8,FALSE)</f>
        <v>Office</v>
      </c>
      <c r="J137" t="str" cm="1">
        <f t="array" ref="J137">_xlfn.XLOOKUP(H137,Table1[[#All],[Order ID]],Table1[[#All],[Brand]],0)</f>
        <v>Nilkamal</v>
      </c>
      <c r="K137" t="str">
        <f>INDEX(Table1[[#All],[Product Name]],MATCH(Sheet2!H137,Table1[[#All],[Order ID]],0))</f>
        <v>Chair</v>
      </c>
    </row>
    <row r="138" spans="1:11" x14ac:dyDescent="0.25">
      <c r="A138" s="5">
        <v>3000</v>
      </c>
      <c r="B138" t="s">
        <v>68</v>
      </c>
      <c r="F138" t="s">
        <v>27</v>
      </c>
      <c r="H138" t="s">
        <v>447</v>
      </c>
      <c r="I138" t="str">
        <f>VLOOKUP(H138,Table1[#All],8,FALSE)</f>
        <v>Accessories</v>
      </c>
      <c r="J138" t="str" cm="1">
        <f t="array" ref="J138">_xlfn.XLOOKUP(H138,Table1[[#All],[Order ID]],Table1[[#All],[Brand]],0)</f>
        <v>HP</v>
      </c>
      <c r="K138" t="str">
        <f>INDEX(Table1[[#All],[Product Name]],MATCH(Sheet2!H138,Table1[[#All],[Order ID]],0))</f>
        <v>Keyboard</v>
      </c>
    </row>
    <row r="139" spans="1:11" x14ac:dyDescent="0.25">
      <c r="A139" s="6">
        <v>2040</v>
      </c>
      <c r="B139" t="s">
        <v>26</v>
      </c>
      <c r="F139" t="s">
        <v>27</v>
      </c>
      <c r="H139" t="s">
        <v>449</v>
      </c>
      <c r="I139" t="str">
        <f>VLOOKUP(H139,Table1[#All],8,FALSE)</f>
        <v>Accessories</v>
      </c>
      <c r="J139" t="str" cm="1">
        <f t="array" ref="J139">_xlfn.XLOOKUP(H139,Table1[[#All],[Order ID]],Table1[[#All],[Brand]],0)</f>
        <v>Logitech</v>
      </c>
      <c r="K139" t="str">
        <f>INDEX(Table1[[#All],[Product Name]],MATCH(Sheet2!H139,Table1[[#All],[Order ID]],0))</f>
        <v>Mouse</v>
      </c>
    </row>
    <row r="140" spans="1:11" x14ac:dyDescent="0.25">
      <c r="A140" s="5">
        <v>52250</v>
      </c>
      <c r="B140" t="s">
        <v>53</v>
      </c>
      <c r="F140" t="s">
        <v>27</v>
      </c>
      <c r="H140" t="s">
        <v>451</v>
      </c>
      <c r="I140" t="str">
        <f>VLOOKUP(H140,Table1[#All],8,FALSE)</f>
        <v>Computers</v>
      </c>
      <c r="J140" t="str" cm="1">
        <f t="array" ref="J140">_xlfn.XLOOKUP(H140,Table1[[#All],[Order ID]],Table1[[#All],[Brand]],0)</f>
        <v>Dell</v>
      </c>
      <c r="K140" t="str">
        <f>INDEX(Table1[[#All],[Product Name]],MATCH(Sheet2!H140,Table1[[#All],[Order ID]],0))</f>
        <v>Laptop</v>
      </c>
    </row>
    <row r="141" spans="1:11" x14ac:dyDescent="0.25">
      <c r="A141" s="6">
        <v>9450</v>
      </c>
      <c r="B141" t="s">
        <v>74</v>
      </c>
      <c r="F141" t="s">
        <v>27</v>
      </c>
      <c r="H141" t="s">
        <v>453</v>
      </c>
      <c r="I141" t="str">
        <f>VLOOKUP(H141,Table1[#All],8,FALSE)</f>
        <v>Audio</v>
      </c>
      <c r="J141" t="str" cm="1">
        <f t="array" ref="J141">_xlfn.XLOOKUP(H141,Table1[[#All],[Order ID]],Table1[[#All],[Brand]],0)</f>
        <v>Sony</v>
      </c>
      <c r="K141" t="str">
        <f>INDEX(Table1[[#All],[Product Name]],MATCH(Sheet2!H141,Table1[[#All],[Order ID]],0))</f>
        <v>Headphones</v>
      </c>
    </row>
    <row r="142" spans="1:11" x14ac:dyDescent="0.25">
      <c r="A142" s="5">
        <v>16625</v>
      </c>
      <c r="B142" t="s">
        <v>74</v>
      </c>
      <c r="F142" t="s">
        <v>27</v>
      </c>
      <c r="H142" t="s">
        <v>456</v>
      </c>
      <c r="I142" t="str">
        <f>VLOOKUP(H142,Table1[#All],8,FALSE)</f>
        <v>Audio</v>
      </c>
      <c r="J142" t="str" cm="1">
        <f t="array" ref="J142">_xlfn.XLOOKUP(H142,Table1[[#All],[Order ID]],Table1[[#All],[Brand]],0)</f>
        <v>Sony</v>
      </c>
      <c r="K142" t="str">
        <f>INDEX(Table1[[#All],[Product Name]],MATCH(Sheet2!H142,Table1[[#All],[Order ID]],0))</f>
        <v>Headphones</v>
      </c>
    </row>
    <row r="143" spans="1:11" x14ac:dyDescent="0.25">
      <c r="A143" s="6">
        <v>6300</v>
      </c>
      <c r="B143" t="s">
        <v>74</v>
      </c>
      <c r="F143" t="s">
        <v>27</v>
      </c>
      <c r="H143" t="s">
        <v>459</v>
      </c>
      <c r="I143" t="str">
        <f>VLOOKUP(H143,Table1[#All],8,FALSE)</f>
        <v>Audio</v>
      </c>
      <c r="J143" t="str" cm="1">
        <f t="array" ref="J143">_xlfn.XLOOKUP(H143,Table1[[#All],[Order ID]],Table1[[#All],[Brand]],0)</f>
        <v>Sony</v>
      </c>
      <c r="K143" t="str">
        <f>INDEX(Table1[[#All],[Product Name]],MATCH(Sheet2!H143,Table1[[#All],[Order ID]],0))</f>
        <v>Headphones</v>
      </c>
    </row>
    <row r="144" spans="1:11" x14ac:dyDescent="0.25">
      <c r="A144" s="5">
        <v>2700</v>
      </c>
      <c r="B144" t="s">
        <v>68</v>
      </c>
      <c r="F144" t="s">
        <v>27</v>
      </c>
      <c r="H144" t="s">
        <v>462</v>
      </c>
      <c r="I144" t="str">
        <f>VLOOKUP(H144,Table1[#All],8,FALSE)</f>
        <v>Accessories</v>
      </c>
      <c r="J144" t="str" cm="1">
        <f t="array" ref="J144">_xlfn.XLOOKUP(H144,Table1[[#All],[Order ID]],Table1[[#All],[Brand]],0)</f>
        <v>HP</v>
      </c>
      <c r="K144" t="str">
        <f>INDEX(Table1[[#All],[Product Name]],MATCH(Sheet2!H144,Table1[[#All],[Order ID]],0))</f>
        <v>Keyboard</v>
      </c>
    </row>
    <row r="145" spans="1:11" x14ac:dyDescent="0.25">
      <c r="A145" s="6">
        <v>8925</v>
      </c>
      <c r="B145" t="s">
        <v>74</v>
      </c>
      <c r="F145" t="s">
        <v>27</v>
      </c>
      <c r="H145" t="s">
        <v>465</v>
      </c>
      <c r="I145" t="str">
        <f>VLOOKUP(H145,Table1[#All],8,FALSE)</f>
        <v>Audio</v>
      </c>
      <c r="J145" t="str" cm="1">
        <f t="array" ref="J145">_xlfn.XLOOKUP(H145,Table1[[#All],[Order ID]],Table1[[#All],[Brand]],0)</f>
        <v>Sony</v>
      </c>
      <c r="K145" t="str">
        <f>INDEX(Table1[[#All],[Product Name]],MATCH(Sheet2!H145,Table1[[#All],[Order ID]],0))</f>
        <v>Headphones</v>
      </c>
    </row>
    <row r="146" spans="1:11" x14ac:dyDescent="0.25">
      <c r="A146" s="5">
        <v>2280</v>
      </c>
      <c r="B146" t="s">
        <v>26</v>
      </c>
      <c r="F146" t="s">
        <v>27</v>
      </c>
      <c r="H146" t="s">
        <v>467</v>
      </c>
      <c r="I146" t="str">
        <f>VLOOKUP(H146,Table1[#All],8,FALSE)</f>
        <v>Accessories</v>
      </c>
      <c r="J146" t="str" cm="1">
        <f t="array" ref="J146">_xlfn.XLOOKUP(H146,Table1[[#All],[Order ID]],Table1[[#All],[Brand]],0)</f>
        <v>Logitech</v>
      </c>
      <c r="K146" t="str">
        <f>INDEX(Table1[[#All],[Product Name]],MATCH(Sheet2!H146,Table1[[#All],[Order ID]],0))</f>
        <v>Mouse</v>
      </c>
    </row>
    <row r="147" spans="1:11" x14ac:dyDescent="0.25">
      <c r="A147" s="6">
        <v>3150</v>
      </c>
      <c r="B147" t="s">
        <v>74</v>
      </c>
      <c r="F147" t="s">
        <v>27</v>
      </c>
      <c r="H147" t="s">
        <v>469</v>
      </c>
      <c r="I147" t="str">
        <f>VLOOKUP(H147,Table1[#All],8,FALSE)</f>
        <v>Audio</v>
      </c>
      <c r="J147" t="str" cm="1">
        <f t="array" ref="J147">_xlfn.XLOOKUP(H147,Table1[[#All],[Order ID]],Table1[[#All],[Brand]],0)</f>
        <v>Sony</v>
      </c>
      <c r="K147" t="str">
        <f>INDEX(Table1[[#All],[Product Name]],MATCH(Sheet2!H147,Table1[[#All],[Order ID]],0))</f>
        <v>Headphones</v>
      </c>
    </row>
    <row r="148" spans="1:11" x14ac:dyDescent="0.25">
      <c r="A148" s="5">
        <v>3200</v>
      </c>
      <c r="B148" t="s">
        <v>26</v>
      </c>
      <c r="F148" t="s">
        <v>27</v>
      </c>
      <c r="H148" t="s">
        <v>472</v>
      </c>
      <c r="I148" t="str">
        <f>VLOOKUP(H148,Table1[#All],8,FALSE)</f>
        <v>Accessories</v>
      </c>
      <c r="J148" t="str" cm="1">
        <f t="array" ref="J148">_xlfn.XLOOKUP(H148,Table1[[#All],[Order ID]],Table1[[#All],[Brand]],0)</f>
        <v>Logitech</v>
      </c>
      <c r="K148" t="str">
        <f>INDEX(Table1[[#All],[Product Name]],MATCH(Sheet2!H148,Table1[[#All],[Order ID]],0))</f>
        <v>Mouse</v>
      </c>
    </row>
    <row r="149" spans="1:11" x14ac:dyDescent="0.25">
      <c r="A149" s="6">
        <v>2550</v>
      </c>
      <c r="B149" t="s">
        <v>68</v>
      </c>
      <c r="F149" t="s">
        <v>27</v>
      </c>
      <c r="H149" t="s">
        <v>475</v>
      </c>
      <c r="I149" t="str">
        <f>VLOOKUP(H149,Table1[#All],8,FALSE)</f>
        <v>Accessories</v>
      </c>
      <c r="J149" t="str" cm="1">
        <f t="array" ref="J149">_xlfn.XLOOKUP(H149,Table1[[#All],[Order ID]],Table1[[#All],[Brand]],0)</f>
        <v>HP</v>
      </c>
      <c r="K149" t="str">
        <f>INDEX(Table1[[#All],[Product Name]],MATCH(Sheet2!H149,Table1[[#All],[Order ID]],0))</f>
        <v>Keyboard</v>
      </c>
    </row>
    <row r="150" spans="1:11" x14ac:dyDescent="0.25">
      <c r="A150" s="5">
        <v>21375</v>
      </c>
      <c r="B150" t="s">
        <v>39</v>
      </c>
      <c r="F150" t="s">
        <v>40</v>
      </c>
      <c r="H150" t="s">
        <v>477</v>
      </c>
      <c r="I150" t="str">
        <f>VLOOKUP(H150,Table1[#All],8,FALSE)</f>
        <v>Office</v>
      </c>
      <c r="J150" t="str" cm="1">
        <f t="array" ref="J150">_xlfn.XLOOKUP(H150,Table1[[#All],[Order ID]],Table1[[#All],[Brand]],0)</f>
        <v>Nilkamal</v>
      </c>
      <c r="K150" t="str">
        <f>INDEX(Table1[[#All],[Product Name]],MATCH(Sheet2!H150,Table1[[#All],[Order ID]],0))</f>
        <v>Chair</v>
      </c>
    </row>
    <row r="151" spans="1:11" x14ac:dyDescent="0.25">
      <c r="A151" s="6">
        <v>5950</v>
      </c>
      <c r="B151" t="s">
        <v>74</v>
      </c>
      <c r="F151" t="s">
        <v>27</v>
      </c>
      <c r="H151" t="s">
        <v>480</v>
      </c>
      <c r="I151" t="str">
        <f>VLOOKUP(H151,Table1[#All],8,FALSE)</f>
        <v>Audio</v>
      </c>
      <c r="J151" t="str" cm="1">
        <f t="array" ref="J151">_xlfn.XLOOKUP(H151,Table1[[#All],[Order ID]],Table1[[#All],[Brand]],0)</f>
        <v>Sony</v>
      </c>
      <c r="K151" t="str">
        <f>INDEX(Table1[[#All],[Product Name]],MATCH(Sheet2!H151,Table1[[#All],[Order ID]],0))</f>
        <v>Headphones</v>
      </c>
    </row>
    <row r="152" spans="1:11" x14ac:dyDescent="0.25">
      <c r="A152" s="5">
        <v>2400</v>
      </c>
      <c r="B152" t="s">
        <v>26</v>
      </c>
      <c r="F152" t="s">
        <v>27</v>
      </c>
      <c r="H152" t="s">
        <v>483</v>
      </c>
      <c r="I152" t="str">
        <f>VLOOKUP(H152,Table1[#All],8,FALSE)</f>
        <v>Accessories</v>
      </c>
      <c r="J152" t="str" cm="1">
        <f t="array" ref="J152">_xlfn.XLOOKUP(H152,Table1[[#All],[Order ID]],Table1[[#All],[Brand]],0)</f>
        <v>Logitech</v>
      </c>
      <c r="K152" t="str">
        <f>INDEX(Table1[[#All],[Product Name]],MATCH(Sheet2!H152,Table1[[#All],[Order ID]],0))</f>
        <v>Mouse</v>
      </c>
    </row>
    <row r="153" spans="1:11" x14ac:dyDescent="0.25">
      <c r="A153" s="6">
        <v>13300</v>
      </c>
      <c r="B153" t="s">
        <v>74</v>
      </c>
      <c r="F153" t="s">
        <v>27</v>
      </c>
      <c r="H153" t="s">
        <v>486</v>
      </c>
      <c r="I153" t="str">
        <f>VLOOKUP(H153,Table1[#All],8,FALSE)</f>
        <v>Audio</v>
      </c>
      <c r="J153" t="str" cm="1">
        <f t="array" ref="J153">_xlfn.XLOOKUP(H153,Table1[[#All],[Order ID]],Table1[[#All],[Brand]],0)</f>
        <v>Sony</v>
      </c>
      <c r="K153" t="str">
        <f>INDEX(Table1[[#All],[Product Name]],MATCH(Sheet2!H153,Table1[[#All],[Order ID]],0))</f>
        <v>Headphones</v>
      </c>
    </row>
    <row r="154" spans="1:11" x14ac:dyDescent="0.25">
      <c r="A154" s="5">
        <v>1425</v>
      </c>
      <c r="B154" t="s">
        <v>68</v>
      </c>
      <c r="F154" t="s">
        <v>27</v>
      </c>
      <c r="H154" t="s">
        <v>488</v>
      </c>
      <c r="I154" t="str">
        <f>VLOOKUP(H154,Table1[#All],8,FALSE)</f>
        <v>Accessories</v>
      </c>
      <c r="J154" t="str" cm="1">
        <f t="array" ref="J154">_xlfn.XLOOKUP(H154,Table1[[#All],[Order ID]],Table1[[#All],[Brand]],0)</f>
        <v>HP</v>
      </c>
      <c r="K154" t="str">
        <f>INDEX(Table1[[#All],[Product Name]],MATCH(Sheet2!H154,Table1[[#All],[Order ID]],0))</f>
        <v>Keyboard</v>
      </c>
    </row>
    <row r="155" spans="1:11" x14ac:dyDescent="0.25">
      <c r="A155" s="6">
        <v>52250</v>
      </c>
      <c r="B155" t="s">
        <v>53</v>
      </c>
      <c r="F155" t="s">
        <v>27</v>
      </c>
      <c r="H155" t="s">
        <v>491</v>
      </c>
      <c r="I155" t="str">
        <f>VLOOKUP(H155,Table1[#All],8,FALSE)</f>
        <v>Computers</v>
      </c>
      <c r="J155" t="str" cm="1">
        <f t="array" ref="J155">_xlfn.XLOOKUP(H155,Table1[[#All],[Order ID]],Table1[[#All],[Brand]],0)</f>
        <v>Dell</v>
      </c>
      <c r="K155" t="str">
        <f>INDEX(Table1[[#All],[Product Name]],MATCH(Sheet2!H155,Table1[[#All],[Order ID]],0))</f>
        <v>Laptop</v>
      </c>
    </row>
    <row r="156" spans="1:11" x14ac:dyDescent="0.25">
      <c r="A156" s="5">
        <v>7650</v>
      </c>
      <c r="B156" t="s">
        <v>39</v>
      </c>
      <c r="F156" t="s">
        <v>40</v>
      </c>
      <c r="H156" t="s">
        <v>493</v>
      </c>
      <c r="I156" t="str">
        <f>VLOOKUP(H156,Table1[#All],8,FALSE)</f>
        <v>Office</v>
      </c>
      <c r="J156" t="str" cm="1">
        <f t="array" ref="J156">_xlfn.XLOOKUP(H156,Table1[[#All],[Order ID]],Table1[[#All],[Brand]],0)</f>
        <v>Nilkamal</v>
      </c>
      <c r="K156" t="str">
        <f>INDEX(Table1[[#All],[Product Name]],MATCH(Sheet2!H156,Table1[[#All],[Order ID]],0))</f>
        <v>Chair</v>
      </c>
    </row>
    <row r="157" spans="1:11" x14ac:dyDescent="0.25">
      <c r="A157" s="6">
        <v>165000</v>
      </c>
      <c r="B157" t="s">
        <v>53</v>
      </c>
      <c r="F157" t="s">
        <v>27</v>
      </c>
      <c r="H157" t="s">
        <v>496</v>
      </c>
      <c r="I157" t="str">
        <f>VLOOKUP(H157,Table1[#All],8,FALSE)</f>
        <v>Computers</v>
      </c>
      <c r="J157" t="str" cm="1">
        <f t="array" ref="J157">_xlfn.XLOOKUP(H157,Table1[[#All],[Order ID]],Table1[[#All],[Brand]],0)</f>
        <v>Dell</v>
      </c>
      <c r="K157" t="str">
        <f>INDEX(Table1[[#All],[Product Name]],MATCH(Sheet2!H157,Table1[[#All],[Order ID]],0))</f>
        <v>Laptop</v>
      </c>
    </row>
    <row r="158" spans="1:11" x14ac:dyDescent="0.25">
      <c r="A158" s="5">
        <v>165000</v>
      </c>
      <c r="B158" t="s">
        <v>53</v>
      </c>
      <c r="F158" t="s">
        <v>27</v>
      </c>
      <c r="H158" t="s">
        <v>498</v>
      </c>
      <c r="I158" t="str">
        <f>VLOOKUP(H158,Table1[#All],8,FALSE)</f>
        <v>Computers</v>
      </c>
      <c r="J158" t="str" cm="1">
        <f t="array" ref="J158">_xlfn.XLOOKUP(H158,Table1[[#All],[Order ID]],Table1[[#All],[Brand]],0)</f>
        <v>Dell</v>
      </c>
      <c r="K158" t="str">
        <f>INDEX(Table1[[#All],[Product Name]],MATCH(Sheet2!H158,Table1[[#All],[Order ID]],0))</f>
        <v>Laptop</v>
      </c>
    </row>
    <row r="159" spans="1:11" x14ac:dyDescent="0.25">
      <c r="A159" s="6">
        <v>12600</v>
      </c>
      <c r="B159" t="s">
        <v>74</v>
      </c>
      <c r="F159" t="s">
        <v>27</v>
      </c>
      <c r="H159" t="s">
        <v>499</v>
      </c>
      <c r="I159" t="str">
        <f>VLOOKUP(H159,Table1[#All],8,FALSE)</f>
        <v>Audio</v>
      </c>
      <c r="J159" t="str" cm="1">
        <f t="array" ref="J159">_xlfn.XLOOKUP(H159,Table1[[#All],[Order ID]],Table1[[#All],[Brand]],0)</f>
        <v>Sony</v>
      </c>
      <c r="K159" t="str">
        <f>INDEX(Table1[[#All],[Product Name]],MATCH(Sheet2!H159,Table1[[#All],[Order ID]],0))</f>
        <v>Headphones</v>
      </c>
    </row>
    <row r="160" spans="1:11" x14ac:dyDescent="0.25">
      <c r="A160" s="5">
        <v>15750</v>
      </c>
      <c r="B160" t="s">
        <v>74</v>
      </c>
      <c r="F160" t="s">
        <v>27</v>
      </c>
      <c r="H160" t="s">
        <v>502</v>
      </c>
      <c r="I160" t="str">
        <f>VLOOKUP(H160,Table1[#All],8,FALSE)</f>
        <v>Audio</v>
      </c>
      <c r="J160" t="str" cm="1">
        <f t="array" ref="J160">_xlfn.XLOOKUP(H160,Table1[[#All],[Order ID]],Table1[[#All],[Brand]],0)</f>
        <v>Sony</v>
      </c>
      <c r="K160" t="str">
        <f>INDEX(Table1[[#All],[Product Name]],MATCH(Sheet2!H160,Table1[[#All],[Order ID]],0))</f>
        <v>Headphones</v>
      </c>
    </row>
    <row r="161" spans="1:11" x14ac:dyDescent="0.25">
      <c r="A161" s="6">
        <v>18000</v>
      </c>
      <c r="B161" t="s">
        <v>39</v>
      </c>
      <c r="F161" t="s">
        <v>40</v>
      </c>
      <c r="H161" t="s">
        <v>505</v>
      </c>
      <c r="I161" t="str">
        <f>VLOOKUP(H161,Table1[#All],8,FALSE)</f>
        <v>Office</v>
      </c>
      <c r="J161" t="str" cm="1">
        <f t="array" ref="J161">_xlfn.XLOOKUP(H161,Table1[[#All],[Order ID]],Table1[[#All],[Brand]],0)</f>
        <v>Nilkamal</v>
      </c>
      <c r="K161" t="str">
        <f>INDEX(Table1[[#All],[Product Name]],MATCH(Sheet2!H161,Table1[[#All],[Order ID]],0))</f>
        <v>Chair</v>
      </c>
    </row>
    <row r="162" spans="1:11" x14ac:dyDescent="0.25">
      <c r="A162" s="5">
        <v>18000</v>
      </c>
      <c r="B162" t="s">
        <v>39</v>
      </c>
      <c r="F162" t="s">
        <v>40</v>
      </c>
      <c r="H162" t="s">
        <v>508</v>
      </c>
      <c r="I162" t="str">
        <f>VLOOKUP(H162,Table1[#All],8,FALSE)</f>
        <v>Office</v>
      </c>
      <c r="J162" t="str" cm="1">
        <f t="array" ref="J162">_xlfn.XLOOKUP(H162,Table1[[#All],[Order ID]],Table1[[#All],[Brand]],0)</f>
        <v>Nilkamal</v>
      </c>
      <c r="K162" t="str">
        <f>INDEX(Table1[[#All],[Product Name]],MATCH(Sheet2!H162,Table1[[#All],[Order ID]],0))</f>
        <v>Chair</v>
      </c>
    </row>
    <row r="163" spans="1:11" x14ac:dyDescent="0.25">
      <c r="A163" s="6">
        <v>1275</v>
      </c>
      <c r="B163" t="s">
        <v>68</v>
      </c>
      <c r="F163" t="s">
        <v>27</v>
      </c>
      <c r="H163" t="s">
        <v>510</v>
      </c>
      <c r="I163" t="str">
        <f>VLOOKUP(H163,Table1[#All],8,FALSE)</f>
        <v>Accessories</v>
      </c>
      <c r="J163" t="str" cm="1">
        <f t="array" ref="J163">_xlfn.XLOOKUP(H163,Table1[[#All],[Order ID]],Table1[[#All],[Brand]],0)</f>
        <v>HP</v>
      </c>
      <c r="K163" t="str">
        <f>INDEX(Table1[[#All],[Product Name]],MATCH(Sheet2!H163,Table1[[#All],[Order ID]],0))</f>
        <v>Keyboard</v>
      </c>
    </row>
    <row r="164" spans="1:11" x14ac:dyDescent="0.25">
      <c r="A164" s="5">
        <v>3325</v>
      </c>
      <c r="B164" t="s">
        <v>74</v>
      </c>
      <c r="F164" t="s">
        <v>27</v>
      </c>
      <c r="H164" t="s">
        <v>513</v>
      </c>
      <c r="I164" t="str">
        <f>VLOOKUP(H164,Table1[#All],8,FALSE)</f>
        <v>Audio</v>
      </c>
      <c r="J164" t="str" cm="1">
        <f t="array" ref="J164">_xlfn.XLOOKUP(H164,Table1[[#All],[Order ID]],Table1[[#All],[Brand]],0)</f>
        <v>Sony</v>
      </c>
      <c r="K164" t="str">
        <f>INDEX(Table1[[#All],[Product Name]],MATCH(Sheet2!H164,Table1[[#All],[Order ID]],0))</f>
        <v>Headphones</v>
      </c>
    </row>
    <row r="165" spans="1:11" x14ac:dyDescent="0.25">
      <c r="A165" s="6">
        <v>800</v>
      </c>
      <c r="B165" t="s">
        <v>26</v>
      </c>
      <c r="F165" t="s">
        <v>27</v>
      </c>
      <c r="H165" t="s">
        <v>516</v>
      </c>
      <c r="I165" t="str">
        <f>VLOOKUP(H165,Table1[#All],8,FALSE)</f>
        <v>Accessories</v>
      </c>
      <c r="J165" t="str" cm="1">
        <f t="array" ref="J165">_xlfn.XLOOKUP(H165,Table1[[#All],[Order ID]],Table1[[#All],[Brand]],0)</f>
        <v>Logitech</v>
      </c>
      <c r="K165" t="str">
        <f>INDEX(Table1[[#All],[Product Name]],MATCH(Sheet2!H165,Table1[[#All],[Order ID]],0))</f>
        <v>Mouse</v>
      </c>
    </row>
    <row r="166" spans="1:11" x14ac:dyDescent="0.25">
      <c r="A166" s="5">
        <v>11900</v>
      </c>
      <c r="B166" t="s">
        <v>74</v>
      </c>
      <c r="F166" t="s">
        <v>27</v>
      </c>
      <c r="H166" t="s">
        <v>519</v>
      </c>
      <c r="I166" t="str">
        <f>VLOOKUP(H166,Table1[#All],8,FALSE)</f>
        <v>Audio</v>
      </c>
      <c r="J166" t="str" cm="1">
        <f t="array" ref="J166">_xlfn.XLOOKUP(H166,Table1[[#All],[Order ID]],Table1[[#All],[Brand]],0)</f>
        <v>Sony</v>
      </c>
      <c r="K166" t="str">
        <f>INDEX(Table1[[#All],[Product Name]],MATCH(Sheet2!H166,Table1[[#All],[Order ID]],0))</f>
        <v>Headphones</v>
      </c>
    </row>
    <row r="167" spans="1:11" x14ac:dyDescent="0.25">
      <c r="A167" s="6">
        <v>3325</v>
      </c>
      <c r="B167" t="s">
        <v>74</v>
      </c>
      <c r="F167" t="s">
        <v>27</v>
      </c>
      <c r="H167" t="s">
        <v>521</v>
      </c>
      <c r="I167" t="str">
        <f>VLOOKUP(H167,Table1[#All],8,FALSE)</f>
        <v>Audio</v>
      </c>
      <c r="J167" t="str" cm="1">
        <f t="array" ref="J167">_xlfn.XLOOKUP(H167,Table1[[#All],[Order ID]],Table1[[#All],[Brand]],0)</f>
        <v>Sony</v>
      </c>
      <c r="K167" t="str">
        <f>INDEX(Table1[[#All],[Product Name]],MATCH(Sheet2!H167,Table1[[#All],[Order ID]],0))</f>
        <v>Headphones</v>
      </c>
    </row>
    <row r="168" spans="1:11" x14ac:dyDescent="0.25">
      <c r="A168" s="5">
        <v>800</v>
      </c>
      <c r="B168" t="s">
        <v>26</v>
      </c>
      <c r="F168" t="s">
        <v>27</v>
      </c>
      <c r="H168" t="s">
        <v>524</v>
      </c>
      <c r="I168" t="str">
        <f>VLOOKUP(H168,Table1[#All],8,FALSE)</f>
        <v>Accessories</v>
      </c>
      <c r="J168" t="str" cm="1">
        <f t="array" ref="J168">_xlfn.XLOOKUP(H168,Table1[[#All],[Order ID]],Table1[[#All],[Brand]],0)</f>
        <v>Logitech</v>
      </c>
      <c r="K168" t="str">
        <f>INDEX(Table1[[#All],[Product Name]],MATCH(Sheet2!H168,Table1[[#All],[Order ID]],0))</f>
        <v>Mouse</v>
      </c>
    </row>
    <row r="169" spans="1:11" x14ac:dyDescent="0.25">
      <c r="A169" s="6">
        <v>5400</v>
      </c>
      <c r="B169" t="s">
        <v>68</v>
      </c>
      <c r="F169" t="s">
        <v>27</v>
      </c>
      <c r="H169" t="s">
        <v>527</v>
      </c>
      <c r="I169" t="str">
        <f>VLOOKUP(H169,Table1[#All],8,FALSE)</f>
        <v>Accessories</v>
      </c>
      <c r="J169" t="str" cm="1">
        <f t="array" ref="J169">_xlfn.XLOOKUP(H169,Table1[[#All],[Order ID]],Table1[[#All],[Brand]],0)</f>
        <v>HP</v>
      </c>
      <c r="K169" t="str">
        <f>INDEX(Table1[[#All],[Product Name]],MATCH(Sheet2!H169,Table1[[#All],[Order ID]],0))</f>
        <v>Keyboard</v>
      </c>
    </row>
    <row r="170" spans="1:11" x14ac:dyDescent="0.25">
      <c r="A170" s="5">
        <v>49500</v>
      </c>
      <c r="B170" t="s">
        <v>53</v>
      </c>
      <c r="F170" t="s">
        <v>27</v>
      </c>
      <c r="H170" t="s">
        <v>530</v>
      </c>
      <c r="I170" t="str">
        <f>VLOOKUP(H170,Table1[#All],8,FALSE)</f>
        <v>Computers</v>
      </c>
      <c r="J170" t="str" cm="1">
        <f t="array" ref="J170">_xlfn.XLOOKUP(H170,Table1[[#All],[Order ID]],Table1[[#All],[Brand]],0)</f>
        <v>Dell</v>
      </c>
      <c r="K170" t="str">
        <f>INDEX(Table1[[#All],[Product Name]],MATCH(Sheet2!H170,Table1[[#All],[Order ID]],0))</f>
        <v>Laptop</v>
      </c>
    </row>
    <row r="171" spans="1:11" x14ac:dyDescent="0.25">
      <c r="A171" s="6">
        <v>16625</v>
      </c>
      <c r="B171" t="s">
        <v>74</v>
      </c>
      <c r="F171" t="s">
        <v>27</v>
      </c>
      <c r="H171" t="s">
        <v>532</v>
      </c>
      <c r="I171" t="str">
        <f>VLOOKUP(H171,Table1[#All],8,FALSE)</f>
        <v>Audio</v>
      </c>
      <c r="J171" t="str" cm="1">
        <f t="array" ref="J171">_xlfn.XLOOKUP(H171,Table1[[#All],[Order ID]],Table1[[#All],[Brand]],0)</f>
        <v>Sony</v>
      </c>
      <c r="K171" t="str">
        <f>INDEX(Table1[[#All],[Product Name]],MATCH(Sheet2!H171,Table1[[#All],[Order ID]],0))</f>
        <v>Headphones</v>
      </c>
    </row>
    <row r="172" spans="1:11" x14ac:dyDescent="0.25">
      <c r="A172" s="5">
        <v>140250</v>
      </c>
      <c r="B172" t="s">
        <v>53</v>
      </c>
      <c r="F172" t="s">
        <v>27</v>
      </c>
      <c r="H172" t="s">
        <v>535</v>
      </c>
      <c r="I172" t="str">
        <f>VLOOKUP(H172,Table1[#All],8,FALSE)</f>
        <v>Computers</v>
      </c>
      <c r="J172" t="str" cm="1">
        <f t="array" ref="J172">_xlfn.XLOOKUP(H172,Table1[[#All],[Order ID]],Table1[[#All],[Brand]],0)</f>
        <v>Dell</v>
      </c>
      <c r="K172" t="str">
        <f>INDEX(Table1[[#All],[Product Name]],MATCH(Sheet2!H172,Table1[[#All],[Order ID]],0))</f>
        <v>Laptop</v>
      </c>
    </row>
    <row r="173" spans="1:11" x14ac:dyDescent="0.25">
      <c r="A173" s="6">
        <v>7000</v>
      </c>
      <c r="B173" t="s">
        <v>74</v>
      </c>
      <c r="F173" t="s">
        <v>27</v>
      </c>
      <c r="H173" t="s">
        <v>537</v>
      </c>
      <c r="I173" t="str">
        <f>VLOOKUP(H173,Table1[#All],8,FALSE)</f>
        <v>Audio</v>
      </c>
      <c r="J173" t="str" cm="1">
        <f t="array" ref="J173">_xlfn.XLOOKUP(H173,Table1[[#All],[Order ID]],Table1[[#All],[Brand]],0)</f>
        <v>Sony</v>
      </c>
      <c r="K173" t="str">
        <f>INDEX(Table1[[#All],[Product Name]],MATCH(Sheet2!H173,Table1[[#All],[Order ID]],0))</f>
        <v>Headphones</v>
      </c>
    </row>
    <row r="174" spans="1:11" x14ac:dyDescent="0.25">
      <c r="A174" s="5">
        <v>17500</v>
      </c>
      <c r="B174" t="s">
        <v>74</v>
      </c>
      <c r="F174" t="s">
        <v>27</v>
      </c>
      <c r="H174" t="s">
        <v>539</v>
      </c>
      <c r="I174" t="str">
        <f>VLOOKUP(H174,Table1[#All],8,FALSE)</f>
        <v>Audio</v>
      </c>
      <c r="J174" t="str" cm="1">
        <f t="array" ref="J174">_xlfn.XLOOKUP(H174,Table1[[#All],[Order ID]],Table1[[#All],[Brand]],0)</f>
        <v>Sony</v>
      </c>
      <c r="K174" t="str">
        <f>INDEX(Table1[[#All],[Product Name]],MATCH(Sheet2!H174,Table1[[#All],[Order ID]],0))</f>
        <v>Headphones</v>
      </c>
    </row>
    <row r="175" spans="1:11" x14ac:dyDescent="0.25">
      <c r="A175" s="6">
        <v>8550</v>
      </c>
      <c r="B175" t="s">
        <v>39</v>
      </c>
      <c r="F175" t="s">
        <v>40</v>
      </c>
      <c r="H175" t="s">
        <v>542</v>
      </c>
      <c r="I175" t="str">
        <f>VLOOKUP(H175,Table1[#All],8,FALSE)</f>
        <v>Office</v>
      </c>
      <c r="J175" t="str" cm="1">
        <f t="array" ref="J175">_xlfn.XLOOKUP(H175,Table1[[#All],[Order ID]],Table1[[#All],[Brand]],0)</f>
        <v>Nilkamal</v>
      </c>
      <c r="K175" t="str">
        <f>INDEX(Table1[[#All],[Product Name]],MATCH(Sheet2!H175,Table1[[#All],[Order ID]],0))</f>
        <v>Chair</v>
      </c>
    </row>
    <row r="176" spans="1:11" x14ac:dyDescent="0.25">
      <c r="A176" s="5">
        <v>2160</v>
      </c>
      <c r="B176" t="s">
        <v>26</v>
      </c>
      <c r="F176" t="s">
        <v>27</v>
      </c>
      <c r="H176" t="s">
        <v>545</v>
      </c>
      <c r="I176" t="str">
        <f>VLOOKUP(H176,Table1[#All],8,FALSE)</f>
        <v>Accessories</v>
      </c>
      <c r="J176" t="str" cm="1">
        <f t="array" ref="J176">_xlfn.XLOOKUP(H176,Table1[[#All],[Order ID]],Table1[[#All],[Brand]],0)</f>
        <v>Logitech</v>
      </c>
      <c r="K176" t="str">
        <f>INDEX(Table1[[#All],[Product Name]],MATCH(Sheet2!H176,Table1[[#All],[Order ID]],0))</f>
        <v>Mouse</v>
      </c>
    </row>
    <row r="177" spans="1:11" x14ac:dyDescent="0.25">
      <c r="A177" s="6">
        <v>7500</v>
      </c>
      <c r="B177" t="s">
        <v>68</v>
      </c>
      <c r="F177" t="s">
        <v>27</v>
      </c>
      <c r="H177" t="s">
        <v>548</v>
      </c>
      <c r="I177" t="str">
        <f>VLOOKUP(H177,Table1[#All],8,FALSE)</f>
        <v>Accessories</v>
      </c>
      <c r="J177" t="str" cm="1">
        <f t="array" ref="J177">_xlfn.XLOOKUP(H177,Table1[[#All],[Order ID]],Table1[[#All],[Brand]],0)</f>
        <v>HP</v>
      </c>
      <c r="K177" t="str">
        <f>INDEX(Table1[[#All],[Product Name]],MATCH(Sheet2!H177,Table1[[#All],[Order ID]],0))</f>
        <v>Keyboard</v>
      </c>
    </row>
    <row r="178" spans="1:11" x14ac:dyDescent="0.25">
      <c r="A178" s="5">
        <v>4500</v>
      </c>
      <c r="B178" t="s">
        <v>39</v>
      </c>
      <c r="F178" t="s">
        <v>40</v>
      </c>
      <c r="H178" t="s">
        <v>551</v>
      </c>
      <c r="I178" t="str">
        <f>VLOOKUP(H178,Table1[#All],8,FALSE)</f>
        <v>Office</v>
      </c>
      <c r="J178" t="str" cm="1">
        <f t="array" ref="J178">_xlfn.XLOOKUP(H178,Table1[[#All],[Order ID]],Table1[[#All],[Brand]],0)</f>
        <v>Nilkamal</v>
      </c>
      <c r="K178" t="str">
        <f>INDEX(Table1[[#All],[Product Name]],MATCH(Sheet2!H178,Table1[[#All],[Order ID]],0))</f>
        <v>Chair</v>
      </c>
    </row>
    <row r="179" spans="1:11" x14ac:dyDescent="0.25">
      <c r="A179" s="6">
        <v>6300</v>
      </c>
      <c r="B179" t="s">
        <v>74</v>
      </c>
      <c r="F179" t="s">
        <v>27</v>
      </c>
      <c r="H179" t="s">
        <v>553</v>
      </c>
      <c r="I179" t="str">
        <f>VLOOKUP(H179,Table1[#All],8,FALSE)</f>
        <v>Audio</v>
      </c>
      <c r="J179" t="str" cm="1">
        <f t="array" ref="J179">_xlfn.XLOOKUP(H179,Table1[[#All],[Order ID]],Table1[[#All],[Brand]],0)</f>
        <v>Sony</v>
      </c>
      <c r="K179" t="str">
        <f>INDEX(Table1[[#All],[Product Name]],MATCH(Sheet2!H179,Table1[[#All],[Order ID]],0))</f>
        <v>Headphones</v>
      </c>
    </row>
    <row r="180" spans="1:11" x14ac:dyDescent="0.25">
      <c r="A180" s="5">
        <v>1440</v>
      </c>
      <c r="B180" t="s">
        <v>26</v>
      </c>
      <c r="F180" t="s">
        <v>27</v>
      </c>
      <c r="H180" t="s">
        <v>555</v>
      </c>
      <c r="I180" t="str">
        <f>VLOOKUP(H180,Table1[#All],8,FALSE)</f>
        <v>Accessories</v>
      </c>
      <c r="J180" t="str" cm="1">
        <f t="array" ref="J180">_xlfn.XLOOKUP(H180,Table1[[#All],[Order ID]],Table1[[#All],[Brand]],0)</f>
        <v>Logitech</v>
      </c>
      <c r="K180" t="str">
        <f>INDEX(Table1[[#All],[Product Name]],MATCH(Sheet2!H180,Table1[[#All],[Order ID]],0))</f>
        <v>Mouse</v>
      </c>
    </row>
    <row r="181" spans="1:11" x14ac:dyDescent="0.25">
      <c r="A181" s="6">
        <v>2550</v>
      </c>
      <c r="B181" t="s">
        <v>68</v>
      </c>
      <c r="F181" t="s">
        <v>27</v>
      </c>
      <c r="H181" t="s">
        <v>558</v>
      </c>
      <c r="I181" t="str">
        <f>VLOOKUP(H181,Table1[#All],8,FALSE)</f>
        <v>Accessories</v>
      </c>
      <c r="J181" t="str" cm="1">
        <f t="array" ref="J181">_xlfn.XLOOKUP(H181,Table1[[#All],[Order ID]],Table1[[#All],[Brand]],0)</f>
        <v>HP</v>
      </c>
      <c r="K181" t="str">
        <f>INDEX(Table1[[#All],[Product Name]],MATCH(Sheet2!H181,Table1[[#All],[Order ID]],0))</f>
        <v>Keyboard</v>
      </c>
    </row>
    <row r="182" spans="1:11" x14ac:dyDescent="0.25">
      <c r="A182" s="5">
        <v>165000</v>
      </c>
      <c r="B182" t="s">
        <v>53</v>
      </c>
      <c r="F182" t="s">
        <v>27</v>
      </c>
      <c r="H182" t="s">
        <v>561</v>
      </c>
      <c r="I182" t="str">
        <f>VLOOKUP(H182,Table1[#All],8,FALSE)</f>
        <v>Computers</v>
      </c>
      <c r="J182" t="str" cm="1">
        <f t="array" ref="J182">_xlfn.XLOOKUP(H182,Table1[[#All],[Order ID]],Table1[[#All],[Brand]],0)</f>
        <v>Dell</v>
      </c>
      <c r="K182" t="str">
        <f>INDEX(Table1[[#All],[Product Name]],MATCH(Sheet2!H182,Table1[[#All],[Order ID]],0))</f>
        <v>Laptop</v>
      </c>
    </row>
    <row r="183" spans="1:11" x14ac:dyDescent="0.25">
      <c r="A183" s="6">
        <v>220000</v>
      </c>
      <c r="B183" t="s">
        <v>53</v>
      </c>
      <c r="F183" t="s">
        <v>27</v>
      </c>
      <c r="H183" t="s">
        <v>563</v>
      </c>
      <c r="I183" t="str">
        <f>VLOOKUP(H183,Table1[#All],8,FALSE)</f>
        <v>Computers</v>
      </c>
      <c r="J183" t="str" cm="1">
        <f t="array" ref="J183">_xlfn.XLOOKUP(H183,Table1[[#All],[Order ID]],Table1[[#All],[Brand]],0)</f>
        <v>Dell</v>
      </c>
      <c r="K183" t="str">
        <f>INDEX(Table1[[#All],[Product Name]],MATCH(Sheet2!H183,Table1[[#All],[Order ID]],0))</f>
        <v>Laptop</v>
      </c>
    </row>
    <row r="184" spans="1:11" x14ac:dyDescent="0.25">
      <c r="A184" s="5">
        <v>9000</v>
      </c>
      <c r="B184" t="s">
        <v>39</v>
      </c>
      <c r="F184" t="s">
        <v>40</v>
      </c>
      <c r="H184" t="s">
        <v>566</v>
      </c>
      <c r="I184" t="str">
        <f>VLOOKUP(H184,Table1[#All],8,FALSE)</f>
        <v>Office</v>
      </c>
      <c r="J184" t="str" cm="1">
        <f t="array" ref="J184">_xlfn.XLOOKUP(H184,Table1[[#All],[Order ID]],Table1[[#All],[Brand]],0)</f>
        <v>Nilkamal</v>
      </c>
      <c r="K184" t="str">
        <f>INDEX(Table1[[#All],[Product Name]],MATCH(Sheet2!H184,Table1[[#All],[Order ID]],0))</f>
        <v>Chair</v>
      </c>
    </row>
    <row r="185" spans="1:11" x14ac:dyDescent="0.25">
      <c r="A185" s="6">
        <v>12150</v>
      </c>
      <c r="B185" t="s">
        <v>39</v>
      </c>
      <c r="F185" t="s">
        <v>40</v>
      </c>
      <c r="H185" t="s">
        <v>568</v>
      </c>
      <c r="I185" t="str">
        <f>VLOOKUP(H185,Table1[#All],8,FALSE)</f>
        <v>Office</v>
      </c>
      <c r="J185" t="str" cm="1">
        <f t="array" ref="J185">_xlfn.XLOOKUP(H185,Table1[[#All],[Order ID]],Table1[[#All],[Brand]],0)</f>
        <v>Nilkamal</v>
      </c>
      <c r="K185" t="str">
        <f>INDEX(Table1[[#All],[Product Name]],MATCH(Sheet2!H185,Table1[[#All],[Order ID]],0))</f>
        <v>Chair</v>
      </c>
    </row>
    <row r="186" spans="1:11" x14ac:dyDescent="0.25">
      <c r="A186" s="5">
        <v>46750</v>
      </c>
      <c r="B186" t="s">
        <v>53</v>
      </c>
      <c r="F186" t="s">
        <v>27</v>
      </c>
      <c r="H186" t="s">
        <v>571</v>
      </c>
      <c r="I186" t="str">
        <f>VLOOKUP(H186,Table1[#All],8,FALSE)</f>
        <v>Computers</v>
      </c>
      <c r="J186" t="str" cm="1">
        <f t="array" ref="J186">_xlfn.XLOOKUP(H186,Table1[[#All],[Order ID]],Table1[[#All],[Brand]],0)</f>
        <v>Dell</v>
      </c>
      <c r="K186" t="str">
        <f>INDEX(Table1[[#All],[Product Name]],MATCH(Sheet2!H186,Table1[[#All],[Order ID]],0))</f>
        <v>Laptop</v>
      </c>
    </row>
    <row r="187" spans="1:11" x14ac:dyDescent="0.25">
      <c r="A187" s="6">
        <v>15750</v>
      </c>
      <c r="B187" t="s">
        <v>74</v>
      </c>
      <c r="F187" t="s">
        <v>27</v>
      </c>
      <c r="H187" t="s">
        <v>573</v>
      </c>
      <c r="I187" t="str">
        <f>VLOOKUP(H187,Table1[#All],8,FALSE)</f>
        <v>Audio</v>
      </c>
      <c r="J187" t="str" cm="1">
        <f t="array" ref="J187">_xlfn.XLOOKUP(H187,Table1[[#All],[Order ID]],Table1[[#All],[Brand]],0)</f>
        <v>Sony</v>
      </c>
      <c r="K187" t="str">
        <f>INDEX(Table1[[#All],[Product Name]],MATCH(Sheet2!H187,Table1[[#All],[Order ID]],0))</f>
        <v>Headphones</v>
      </c>
    </row>
    <row r="188" spans="1:11" x14ac:dyDescent="0.25">
      <c r="A188" s="5">
        <v>165000</v>
      </c>
      <c r="B188" t="s">
        <v>53</v>
      </c>
      <c r="F188" t="s">
        <v>27</v>
      </c>
      <c r="H188" t="s">
        <v>576</v>
      </c>
      <c r="I188" t="str">
        <f>VLOOKUP(H188,Table1[#All],8,FALSE)</f>
        <v>Computers</v>
      </c>
      <c r="J188" t="str" cm="1">
        <f t="array" ref="J188">_xlfn.XLOOKUP(H188,Table1[[#All],[Order ID]],Table1[[#All],[Brand]],0)</f>
        <v>Dell</v>
      </c>
      <c r="K188" t="str">
        <f>INDEX(Table1[[#All],[Product Name]],MATCH(Sheet2!H188,Table1[[#All],[Order ID]],0))</f>
        <v>Laptop</v>
      </c>
    </row>
    <row r="189" spans="1:11" x14ac:dyDescent="0.25">
      <c r="A189" s="6">
        <v>8925</v>
      </c>
      <c r="B189" t="s">
        <v>74</v>
      </c>
      <c r="F189" t="s">
        <v>27</v>
      </c>
      <c r="H189" t="s">
        <v>578</v>
      </c>
      <c r="I189" t="str">
        <f>VLOOKUP(H189,Table1[#All],8,FALSE)</f>
        <v>Audio</v>
      </c>
      <c r="J189" t="str" cm="1">
        <f t="array" ref="J189">_xlfn.XLOOKUP(H189,Table1[[#All],[Order ID]],Table1[[#All],[Brand]],0)</f>
        <v>Sony</v>
      </c>
      <c r="K189" t="str">
        <f>INDEX(Table1[[#All],[Product Name]],MATCH(Sheet2!H189,Table1[[#All],[Order ID]],0))</f>
        <v>Headphones</v>
      </c>
    </row>
    <row r="190" spans="1:11" x14ac:dyDescent="0.25">
      <c r="A190" s="5">
        <v>14875</v>
      </c>
      <c r="B190" t="s">
        <v>74</v>
      </c>
      <c r="F190" t="s">
        <v>27</v>
      </c>
      <c r="H190" t="s">
        <v>581</v>
      </c>
      <c r="I190" t="str">
        <f>VLOOKUP(H190,Table1[#All],8,FALSE)</f>
        <v>Audio</v>
      </c>
      <c r="J190" t="str" cm="1">
        <f t="array" ref="J190">_xlfn.XLOOKUP(H190,Table1[[#All],[Order ID]],Table1[[#All],[Brand]],0)</f>
        <v>Sony</v>
      </c>
      <c r="K190" t="str">
        <f>INDEX(Table1[[#All],[Product Name]],MATCH(Sheet2!H190,Table1[[#All],[Order ID]],0))</f>
        <v>Headphones</v>
      </c>
    </row>
    <row r="191" spans="1:11" x14ac:dyDescent="0.25">
      <c r="A191" s="6">
        <v>760</v>
      </c>
      <c r="B191" t="s">
        <v>26</v>
      </c>
      <c r="F191" t="s">
        <v>27</v>
      </c>
      <c r="H191" t="s">
        <v>584</v>
      </c>
      <c r="I191" t="str">
        <f>VLOOKUP(H191,Table1[#All],8,FALSE)</f>
        <v>Accessories</v>
      </c>
      <c r="J191" t="str" cm="1">
        <f t="array" ref="J191">_xlfn.XLOOKUP(H191,Table1[[#All],[Order ID]],Table1[[#All],[Brand]],0)</f>
        <v>Logitech</v>
      </c>
      <c r="K191" t="str">
        <f>INDEX(Table1[[#All],[Product Name]],MATCH(Sheet2!H191,Table1[[#All],[Order ID]],0))</f>
        <v>Mouse</v>
      </c>
    </row>
    <row r="192" spans="1:11" x14ac:dyDescent="0.25">
      <c r="A192" s="5">
        <v>2880</v>
      </c>
      <c r="B192" t="s">
        <v>26</v>
      </c>
      <c r="F192" t="s">
        <v>27</v>
      </c>
      <c r="H192" t="s">
        <v>587</v>
      </c>
      <c r="I192" t="str">
        <f>VLOOKUP(H192,Table1[#All],8,FALSE)</f>
        <v>Accessories</v>
      </c>
      <c r="J192" t="str" cm="1">
        <f t="array" ref="J192">_xlfn.XLOOKUP(H192,Table1[[#All],[Order ID]],Table1[[#All],[Brand]],0)</f>
        <v>Logitech</v>
      </c>
      <c r="K192" t="str">
        <f>INDEX(Table1[[#All],[Product Name]],MATCH(Sheet2!H192,Table1[[#All],[Order ID]],0))</f>
        <v>Mouse</v>
      </c>
    </row>
    <row r="193" spans="1:11" x14ac:dyDescent="0.25">
      <c r="A193" s="6">
        <v>15750</v>
      </c>
      <c r="B193" t="s">
        <v>74</v>
      </c>
      <c r="F193" t="s">
        <v>27</v>
      </c>
      <c r="H193" t="s">
        <v>590</v>
      </c>
      <c r="I193" t="str">
        <f>VLOOKUP(H193,Table1[#All],8,FALSE)</f>
        <v>Audio</v>
      </c>
      <c r="J193" t="str" cm="1">
        <f t="array" ref="J193">_xlfn.XLOOKUP(H193,Table1[[#All],[Order ID]],Table1[[#All],[Brand]],0)</f>
        <v>Sony</v>
      </c>
      <c r="K193" t="str">
        <f>INDEX(Table1[[#All],[Product Name]],MATCH(Sheet2!H193,Table1[[#All],[Order ID]],0))</f>
        <v>Headphones</v>
      </c>
    </row>
    <row r="194" spans="1:11" x14ac:dyDescent="0.25">
      <c r="A194" s="5">
        <v>165000</v>
      </c>
      <c r="B194" t="s">
        <v>53</v>
      </c>
      <c r="F194" t="s">
        <v>27</v>
      </c>
      <c r="H194" t="s">
        <v>593</v>
      </c>
      <c r="I194" t="str">
        <f>VLOOKUP(H194,Table1[#All],8,FALSE)</f>
        <v>Computers</v>
      </c>
      <c r="J194" t="str" cm="1">
        <f t="array" ref="J194">_xlfn.XLOOKUP(H194,Table1[[#All],[Order ID]],Table1[[#All],[Brand]],0)</f>
        <v>Dell</v>
      </c>
      <c r="K194" t="str">
        <f>INDEX(Table1[[#All],[Product Name]],MATCH(Sheet2!H194,Table1[[#All],[Order ID]],0))</f>
        <v>Laptop</v>
      </c>
    </row>
    <row r="195" spans="1:11" x14ac:dyDescent="0.25">
      <c r="A195" s="6">
        <v>1500</v>
      </c>
      <c r="B195" t="s">
        <v>68</v>
      </c>
      <c r="F195" t="s">
        <v>27</v>
      </c>
      <c r="H195" t="s">
        <v>596</v>
      </c>
      <c r="I195" t="str">
        <f>VLOOKUP(H195,Table1[#All],8,FALSE)</f>
        <v>Accessories</v>
      </c>
      <c r="J195" t="str" cm="1">
        <f t="array" ref="J195">_xlfn.XLOOKUP(H195,Table1[[#All],[Order ID]],Table1[[#All],[Brand]],0)</f>
        <v>HP</v>
      </c>
      <c r="K195" t="str">
        <f>INDEX(Table1[[#All],[Product Name]],MATCH(Sheet2!H195,Table1[[#All],[Order ID]],0))</f>
        <v>Keyboard</v>
      </c>
    </row>
    <row r="196" spans="1:11" x14ac:dyDescent="0.25">
      <c r="A196" s="5">
        <v>12600</v>
      </c>
      <c r="B196" t="s">
        <v>74</v>
      </c>
      <c r="F196" t="s">
        <v>27</v>
      </c>
      <c r="H196" t="s">
        <v>599</v>
      </c>
      <c r="I196" t="str">
        <f>VLOOKUP(H196,Table1[#All],8,FALSE)</f>
        <v>Audio</v>
      </c>
      <c r="J196" t="str" cm="1">
        <f t="array" ref="J196">_xlfn.XLOOKUP(H196,Table1[[#All],[Order ID]],Table1[[#All],[Brand]],0)</f>
        <v>Sony</v>
      </c>
      <c r="K196" t="str">
        <f>INDEX(Table1[[#All],[Product Name]],MATCH(Sheet2!H196,Table1[[#All],[Order ID]],0))</f>
        <v>Headphones</v>
      </c>
    </row>
    <row r="197" spans="1:11" x14ac:dyDescent="0.25">
      <c r="A197" s="6">
        <v>4050</v>
      </c>
      <c r="B197" t="s">
        <v>68</v>
      </c>
      <c r="F197" t="s">
        <v>27</v>
      </c>
      <c r="H197" t="s">
        <v>602</v>
      </c>
      <c r="I197" t="str">
        <f>VLOOKUP(H197,Table1[#All],8,FALSE)</f>
        <v>Accessories</v>
      </c>
      <c r="J197" t="str" cm="1">
        <f t="array" ref="J197">_xlfn.XLOOKUP(H197,Table1[[#All],[Order ID]],Table1[[#All],[Brand]],0)</f>
        <v>HP</v>
      </c>
      <c r="K197" t="str">
        <f>INDEX(Table1[[#All],[Product Name]],MATCH(Sheet2!H197,Table1[[#All],[Order ID]],0))</f>
        <v>Keyboard</v>
      </c>
    </row>
    <row r="198" spans="1:11" x14ac:dyDescent="0.25">
      <c r="A198" s="5">
        <v>110000</v>
      </c>
      <c r="B198" t="s">
        <v>53</v>
      </c>
      <c r="F198" t="s">
        <v>27</v>
      </c>
      <c r="H198" t="s">
        <v>604</v>
      </c>
      <c r="I198" t="str">
        <f>VLOOKUP(H198,Table1[#All],8,FALSE)</f>
        <v>Computers</v>
      </c>
      <c r="J198" t="str" cm="1">
        <f t="array" ref="J198">_xlfn.XLOOKUP(H198,Table1[[#All],[Order ID]],Table1[[#All],[Brand]],0)</f>
        <v>Dell</v>
      </c>
      <c r="K198" t="str">
        <f>INDEX(Table1[[#All],[Product Name]],MATCH(Sheet2!H198,Table1[[#All],[Order ID]],0))</f>
        <v>Laptop</v>
      </c>
    </row>
    <row r="199" spans="1:11" x14ac:dyDescent="0.25">
      <c r="A199" s="6">
        <v>9450</v>
      </c>
      <c r="B199" t="s">
        <v>74</v>
      </c>
      <c r="F199" t="s">
        <v>27</v>
      </c>
      <c r="H199" t="s">
        <v>606</v>
      </c>
      <c r="I199" t="str">
        <f>VLOOKUP(H199,Table1[#All],8,FALSE)</f>
        <v>Audio</v>
      </c>
      <c r="J199" t="str" cm="1">
        <f t="array" ref="J199">_xlfn.XLOOKUP(H199,Table1[[#All],[Order ID]],Table1[[#All],[Brand]],0)</f>
        <v>Sony</v>
      </c>
      <c r="K199" t="str">
        <f>INDEX(Table1[[#All],[Product Name]],MATCH(Sheet2!H199,Table1[[#All],[Order ID]],0))</f>
        <v>Headphones</v>
      </c>
    </row>
    <row r="200" spans="1:11" x14ac:dyDescent="0.25">
      <c r="A200" s="5">
        <v>3800</v>
      </c>
      <c r="B200" t="s">
        <v>26</v>
      </c>
      <c r="F200" t="s">
        <v>27</v>
      </c>
      <c r="H200" t="s">
        <v>608</v>
      </c>
      <c r="I200" t="str">
        <f>VLOOKUP(H200,Table1[#All],8,FALSE)</f>
        <v>Accessories</v>
      </c>
      <c r="J200" t="str" cm="1">
        <f t="array" ref="J200">_xlfn.XLOOKUP(H200,Table1[[#All],[Order ID]],Table1[[#All],[Brand]],0)</f>
        <v>Logitech</v>
      </c>
      <c r="K200" t="str">
        <f>INDEX(Table1[[#All],[Product Name]],MATCH(Sheet2!H200,Table1[[#All],[Order ID]],0))</f>
        <v>Mouse</v>
      </c>
    </row>
    <row r="201" spans="1:11" x14ac:dyDescent="0.25">
      <c r="A201" s="6">
        <v>1425</v>
      </c>
      <c r="B201" t="s">
        <v>68</v>
      </c>
      <c r="F201" t="s">
        <v>27</v>
      </c>
      <c r="H201" t="s">
        <v>610</v>
      </c>
      <c r="I201" t="str">
        <f>VLOOKUP(H201,Table1[#All],8,FALSE)</f>
        <v>Accessories</v>
      </c>
      <c r="J201" t="str" cm="1">
        <f t="array" ref="J201">_xlfn.XLOOKUP(H201,Table1[[#All],[Order ID]],Table1[[#All],[Brand]],0)</f>
        <v>HP</v>
      </c>
      <c r="K201" t="str">
        <f>INDEX(Table1[[#All],[Product Name]],MATCH(Sheet2!H201,Table1[[#All],[Order ID]],0))</f>
        <v>Keyboard</v>
      </c>
    </row>
    <row r="202" spans="1:11" x14ac:dyDescent="0.25">
      <c r="A202" s="5">
        <v>49500</v>
      </c>
      <c r="B202" t="s">
        <v>53</v>
      </c>
      <c r="F202" t="s">
        <v>27</v>
      </c>
      <c r="H202" t="s">
        <v>613</v>
      </c>
      <c r="I202" t="str">
        <f>VLOOKUP(H202,Table1[#All],8,FALSE)</f>
        <v>Computers</v>
      </c>
      <c r="J202" t="str" cm="1">
        <f t="array" ref="J202">_xlfn.XLOOKUP(H202,Table1[[#All],[Order ID]],Table1[[#All],[Brand]],0)</f>
        <v>Dell</v>
      </c>
      <c r="K202" t="str">
        <f>INDEX(Table1[[#All],[Product Name]],MATCH(Sheet2!H202,Table1[[#All],[Order ID]],0))</f>
        <v>Laptop</v>
      </c>
    </row>
    <row r="203" spans="1:11" x14ac:dyDescent="0.25">
      <c r="A203" s="6">
        <v>12600</v>
      </c>
      <c r="B203" t="s">
        <v>74</v>
      </c>
      <c r="F203" t="s">
        <v>27</v>
      </c>
      <c r="H203" t="s">
        <v>614</v>
      </c>
      <c r="I203" t="str">
        <f>VLOOKUP(H203,Table1[#All],8,FALSE)</f>
        <v>Audio</v>
      </c>
      <c r="J203" t="str" cm="1">
        <f t="array" ref="J203">_xlfn.XLOOKUP(H203,Table1[[#All],[Order ID]],Table1[[#All],[Brand]],0)</f>
        <v>Sony</v>
      </c>
      <c r="K203" t="str">
        <f>INDEX(Table1[[#All],[Product Name]],MATCH(Sheet2!H203,Table1[[#All],[Order ID]],0))</f>
        <v>Headphones</v>
      </c>
    </row>
    <row r="204" spans="1:11" x14ac:dyDescent="0.25">
      <c r="A204" s="5">
        <v>2700</v>
      </c>
      <c r="B204" t="s">
        <v>68</v>
      </c>
      <c r="F204" t="s">
        <v>27</v>
      </c>
      <c r="H204" t="s">
        <v>617</v>
      </c>
      <c r="I204" t="str">
        <f>VLOOKUP(H204,Table1[#All],8,FALSE)</f>
        <v>Accessories</v>
      </c>
      <c r="J204" t="str" cm="1">
        <f t="array" ref="J204">_xlfn.XLOOKUP(H204,Table1[[#All],[Order ID]],Table1[[#All],[Brand]],0)</f>
        <v>HP</v>
      </c>
      <c r="K204" t="str">
        <f>INDEX(Table1[[#All],[Product Name]],MATCH(Sheet2!H204,Table1[[#All],[Order ID]],0))</f>
        <v>Keyboard</v>
      </c>
    </row>
    <row r="205" spans="1:11" x14ac:dyDescent="0.25">
      <c r="A205" s="6">
        <v>4275</v>
      </c>
      <c r="B205" t="s">
        <v>68</v>
      </c>
      <c r="F205" t="s">
        <v>27</v>
      </c>
      <c r="H205" t="s">
        <v>620</v>
      </c>
      <c r="I205" t="str">
        <f>VLOOKUP(H205,Table1[#All],8,FALSE)</f>
        <v>Accessories</v>
      </c>
      <c r="J205" t="str" cm="1">
        <f t="array" ref="J205">_xlfn.XLOOKUP(H205,Table1[[#All],[Order ID]],Table1[[#All],[Brand]],0)</f>
        <v>HP</v>
      </c>
      <c r="K205" t="str">
        <f>INDEX(Table1[[#All],[Product Name]],MATCH(Sheet2!H205,Table1[[#All],[Order ID]],0))</f>
        <v>Keyboard</v>
      </c>
    </row>
    <row r="206" spans="1:11" x14ac:dyDescent="0.25">
      <c r="A206" s="5">
        <v>7500</v>
      </c>
      <c r="B206" t="s">
        <v>68</v>
      </c>
      <c r="F206" t="s">
        <v>27</v>
      </c>
      <c r="H206" t="s">
        <v>622</v>
      </c>
      <c r="I206" t="str">
        <f>VLOOKUP(H206,Table1[#All],8,FALSE)</f>
        <v>Accessories</v>
      </c>
      <c r="J206" t="str" cm="1">
        <f t="array" ref="J206">_xlfn.XLOOKUP(H206,Table1[[#All],[Order ID]],Table1[[#All],[Brand]],0)</f>
        <v>HP</v>
      </c>
      <c r="K206" t="str">
        <f>INDEX(Table1[[#All],[Product Name]],MATCH(Sheet2!H206,Table1[[#All],[Order ID]],0))</f>
        <v>Keyboard</v>
      </c>
    </row>
    <row r="207" spans="1:11" x14ac:dyDescent="0.25">
      <c r="A207" s="6">
        <v>9000</v>
      </c>
      <c r="B207" t="s">
        <v>39</v>
      </c>
      <c r="F207" t="s">
        <v>40</v>
      </c>
      <c r="H207" t="s">
        <v>624</v>
      </c>
      <c r="I207" t="str">
        <f>VLOOKUP(H207,Table1[#All],8,FALSE)</f>
        <v>Office</v>
      </c>
      <c r="J207" t="str" cm="1">
        <f t="array" ref="J207">_xlfn.XLOOKUP(H207,Table1[[#All],[Order ID]],Table1[[#All],[Brand]],0)</f>
        <v>Nilkamal</v>
      </c>
      <c r="K207" t="str">
        <f>INDEX(Table1[[#All],[Product Name]],MATCH(Sheet2!H207,Table1[[#All],[Order ID]],0))</f>
        <v>Chair</v>
      </c>
    </row>
    <row r="208" spans="1:11" x14ac:dyDescent="0.25">
      <c r="A208" s="5">
        <v>10500</v>
      </c>
      <c r="B208" t="s">
        <v>74</v>
      </c>
      <c r="F208" t="s">
        <v>27</v>
      </c>
      <c r="H208" t="s">
        <v>627</v>
      </c>
      <c r="I208" t="str">
        <f>VLOOKUP(H208,Table1[#All],8,FALSE)</f>
        <v>Audio</v>
      </c>
      <c r="J208" t="str" cm="1">
        <f t="array" ref="J208">_xlfn.XLOOKUP(H208,Table1[[#All],[Order ID]],Table1[[#All],[Brand]],0)</f>
        <v>Sony</v>
      </c>
      <c r="K208" t="str">
        <f>INDEX(Table1[[#All],[Product Name]],MATCH(Sheet2!H208,Table1[[#All],[Order ID]],0))</f>
        <v>Headphones</v>
      </c>
    </row>
    <row r="209" spans="1:11" x14ac:dyDescent="0.25">
      <c r="A209" s="6">
        <v>140250</v>
      </c>
      <c r="B209" t="s">
        <v>53</v>
      </c>
      <c r="F209" t="s">
        <v>27</v>
      </c>
      <c r="H209" t="s">
        <v>630</v>
      </c>
      <c r="I209" t="str">
        <f>VLOOKUP(H209,Table1[#All],8,FALSE)</f>
        <v>Computers</v>
      </c>
      <c r="J209" t="str" cm="1">
        <f t="array" ref="J209">_xlfn.XLOOKUP(H209,Table1[[#All],[Order ID]],Table1[[#All],[Brand]],0)</f>
        <v>Dell</v>
      </c>
      <c r="K209" t="str">
        <f>INDEX(Table1[[#All],[Product Name]],MATCH(Sheet2!H209,Table1[[#All],[Order ID]],0))</f>
        <v>Laptop</v>
      </c>
    </row>
    <row r="210" spans="1:11" x14ac:dyDescent="0.25">
      <c r="A210" s="5">
        <v>261250</v>
      </c>
      <c r="B210" t="s">
        <v>53</v>
      </c>
      <c r="F210" t="s">
        <v>27</v>
      </c>
      <c r="H210" t="s">
        <v>632</v>
      </c>
      <c r="I210" t="str">
        <f>VLOOKUP(H210,Table1[#All],8,FALSE)</f>
        <v>Computers</v>
      </c>
      <c r="J210" t="str" cm="1">
        <f t="array" ref="J210">_xlfn.XLOOKUP(H210,Table1[[#All],[Order ID]],Table1[[#All],[Brand]],0)</f>
        <v>Dell</v>
      </c>
      <c r="K210" t="str">
        <f>INDEX(Table1[[#All],[Product Name]],MATCH(Sheet2!H210,Table1[[#All],[Order ID]],0))</f>
        <v>Laptop</v>
      </c>
    </row>
    <row r="211" spans="1:11" x14ac:dyDescent="0.25">
      <c r="A211" s="6">
        <v>14000</v>
      </c>
      <c r="B211" t="s">
        <v>74</v>
      </c>
      <c r="F211" t="s">
        <v>27</v>
      </c>
      <c r="H211" t="s">
        <v>634</v>
      </c>
      <c r="I211" t="str">
        <f>VLOOKUP(H211,Table1[#All],8,FALSE)</f>
        <v>Audio</v>
      </c>
      <c r="J211" t="str" cm="1">
        <f t="array" ref="J211">_xlfn.XLOOKUP(H211,Table1[[#All],[Order ID]],Table1[[#All],[Brand]],0)</f>
        <v>Sony</v>
      </c>
      <c r="K211" t="str">
        <f>INDEX(Table1[[#All],[Product Name]],MATCH(Sheet2!H211,Table1[[#All],[Order ID]],0))</f>
        <v>Headphones</v>
      </c>
    </row>
    <row r="212" spans="1:11" x14ac:dyDescent="0.25">
      <c r="A212" s="5">
        <v>3400</v>
      </c>
      <c r="B212" t="s">
        <v>26</v>
      </c>
      <c r="F212" t="s">
        <v>27</v>
      </c>
      <c r="H212" t="s">
        <v>636</v>
      </c>
      <c r="I212" t="str">
        <f>VLOOKUP(H212,Table1[#All],8,FALSE)</f>
        <v>Accessories</v>
      </c>
      <c r="J212" t="str" cm="1">
        <f t="array" ref="J212">_xlfn.XLOOKUP(H212,Table1[[#All],[Order ID]],Table1[[#All],[Brand]],0)</f>
        <v>Logitech</v>
      </c>
      <c r="K212" t="str">
        <f>INDEX(Table1[[#All],[Product Name]],MATCH(Sheet2!H212,Table1[[#All],[Order ID]],0))</f>
        <v>Mouse</v>
      </c>
    </row>
    <row r="213" spans="1:11" x14ac:dyDescent="0.25">
      <c r="A213" s="6">
        <v>18000</v>
      </c>
      <c r="B213" t="s">
        <v>39</v>
      </c>
      <c r="F213" t="s">
        <v>40</v>
      </c>
      <c r="H213" t="s">
        <v>638</v>
      </c>
      <c r="I213" t="str">
        <f>VLOOKUP(H213,Table1[#All],8,FALSE)</f>
        <v>Office</v>
      </c>
      <c r="J213" t="str" cm="1">
        <f t="array" ref="J213">_xlfn.XLOOKUP(H213,Table1[[#All],[Order ID]],Table1[[#All],[Brand]],0)</f>
        <v>Nilkamal</v>
      </c>
      <c r="K213" t="str">
        <f>INDEX(Table1[[#All],[Product Name]],MATCH(Sheet2!H213,Table1[[#All],[Order ID]],0))</f>
        <v>Chair</v>
      </c>
    </row>
    <row r="214" spans="1:11" x14ac:dyDescent="0.25">
      <c r="A214" s="5">
        <v>4050</v>
      </c>
      <c r="B214" t="s">
        <v>68</v>
      </c>
      <c r="F214" t="s">
        <v>27</v>
      </c>
      <c r="H214" t="s">
        <v>641</v>
      </c>
      <c r="I214" t="str">
        <f>VLOOKUP(H214,Table1[#All],8,FALSE)</f>
        <v>Accessories</v>
      </c>
      <c r="J214" t="str" cm="1">
        <f t="array" ref="J214">_xlfn.XLOOKUP(H214,Table1[[#All],[Order ID]],Table1[[#All],[Brand]],0)</f>
        <v>HP</v>
      </c>
      <c r="K214" t="str">
        <f>INDEX(Table1[[#All],[Product Name]],MATCH(Sheet2!H214,Table1[[#All],[Order ID]],0))</f>
        <v>Keyboard</v>
      </c>
    </row>
    <row r="215" spans="1:11" x14ac:dyDescent="0.25">
      <c r="A215" s="6">
        <v>3400</v>
      </c>
      <c r="B215" t="s">
        <v>26</v>
      </c>
      <c r="F215" t="s">
        <v>27</v>
      </c>
      <c r="H215" t="s">
        <v>644</v>
      </c>
      <c r="I215" t="str">
        <f>VLOOKUP(H215,Table1[#All],8,FALSE)</f>
        <v>Accessories</v>
      </c>
      <c r="J215" t="str" cm="1">
        <f t="array" ref="J215">_xlfn.XLOOKUP(H215,Table1[[#All],[Order ID]],Table1[[#All],[Brand]],0)</f>
        <v>Logitech</v>
      </c>
      <c r="K215" t="str">
        <f>INDEX(Table1[[#All],[Product Name]],MATCH(Sheet2!H215,Table1[[#All],[Order ID]],0))</f>
        <v>Mouse</v>
      </c>
    </row>
    <row r="216" spans="1:11" x14ac:dyDescent="0.25">
      <c r="A216" s="5">
        <v>9000</v>
      </c>
      <c r="B216" t="s">
        <v>39</v>
      </c>
      <c r="F216" t="s">
        <v>40</v>
      </c>
      <c r="H216" t="s">
        <v>647</v>
      </c>
      <c r="I216" t="str">
        <f>VLOOKUP(H216,Table1[#All],8,FALSE)</f>
        <v>Office</v>
      </c>
      <c r="J216" t="str" cm="1">
        <f t="array" ref="J216">_xlfn.XLOOKUP(H216,Table1[[#All],[Order ID]],Table1[[#All],[Brand]],0)</f>
        <v>Nilkamal</v>
      </c>
      <c r="K216" t="str">
        <f>INDEX(Table1[[#All],[Product Name]],MATCH(Sheet2!H216,Table1[[#All],[Order ID]],0))</f>
        <v>Chair</v>
      </c>
    </row>
    <row r="217" spans="1:11" x14ac:dyDescent="0.25">
      <c r="A217" s="6">
        <v>6300</v>
      </c>
      <c r="B217" t="s">
        <v>74</v>
      </c>
      <c r="F217" t="s">
        <v>27</v>
      </c>
      <c r="H217" t="s">
        <v>649</v>
      </c>
      <c r="I217" t="str">
        <f>VLOOKUP(H217,Table1[#All],8,FALSE)</f>
        <v>Audio</v>
      </c>
      <c r="J217" t="str" cm="1">
        <f t="array" ref="J217">_xlfn.XLOOKUP(H217,Table1[[#All],[Order ID]],Table1[[#All],[Brand]],0)</f>
        <v>Sony</v>
      </c>
      <c r="K217" t="str">
        <f>INDEX(Table1[[#All],[Product Name]],MATCH(Sheet2!H217,Table1[[#All],[Order ID]],0))</f>
        <v>Headphones</v>
      </c>
    </row>
    <row r="218" spans="1:11" x14ac:dyDescent="0.25">
      <c r="A218" s="5">
        <v>99000</v>
      </c>
      <c r="B218" t="s">
        <v>53</v>
      </c>
      <c r="F218" t="s">
        <v>27</v>
      </c>
      <c r="H218" t="s">
        <v>651</v>
      </c>
      <c r="I218" t="str">
        <f>VLOOKUP(H218,Table1[#All],8,FALSE)</f>
        <v>Computers</v>
      </c>
      <c r="J218" t="str" cm="1">
        <f t="array" ref="J218">_xlfn.XLOOKUP(H218,Table1[[#All],[Order ID]],Table1[[#All],[Brand]],0)</f>
        <v>Dell</v>
      </c>
      <c r="K218" t="str">
        <f>INDEX(Table1[[#All],[Product Name]],MATCH(Sheet2!H218,Table1[[#All],[Order ID]],0))</f>
        <v>Laptop</v>
      </c>
    </row>
    <row r="219" spans="1:11" x14ac:dyDescent="0.25">
      <c r="A219" s="6">
        <v>187000</v>
      </c>
      <c r="B219" t="s">
        <v>53</v>
      </c>
      <c r="F219" t="s">
        <v>27</v>
      </c>
      <c r="H219" t="s">
        <v>654</v>
      </c>
      <c r="I219" t="str">
        <f>VLOOKUP(H219,Table1[#All],8,FALSE)</f>
        <v>Computers</v>
      </c>
      <c r="J219" t="str" cm="1">
        <f t="array" ref="J219">_xlfn.XLOOKUP(H219,Table1[[#All],[Order ID]],Table1[[#All],[Brand]],0)</f>
        <v>Dell</v>
      </c>
      <c r="K219" t="str">
        <f>INDEX(Table1[[#All],[Product Name]],MATCH(Sheet2!H219,Table1[[#All],[Order ID]],0))</f>
        <v>Laptop</v>
      </c>
    </row>
    <row r="220" spans="1:11" x14ac:dyDescent="0.25">
      <c r="A220" s="5">
        <v>2160</v>
      </c>
      <c r="B220" t="s">
        <v>26</v>
      </c>
      <c r="F220" t="s">
        <v>27</v>
      </c>
      <c r="H220" t="s">
        <v>656</v>
      </c>
      <c r="I220" t="str">
        <f>VLOOKUP(H220,Table1[#All],8,FALSE)</f>
        <v>Accessories</v>
      </c>
      <c r="J220" t="str" cm="1">
        <f t="array" ref="J220">_xlfn.XLOOKUP(H220,Table1[[#All],[Order ID]],Table1[[#All],[Brand]],0)</f>
        <v>Logitech</v>
      </c>
      <c r="K220" t="str">
        <f>INDEX(Table1[[#All],[Product Name]],MATCH(Sheet2!H220,Table1[[#All],[Order ID]],0))</f>
        <v>Mouse</v>
      </c>
    </row>
    <row r="221" spans="1:11" x14ac:dyDescent="0.25">
      <c r="A221" s="6">
        <v>5400</v>
      </c>
      <c r="B221" t="s">
        <v>68</v>
      </c>
      <c r="F221" t="s">
        <v>27</v>
      </c>
      <c r="H221" t="s">
        <v>658</v>
      </c>
      <c r="I221" t="str">
        <f>VLOOKUP(H221,Table1[#All],8,FALSE)</f>
        <v>Accessories</v>
      </c>
      <c r="J221" t="str" cm="1">
        <f t="array" ref="J221">_xlfn.XLOOKUP(H221,Table1[[#All],[Order ID]],Table1[[#All],[Brand]],0)</f>
        <v>HP</v>
      </c>
      <c r="K221" t="str">
        <f>INDEX(Table1[[#All],[Product Name]],MATCH(Sheet2!H221,Table1[[#All],[Order ID]],0))</f>
        <v>Keyboard</v>
      </c>
    </row>
    <row r="222" spans="1:11" x14ac:dyDescent="0.25">
      <c r="A222" s="5">
        <v>165000</v>
      </c>
      <c r="B222" t="s">
        <v>53</v>
      </c>
      <c r="F222" t="s">
        <v>27</v>
      </c>
      <c r="H222" t="s">
        <v>660</v>
      </c>
      <c r="I222" t="str">
        <f>VLOOKUP(H222,Table1[#All],8,FALSE)</f>
        <v>Computers</v>
      </c>
      <c r="J222" t="str" cm="1">
        <f t="array" ref="J222">_xlfn.XLOOKUP(H222,Table1[[#All],[Order ID]],Table1[[#All],[Brand]],0)</f>
        <v>Dell</v>
      </c>
      <c r="K222" t="str">
        <f>INDEX(Table1[[#All],[Product Name]],MATCH(Sheet2!H222,Table1[[#All],[Order ID]],0))</f>
        <v>Laptop</v>
      </c>
    </row>
    <row r="223" spans="1:11" x14ac:dyDescent="0.25">
      <c r="A223" s="6">
        <v>20250</v>
      </c>
      <c r="B223" t="s">
        <v>39</v>
      </c>
      <c r="F223" t="s">
        <v>40</v>
      </c>
      <c r="H223" t="s">
        <v>663</v>
      </c>
      <c r="I223" t="str">
        <f>VLOOKUP(H223,Table1[#All],8,FALSE)</f>
        <v>Office</v>
      </c>
      <c r="J223" t="str" cm="1">
        <f t="array" ref="J223">_xlfn.XLOOKUP(H223,Table1[[#All],[Order ID]],Table1[[#All],[Brand]],0)</f>
        <v>Nilkamal</v>
      </c>
      <c r="K223" t="str">
        <f>INDEX(Table1[[#All],[Product Name]],MATCH(Sheet2!H223,Table1[[#All],[Order ID]],0))</f>
        <v>Chair</v>
      </c>
    </row>
    <row r="224" spans="1:11" x14ac:dyDescent="0.25">
      <c r="A224" s="5">
        <v>17500</v>
      </c>
      <c r="B224" t="s">
        <v>74</v>
      </c>
      <c r="F224" t="s">
        <v>27</v>
      </c>
      <c r="H224" t="s">
        <v>664</v>
      </c>
      <c r="I224" t="str">
        <f>VLOOKUP(H224,Table1[#All],8,FALSE)</f>
        <v>Audio</v>
      </c>
      <c r="J224" t="str" cm="1">
        <f t="array" ref="J224">_xlfn.XLOOKUP(H224,Table1[[#All],[Order ID]],Table1[[#All],[Brand]],0)</f>
        <v>Sony</v>
      </c>
      <c r="K224" t="str">
        <f>INDEX(Table1[[#All],[Product Name]],MATCH(Sheet2!H224,Table1[[#All],[Order ID]],0))</f>
        <v>Headphones</v>
      </c>
    </row>
    <row r="225" spans="1:11" x14ac:dyDescent="0.25">
      <c r="A225" s="6">
        <v>6000</v>
      </c>
      <c r="B225" t="s">
        <v>68</v>
      </c>
      <c r="F225" t="s">
        <v>27</v>
      </c>
      <c r="H225" t="s">
        <v>666</v>
      </c>
      <c r="I225" t="str">
        <f>VLOOKUP(H225,Table1[#All],8,FALSE)</f>
        <v>Accessories</v>
      </c>
      <c r="J225" t="str" cm="1">
        <f t="array" ref="J225">_xlfn.XLOOKUP(H225,Table1[[#All],[Order ID]],Table1[[#All],[Brand]],0)</f>
        <v>HP</v>
      </c>
      <c r="K225" t="str">
        <f>INDEX(Table1[[#All],[Product Name]],MATCH(Sheet2!H225,Table1[[#All],[Order ID]],0))</f>
        <v>Keyboard</v>
      </c>
    </row>
    <row r="226" spans="1:11" x14ac:dyDescent="0.25">
      <c r="A226" s="5">
        <v>3400</v>
      </c>
      <c r="B226" t="s">
        <v>26</v>
      </c>
      <c r="F226" t="s">
        <v>27</v>
      </c>
      <c r="H226" t="s">
        <v>668</v>
      </c>
      <c r="I226" t="str">
        <f>VLOOKUP(H226,Table1[#All],8,FALSE)</f>
        <v>Accessories</v>
      </c>
      <c r="J226" t="str" cm="1">
        <f t="array" ref="J226">_xlfn.XLOOKUP(H226,Table1[[#All],[Order ID]],Table1[[#All],[Brand]],0)</f>
        <v>Logitech</v>
      </c>
      <c r="K226" t="str">
        <f>INDEX(Table1[[#All],[Product Name]],MATCH(Sheet2!H226,Table1[[#All],[Order ID]],0))</f>
        <v>Mouse</v>
      </c>
    </row>
    <row r="227" spans="1:11" x14ac:dyDescent="0.25">
      <c r="A227" s="6">
        <v>3800</v>
      </c>
      <c r="B227" t="s">
        <v>26</v>
      </c>
      <c r="F227" t="s">
        <v>27</v>
      </c>
      <c r="H227" t="s">
        <v>670</v>
      </c>
      <c r="I227" t="str">
        <f>VLOOKUP(H227,Table1[#All],8,FALSE)</f>
        <v>Accessories</v>
      </c>
      <c r="J227" t="str" cm="1">
        <f t="array" ref="J227">_xlfn.XLOOKUP(H227,Table1[[#All],[Order ID]],Table1[[#All],[Brand]],0)</f>
        <v>Logitech</v>
      </c>
      <c r="K227" t="str">
        <f>INDEX(Table1[[#All],[Product Name]],MATCH(Sheet2!H227,Table1[[#All],[Order ID]],0))</f>
        <v>Mouse</v>
      </c>
    </row>
    <row r="228" spans="1:11" x14ac:dyDescent="0.25">
      <c r="A228" s="5">
        <v>21375</v>
      </c>
      <c r="B228" t="s">
        <v>39</v>
      </c>
      <c r="F228" t="s">
        <v>40</v>
      </c>
      <c r="H228" t="s">
        <v>672</v>
      </c>
      <c r="I228" t="str">
        <f>VLOOKUP(H228,Table1[#All],8,FALSE)</f>
        <v>Office</v>
      </c>
      <c r="J228" t="str" cm="1">
        <f t="array" ref="J228">_xlfn.XLOOKUP(H228,Table1[[#All],[Order ID]],Table1[[#All],[Brand]],0)</f>
        <v>Nilkamal</v>
      </c>
      <c r="K228" t="str">
        <f>INDEX(Table1[[#All],[Product Name]],MATCH(Sheet2!H228,Table1[[#All],[Order ID]],0))</f>
        <v>Chair</v>
      </c>
    </row>
    <row r="229" spans="1:11" x14ac:dyDescent="0.25">
      <c r="A229" s="6">
        <v>15300</v>
      </c>
      <c r="B229" t="s">
        <v>39</v>
      </c>
      <c r="F229" t="s">
        <v>40</v>
      </c>
      <c r="H229" t="s">
        <v>675</v>
      </c>
      <c r="I229" t="str">
        <f>VLOOKUP(H229,Table1[#All],8,FALSE)</f>
        <v>Office</v>
      </c>
      <c r="J229" t="str" cm="1">
        <f t="array" ref="J229">_xlfn.XLOOKUP(H229,Table1[[#All],[Order ID]],Table1[[#All],[Brand]],0)</f>
        <v>Nilkamal</v>
      </c>
      <c r="K229" t="str">
        <f>INDEX(Table1[[#All],[Product Name]],MATCH(Sheet2!H229,Table1[[#All],[Order ID]],0))</f>
        <v>Chair</v>
      </c>
    </row>
    <row r="230" spans="1:11" x14ac:dyDescent="0.25">
      <c r="A230" s="5">
        <v>140250</v>
      </c>
      <c r="B230" t="s">
        <v>53</v>
      </c>
      <c r="F230" t="s">
        <v>27</v>
      </c>
      <c r="H230" t="s">
        <v>677</v>
      </c>
      <c r="I230" t="str">
        <f>VLOOKUP(H230,Table1[#All],8,FALSE)</f>
        <v>Computers</v>
      </c>
      <c r="J230" t="str" cm="1">
        <f t="array" ref="J230">_xlfn.XLOOKUP(H230,Table1[[#All],[Order ID]],Table1[[#All],[Brand]],0)</f>
        <v>Dell</v>
      </c>
      <c r="K230" t="str">
        <f>INDEX(Table1[[#All],[Product Name]],MATCH(Sheet2!H230,Table1[[#All],[Order ID]],0))</f>
        <v>Laptop</v>
      </c>
    </row>
    <row r="231" spans="1:11" x14ac:dyDescent="0.25">
      <c r="A231" s="6">
        <v>6375</v>
      </c>
      <c r="B231" t="s">
        <v>68</v>
      </c>
      <c r="F231" t="s">
        <v>27</v>
      </c>
      <c r="H231" t="s">
        <v>680</v>
      </c>
      <c r="I231" t="str">
        <f>VLOOKUP(H231,Table1[#All],8,FALSE)</f>
        <v>Accessories</v>
      </c>
      <c r="J231" t="str" cm="1">
        <f t="array" ref="J231">_xlfn.XLOOKUP(H231,Table1[[#All],[Order ID]],Table1[[#All],[Brand]],0)</f>
        <v>HP</v>
      </c>
      <c r="K231" t="str">
        <f>INDEX(Table1[[#All],[Product Name]],MATCH(Sheet2!H231,Table1[[#All],[Order ID]],0))</f>
        <v>Keyboard</v>
      </c>
    </row>
    <row r="232" spans="1:11" x14ac:dyDescent="0.25">
      <c r="A232" s="5">
        <v>21375</v>
      </c>
      <c r="B232" t="s">
        <v>39</v>
      </c>
      <c r="F232" t="s">
        <v>40</v>
      </c>
      <c r="H232" t="s">
        <v>682</v>
      </c>
      <c r="I232" t="str">
        <f>VLOOKUP(H232,Table1[#All],8,FALSE)</f>
        <v>Office</v>
      </c>
      <c r="J232" t="str" cm="1">
        <f t="array" ref="J232">_xlfn.XLOOKUP(H232,Table1[[#All],[Order ID]],Table1[[#All],[Brand]],0)</f>
        <v>Nilkamal</v>
      </c>
      <c r="K232" t="str">
        <f>INDEX(Table1[[#All],[Product Name]],MATCH(Sheet2!H232,Table1[[#All],[Order ID]],0))</f>
        <v>Chair</v>
      </c>
    </row>
    <row r="233" spans="1:11" x14ac:dyDescent="0.25">
      <c r="A233" s="6">
        <v>4275</v>
      </c>
      <c r="B233" t="s">
        <v>39</v>
      </c>
      <c r="F233" t="s">
        <v>40</v>
      </c>
      <c r="H233" t="s">
        <v>685</v>
      </c>
      <c r="I233" t="str">
        <f>VLOOKUP(H233,Table1[#All],8,FALSE)</f>
        <v>Office</v>
      </c>
      <c r="J233" t="str" cm="1">
        <f t="array" ref="J233">_xlfn.XLOOKUP(H233,Table1[[#All],[Order ID]],Table1[[#All],[Brand]],0)</f>
        <v>Nilkamal</v>
      </c>
      <c r="K233" t="str">
        <f>INDEX(Table1[[#All],[Product Name]],MATCH(Sheet2!H233,Table1[[#All],[Order ID]],0))</f>
        <v>Chair</v>
      </c>
    </row>
    <row r="234" spans="1:11" x14ac:dyDescent="0.25">
      <c r="A234" s="5">
        <v>9975</v>
      </c>
      <c r="B234" t="s">
        <v>74</v>
      </c>
      <c r="F234" t="s">
        <v>27</v>
      </c>
      <c r="H234" t="s">
        <v>688</v>
      </c>
      <c r="I234" t="str">
        <f>VLOOKUP(H234,Table1[#All],8,FALSE)</f>
        <v>Audio</v>
      </c>
      <c r="J234" t="str" cm="1">
        <f t="array" ref="J234">_xlfn.XLOOKUP(H234,Table1[[#All],[Order ID]],Table1[[#All],[Brand]],0)</f>
        <v>Sony</v>
      </c>
      <c r="K234" t="str">
        <f>INDEX(Table1[[#All],[Product Name]],MATCH(Sheet2!H234,Table1[[#All],[Order ID]],0))</f>
        <v>Headphones</v>
      </c>
    </row>
    <row r="235" spans="1:11" x14ac:dyDescent="0.25">
      <c r="A235" s="6">
        <v>5700</v>
      </c>
      <c r="B235" t="s">
        <v>68</v>
      </c>
      <c r="F235" t="s">
        <v>27</v>
      </c>
      <c r="H235" t="s">
        <v>691</v>
      </c>
      <c r="I235" t="str">
        <f>VLOOKUP(H235,Table1[#All],8,FALSE)</f>
        <v>Accessories</v>
      </c>
      <c r="J235" t="str" cm="1">
        <f t="array" ref="J235">_xlfn.XLOOKUP(H235,Table1[[#All],[Order ID]],Table1[[#All],[Brand]],0)</f>
        <v>HP</v>
      </c>
      <c r="K235" t="str">
        <f>INDEX(Table1[[#All],[Product Name]],MATCH(Sheet2!H235,Table1[[#All],[Order ID]],0))</f>
        <v>Keyboard</v>
      </c>
    </row>
    <row r="236" spans="1:11" x14ac:dyDescent="0.25">
      <c r="A236" s="5">
        <v>247500</v>
      </c>
      <c r="B236" t="s">
        <v>53</v>
      </c>
      <c r="F236" t="s">
        <v>27</v>
      </c>
      <c r="H236" t="s">
        <v>693</v>
      </c>
      <c r="I236" t="str">
        <f>VLOOKUP(H236,Table1[#All],8,FALSE)</f>
        <v>Computers</v>
      </c>
      <c r="J236" t="str" cm="1">
        <f t="array" ref="J236">_xlfn.XLOOKUP(H236,Table1[[#All],[Order ID]],Table1[[#All],[Brand]],0)</f>
        <v>Dell</v>
      </c>
      <c r="K236" t="str">
        <f>INDEX(Table1[[#All],[Product Name]],MATCH(Sheet2!H236,Table1[[#All],[Order ID]],0))</f>
        <v>Laptop</v>
      </c>
    </row>
    <row r="237" spans="1:11" x14ac:dyDescent="0.25">
      <c r="A237" s="6">
        <v>7125</v>
      </c>
      <c r="B237" t="s">
        <v>68</v>
      </c>
      <c r="F237" t="s">
        <v>27</v>
      </c>
      <c r="H237" t="s">
        <v>696</v>
      </c>
      <c r="I237" t="str">
        <f>VLOOKUP(H237,Table1[#All],8,FALSE)</f>
        <v>Accessories</v>
      </c>
      <c r="J237" t="str" cm="1">
        <f t="array" ref="J237">_xlfn.XLOOKUP(H237,Table1[[#All],[Order ID]],Table1[[#All],[Brand]],0)</f>
        <v>HP</v>
      </c>
      <c r="K237" t="str">
        <f>INDEX(Table1[[#All],[Product Name]],MATCH(Sheet2!H237,Table1[[#All],[Order ID]],0))</f>
        <v>Keyboard</v>
      </c>
    </row>
    <row r="238" spans="1:11" x14ac:dyDescent="0.25">
      <c r="A238" s="5">
        <v>1350</v>
      </c>
      <c r="B238" t="s">
        <v>68</v>
      </c>
      <c r="F238" t="s">
        <v>27</v>
      </c>
      <c r="H238" t="s">
        <v>698</v>
      </c>
      <c r="I238" t="str">
        <f>VLOOKUP(H238,Table1[#All],8,FALSE)</f>
        <v>Accessories</v>
      </c>
      <c r="J238" t="str" cm="1">
        <f t="array" ref="J238">_xlfn.XLOOKUP(H238,Table1[[#All],[Order ID]],Table1[[#All],[Brand]],0)</f>
        <v>HP</v>
      </c>
      <c r="K238" t="str">
        <f>INDEX(Table1[[#All],[Product Name]],MATCH(Sheet2!H238,Table1[[#All],[Order ID]],0))</f>
        <v>Keyboard</v>
      </c>
    </row>
    <row r="239" spans="1:11" x14ac:dyDescent="0.25">
      <c r="A239" s="6">
        <v>99000</v>
      </c>
      <c r="B239" t="s">
        <v>53</v>
      </c>
      <c r="F239" t="s">
        <v>27</v>
      </c>
      <c r="H239" t="s">
        <v>701</v>
      </c>
      <c r="I239" t="str">
        <f>VLOOKUP(H239,Table1[#All],8,FALSE)</f>
        <v>Computers</v>
      </c>
      <c r="J239" t="str" cm="1">
        <f t="array" ref="J239">_xlfn.XLOOKUP(H239,Table1[[#All],[Order ID]],Table1[[#All],[Brand]],0)</f>
        <v>Dell</v>
      </c>
      <c r="K239" t="str">
        <f>INDEX(Table1[[#All],[Product Name]],MATCH(Sheet2!H239,Table1[[#All],[Order ID]],0))</f>
        <v>Laptop</v>
      </c>
    </row>
    <row r="240" spans="1:11" x14ac:dyDescent="0.25">
      <c r="A240" s="5">
        <v>55000</v>
      </c>
      <c r="B240" t="s">
        <v>53</v>
      </c>
      <c r="F240" t="s">
        <v>27</v>
      </c>
      <c r="H240" t="s">
        <v>703</v>
      </c>
      <c r="I240" t="str">
        <f>VLOOKUP(H240,Table1[#All],8,FALSE)</f>
        <v>Computers</v>
      </c>
      <c r="J240" t="str" cm="1">
        <f t="array" ref="J240">_xlfn.XLOOKUP(H240,Table1[[#All],[Order ID]],Table1[[#All],[Brand]],0)</f>
        <v>Dell</v>
      </c>
      <c r="K240" t="str">
        <f>INDEX(Table1[[#All],[Product Name]],MATCH(Sheet2!H240,Table1[[#All],[Order ID]],0))</f>
        <v>Laptop</v>
      </c>
    </row>
    <row r="241" spans="1:11" x14ac:dyDescent="0.25">
      <c r="A241" s="6">
        <v>8925</v>
      </c>
      <c r="B241" t="s">
        <v>74</v>
      </c>
      <c r="F241" t="s">
        <v>27</v>
      </c>
      <c r="H241" t="s">
        <v>706</v>
      </c>
      <c r="I241" t="str">
        <f>VLOOKUP(H241,Table1[#All],8,FALSE)</f>
        <v>Audio</v>
      </c>
      <c r="J241" t="str" cm="1">
        <f t="array" ref="J241">_xlfn.XLOOKUP(H241,Table1[[#All],[Order ID]],Table1[[#All],[Brand]],0)</f>
        <v>Sony</v>
      </c>
      <c r="K241" t="str">
        <f>INDEX(Table1[[#All],[Product Name]],MATCH(Sheet2!H241,Table1[[#All],[Order ID]],0))</f>
        <v>Headphones</v>
      </c>
    </row>
    <row r="242" spans="1:11" x14ac:dyDescent="0.25">
      <c r="A242" s="5">
        <v>7000</v>
      </c>
      <c r="B242" t="s">
        <v>74</v>
      </c>
      <c r="F242" t="s">
        <v>27</v>
      </c>
      <c r="H242" t="s">
        <v>709</v>
      </c>
      <c r="I242" t="str">
        <f>VLOOKUP(H242,Table1[#All],8,FALSE)</f>
        <v>Audio</v>
      </c>
      <c r="J242" t="str" cm="1">
        <f t="array" ref="J242">_xlfn.XLOOKUP(H242,Table1[[#All],[Order ID]],Table1[[#All],[Brand]],0)</f>
        <v>Sony</v>
      </c>
      <c r="K242" t="str">
        <f>INDEX(Table1[[#All],[Product Name]],MATCH(Sheet2!H242,Table1[[#All],[Order ID]],0))</f>
        <v>Headphones</v>
      </c>
    </row>
    <row r="243" spans="1:11" x14ac:dyDescent="0.25">
      <c r="A243" s="6">
        <v>104500</v>
      </c>
      <c r="B243" t="s">
        <v>53</v>
      </c>
      <c r="F243" t="s">
        <v>27</v>
      </c>
      <c r="H243" t="s">
        <v>711</v>
      </c>
      <c r="I243" t="str">
        <f>VLOOKUP(H243,Table1[#All],8,FALSE)</f>
        <v>Computers</v>
      </c>
      <c r="J243" t="str" cm="1">
        <f t="array" ref="J243">_xlfn.XLOOKUP(H243,Table1[[#All],[Order ID]],Table1[[#All],[Brand]],0)</f>
        <v>Dell</v>
      </c>
      <c r="K243" t="str">
        <f>INDEX(Table1[[#All],[Product Name]],MATCH(Sheet2!H243,Table1[[#All],[Order ID]],0))</f>
        <v>Laptop</v>
      </c>
    </row>
    <row r="244" spans="1:11" x14ac:dyDescent="0.25">
      <c r="A244" s="5">
        <v>2550</v>
      </c>
      <c r="B244" t="s">
        <v>68</v>
      </c>
      <c r="F244" t="s">
        <v>27</v>
      </c>
      <c r="H244" t="s">
        <v>714</v>
      </c>
      <c r="I244" t="str">
        <f>VLOOKUP(H244,Table1[#All],8,FALSE)</f>
        <v>Accessories</v>
      </c>
      <c r="J244" t="str" cm="1">
        <f t="array" ref="J244">_xlfn.XLOOKUP(H244,Table1[[#All],[Order ID]],Table1[[#All],[Brand]],0)</f>
        <v>HP</v>
      </c>
      <c r="K244" t="str">
        <f>INDEX(Table1[[#All],[Product Name]],MATCH(Sheet2!H244,Table1[[#All],[Order ID]],0))</f>
        <v>Keyboard</v>
      </c>
    </row>
    <row r="245" spans="1:11" x14ac:dyDescent="0.25">
      <c r="A245" s="6">
        <v>49500</v>
      </c>
      <c r="B245" t="s">
        <v>53</v>
      </c>
      <c r="F245" t="s">
        <v>27</v>
      </c>
      <c r="H245" t="s">
        <v>717</v>
      </c>
      <c r="I245" t="str">
        <f>VLOOKUP(H245,Table1[#All],8,FALSE)</f>
        <v>Computers</v>
      </c>
      <c r="J245" t="str" cm="1">
        <f t="array" ref="J245">_xlfn.XLOOKUP(H245,Table1[[#All],[Order ID]],Table1[[#All],[Brand]],0)</f>
        <v>Dell</v>
      </c>
      <c r="K245" t="str">
        <f>INDEX(Table1[[#All],[Product Name]],MATCH(Sheet2!H245,Table1[[#All],[Order ID]],0))</f>
        <v>Laptop</v>
      </c>
    </row>
    <row r="246" spans="1:11" x14ac:dyDescent="0.25">
      <c r="A246" s="5">
        <v>14000</v>
      </c>
      <c r="B246" t="s">
        <v>74</v>
      </c>
      <c r="F246" t="s">
        <v>27</v>
      </c>
      <c r="H246" t="s">
        <v>720</v>
      </c>
      <c r="I246" t="str">
        <f>VLOOKUP(H246,Table1[#All],8,FALSE)</f>
        <v>Audio</v>
      </c>
      <c r="J246" t="str" cm="1">
        <f t="array" ref="J246">_xlfn.XLOOKUP(H246,Table1[[#All],[Order ID]],Table1[[#All],[Brand]],0)</f>
        <v>Sony</v>
      </c>
      <c r="K246" t="str">
        <f>INDEX(Table1[[#All],[Product Name]],MATCH(Sheet2!H246,Table1[[#All],[Order ID]],0))</f>
        <v>Headphones</v>
      </c>
    </row>
    <row r="247" spans="1:11" x14ac:dyDescent="0.25">
      <c r="A247" s="6">
        <v>93500</v>
      </c>
      <c r="B247" t="s">
        <v>53</v>
      </c>
      <c r="F247" t="s">
        <v>27</v>
      </c>
      <c r="H247" t="s">
        <v>722</v>
      </c>
      <c r="I247" t="str">
        <f>VLOOKUP(H247,Table1[#All],8,FALSE)</f>
        <v>Computers</v>
      </c>
      <c r="J247" t="str" cm="1">
        <f t="array" ref="J247">_xlfn.XLOOKUP(H247,Table1[[#All],[Order ID]],Table1[[#All],[Brand]],0)</f>
        <v>Dell</v>
      </c>
      <c r="K247" t="str">
        <f>INDEX(Table1[[#All],[Product Name]],MATCH(Sheet2!H247,Table1[[#All],[Order ID]],0))</f>
        <v>Laptop</v>
      </c>
    </row>
    <row r="248" spans="1:11" x14ac:dyDescent="0.25">
      <c r="A248" s="5">
        <v>156750</v>
      </c>
      <c r="B248" t="s">
        <v>53</v>
      </c>
      <c r="F248" t="s">
        <v>27</v>
      </c>
      <c r="H248" t="s">
        <v>724</v>
      </c>
      <c r="I248" t="str">
        <f>VLOOKUP(H248,Table1[#All],8,FALSE)</f>
        <v>Computers</v>
      </c>
      <c r="J248" t="str" cm="1">
        <f t="array" ref="J248">_xlfn.XLOOKUP(H248,Table1[[#All],[Order ID]],Table1[[#All],[Brand]],0)</f>
        <v>Dell</v>
      </c>
      <c r="K248" t="str">
        <f>INDEX(Table1[[#All],[Product Name]],MATCH(Sheet2!H248,Table1[[#All],[Order ID]],0))</f>
        <v>Laptop</v>
      </c>
    </row>
    <row r="249" spans="1:11" x14ac:dyDescent="0.25">
      <c r="A249" s="6">
        <v>17100</v>
      </c>
      <c r="B249" t="s">
        <v>39</v>
      </c>
      <c r="F249" t="s">
        <v>40</v>
      </c>
      <c r="H249" t="s">
        <v>727</v>
      </c>
      <c r="I249" t="str">
        <f>VLOOKUP(H249,Table1[#All],8,FALSE)</f>
        <v>Office</v>
      </c>
      <c r="J249" t="str" cm="1">
        <f t="array" ref="J249">_xlfn.XLOOKUP(H249,Table1[[#All],[Order ID]],Table1[[#All],[Brand]],0)</f>
        <v>Nilkamal</v>
      </c>
      <c r="K249" t="str">
        <f>INDEX(Table1[[#All],[Product Name]],MATCH(Sheet2!H249,Table1[[#All],[Order ID]],0))</f>
        <v>Chair</v>
      </c>
    </row>
    <row r="250" spans="1:11" x14ac:dyDescent="0.25">
      <c r="A250" s="5">
        <v>2720</v>
      </c>
      <c r="B250" t="s">
        <v>26</v>
      </c>
      <c r="F250" t="s">
        <v>27</v>
      </c>
      <c r="H250" t="s">
        <v>730</v>
      </c>
      <c r="I250" t="str">
        <f>VLOOKUP(H250,Table1[#All],8,FALSE)</f>
        <v>Accessories</v>
      </c>
      <c r="J250" t="str" cm="1">
        <f t="array" ref="J250">_xlfn.XLOOKUP(H250,Table1[[#All],[Order ID]],Table1[[#All],[Brand]],0)</f>
        <v>Logitech</v>
      </c>
      <c r="K250" t="str">
        <f>INDEX(Table1[[#All],[Product Name]],MATCH(Sheet2!H250,Table1[[#All],[Order ID]],0))</f>
        <v>Mouse</v>
      </c>
    </row>
    <row r="251" spans="1:11" x14ac:dyDescent="0.25">
      <c r="A251" s="6">
        <v>5950</v>
      </c>
      <c r="B251" t="s">
        <v>74</v>
      </c>
      <c r="F251" t="s">
        <v>27</v>
      </c>
      <c r="H251" t="s">
        <v>733</v>
      </c>
      <c r="I251" t="str">
        <f>VLOOKUP(H251,Table1[#All],8,FALSE)</f>
        <v>Audio</v>
      </c>
      <c r="J251" t="str" cm="1">
        <f t="array" ref="J251">_xlfn.XLOOKUP(H251,Table1[[#All],[Order ID]],Table1[[#All],[Brand]],0)</f>
        <v>Sony</v>
      </c>
      <c r="K251" t="str">
        <f>INDEX(Table1[[#All],[Product Name]],MATCH(Sheet2!H251,Table1[[#All],[Order ID]],0))</f>
        <v>Headphones</v>
      </c>
    </row>
    <row r="252" spans="1:11" x14ac:dyDescent="0.25">
      <c r="A252" s="5">
        <v>15300</v>
      </c>
      <c r="B252" t="s">
        <v>39</v>
      </c>
      <c r="F252" t="s">
        <v>40</v>
      </c>
      <c r="H252" t="s">
        <v>736</v>
      </c>
      <c r="I252" t="str">
        <f>VLOOKUP(H252,Table1[#All],8,FALSE)</f>
        <v>Office</v>
      </c>
      <c r="J252" t="str" cm="1">
        <f t="array" ref="J252">_xlfn.XLOOKUP(H252,Table1[[#All],[Order ID]],Table1[[#All],[Brand]],0)</f>
        <v>Nilkamal</v>
      </c>
      <c r="K252" t="str">
        <f>INDEX(Table1[[#All],[Product Name]],MATCH(Sheet2!H252,Table1[[#All],[Order ID]],0))</f>
        <v>Chair</v>
      </c>
    </row>
    <row r="253" spans="1:11" x14ac:dyDescent="0.25">
      <c r="A253" s="6">
        <v>3600</v>
      </c>
      <c r="B253" t="s">
        <v>26</v>
      </c>
      <c r="F253" t="s">
        <v>27</v>
      </c>
      <c r="H253" t="s">
        <v>738</v>
      </c>
      <c r="I253" t="str">
        <f>VLOOKUP(H253,Table1[#All],8,FALSE)</f>
        <v>Accessories</v>
      </c>
      <c r="J253" t="str" cm="1">
        <f t="array" ref="J253">_xlfn.XLOOKUP(H253,Table1[[#All],[Order ID]],Table1[[#All],[Brand]],0)</f>
        <v>Logitech</v>
      </c>
      <c r="K253" t="str">
        <f>INDEX(Table1[[#All],[Product Name]],MATCH(Sheet2!H253,Table1[[#All],[Order ID]],0))</f>
        <v>Mouse</v>
      </c>
    </row>
    <row r="254" spans="1:11" x14ac:dyDescent="0.25">
      <c r="A254" s="5">
        <v>12600</v>
      </c>
      <c r="B254" t="s">
        <v>74</v>
      </c>
      <c r="F254" t="s">
        <v>27</v>
      </c>
      <c r="H254" t="s">
        <v>741</v>
      </c>
      <c r="I254" t="str">
        <f>VLOOKUP(H254,Table1[#All],8,FALSE)</f>
        <v>Audio</v>
      </c>
      <c r="J254" t="str" cm="1">
        <f t="array" ref="J254">_xlfn.XLOOKUP(H254,Table1[[#All],[Order ID]],Table1[[#All],[Brand]],0)</f>
        <v>Sony</v>
      </c>
      <c r="K254" t="str">
        <f>INDEX(Table1[[#All],[Product Name]],MATCH(Sheet2!H254,Table1[[#All],[Order ID]],0))</f>
        <v>Headphones</v>
      </c>
    </row>
    <row r="255" spans="1:11" x14ac:dyDescent="0.25">
      <c r="A255" s="6">
        <v>2880</v>
      </c>
      <c r="B255" t="s">
        <v>26</v>
      </c>
      <c r="F255" t="s">
        <v>27</v>
      </c>
      <c r="H255" t="s">
        <v>744</v>
      </c>
      <c r="I255" t="str">
        <f>VLOOKUP(H255,Table1[#All],8,FALSE)</f>
        <v>Accessories</v>
      </c>
      <c r="J255" t="str" cm="1">
        <f t="array" ref="J255">_xlfn.XLOOKUP(H255,Table1[[#All],[Order ID]],Table1[[#All],[Brand]],0)</f>
        <v>Logitech</v>
      </c>
      <c r="K255" t="str">
        <f>INDEX(Table1[[#All],[Product Name]],MATCH(Sheet2!H255,Table1[[#All],[Order ID]],0))</f>
        <v>Mouse</v>
      </c>
    </row>
    <row r="256" spans="1:11" x14ac:dyDescent="0.25">
      <c r="A256" s="5">
        <v>5100</v>
      </c>
      <c r="B256" t="s">
        <v>68</v>
      </c>
      <c r="F256" t="s">
        <v>27</v>
      </c>
      <c r="H256" t="s">
        <v>747</v>
      </c>
      <c r="I256" t="str">
        <f>VLOOKUP(H256,Table1[#All],8,FALSE)</f>
        <v>Accessories</v>
      </c>
      <c r="J256" t="str" cm="1">
        <f t="array" ref="J256">_xlfn.XLOOKUP(H256,Table1[[#All],[Order ID]],Table1[[#All],[Brand]],0)</f>
        <v>HP</v>
      </c>
      <c r="K256" t="str">
        <f>INDEX(Table1[[#All],[Product Name]],MATCH(Sheet2!H256,Table1[[#All],[Order ID]],0))</f>
        <v>Keyboard</v>
      </c>
    </row>
    <row r="257" spans="1:11" x14ac:dyDescent="0.25">
      <c r="A257" s="6">
        <v>1360</v>
      </c>
      <c r="B257" t="s">
        <v>26</v>
      </c>
      <c r="F257" t="s">
        <v>27</v>
      </c>
      <c r="H257" t="s">
        <v>749</v>
      </c>
      <c r="I257" t="str">
        <f>VLOOKUP(H257,Table1[#All],8,FALSE)</f>
        <v>Accessories</v>
      </c>
      <c r="J257" t="str" cm="1">
        <f t="array" ref="J257">_xlfn.XLOOKUP(H257,Table1[[#All],[Order ID]],Table1[[#All],[Brand]],0)</f>
        <v>Logitech</v>
      </c>
      <c r="K257" t="str">
        <f>INDEX(Table1[[#All],[Product Name]],MATCH(Sheet2!H257,Table1[[#All],[Order ID]],0))</f>
        <v>Mouse</v>
      </c>
    </row>
    <row r="258" spans="1:11" x14ac:dyDescent="0.25">
      <c r="A258" s="5">
        <v>2040</v>
      </c>
      <c r="B258" t="s">
        <v>26</v>
      </c>
      <c r="F258" t="s">
        <v>27</v>
      </c>
      <c r="H258" t="s">
        <v>752</v>
      </c>
      <c r="I258" t="str">
        <f>VLOOKUP(H258,Table1[#All],8,FALSE)</f>
        <v>Accessories</v>
      </c>
      <c r="J258" t="str" cm="1">
        <f t="array" ref="J258">_xlfn.XLOOKUP(H258,Table1[[#All],[Order ID]],Table1[[#All],[Brand]],0)</f>
        <v>Logitech</v>
      </c>
      <c r="K258" t="str">
        <f>INDEX(Table1[[#All],[Product Name]],MATCH(Sheet2!H258,Table1[[#All],[Order ID]],0))</f>
        <v>Mouse</v>
      </c>
    </row>
    <row r="259" spans="1:11" x14ac:dyDescent="0.25">
      <c r="A259" s="6">
        <v>15750</v>
      </c>
      <c r="B259" t="s">
        <v>74</v>
      </c>
      <c r="F259" t="s">
        <v>27</v>
      </c>
      <c r="H259" t="s">
        <v>754</v>
      </c>
      <c r="I259" t="str">
        <f>VLOOKUP(H259,Table1[#All],8,FALSE)</f>
        <v>Audio</v>
      </c>
      <c r="J259" t="str" cm="1">
        <f t="array" ref="J259">_xlfn.XLOOKUP(H259,Table1[[#All],[Order ID]],Table1[[#All],[Brand]],0)</f>
        <v>Sony</v>
      </c>
      <c r="K259" t="str">
        <f>INDEX(Table1[[#All],[Product Name]],MATCH(Sheet2!H259,Table1[[#All],[Order ID]],0))</f>
        <v>Headphones</v>
      </c>
    </row>
    <row r="260" spans="1:11" x14ac:dyDescent="0.25">
      <c r="A260" s="5">
        <v>18000</v>
      </c>
      <c r="B260" t="s">
        <v>39</v>
      </c>
      <c r="F260" t="s">
        <v>40</v>
      </c>
      <c r="H260" t="s">
        <v>757</v>
      </c>
      <c r="I260" t="str">
        <f>VLOOKUP(H260,Table1[#All],8,FALSE)</f>
        <v>Office</v>
      </c>
      <c r="J260" t="str" cm="1">
        <f t="array" ref="J260">_xlfn.XLOOKUP(H260,Table1[[#All],[Order ID]],Table1[[#All],[Brand]],0)</f>
        <v>Nilkamal</v>
      </c>
      <c r="K260" t="str">
        <f>INDEX(Table1[[#All],[Product Name]],MATCH(Sheet2!H260,Table1[[#All],[Order ID]],0))</f>
        <v>Chair</v>
      </c>
    </row>
    <row r="261" spans="1:11" x14ac:dyDescent="0.25">
      <c r="A261" s="6">
        <v>8550</v>
      </c>
      <c r="B261" t="s">
        <v>39</v>
      </c>
      <c r="F261" t="s">
        <v>40</v>
      </c>
      <c r="H261" t="s">
        <v>760</v>
      </c>
      <c r="I261" t="str">
        <f>VLOOKUP(H261,Table1[#All],8,FALSE)</f>
        <v>Office</v>
      </c>
      <c r="J261" t="str" cm="1">
        <f t="array" ref="J261">_xlfn.XLOOKUP(H261,Table1[[#All],[Order ID]],Table1[[#All],[Brand]],0)</f>
        <v>Nilkamal</v>
      </c>
      <c r="K261" t="str">
        <f>INDEX(Table1[[#All],[Product Name]],MATCH(Sheet2!H261,Table1[[#All],[Order ID]],0))</f>
        <v>Chair</v>
      </c>
    </row>
    <row r="262" spans="1:11" x14ac:dyDescent="0.25">
      <c r="A262" s="5">
        <v>93500</v>
      </c>
      <c r="B262" t="s">
        <v>53</v>
      </c>
      <c r="F262" t="s">
        <v>27</v>
      </c>
      <c r="H262" t="s">
        <v>763</v>
      </c>
      <c r="I262" t="str">
        <f>VLOOKUP(H262,Table1[#All],8,FALSE)</f>
        <v>Computers</v>
      </c>
      <c r="J262" t="str" cm="1">
        <f t="array" ref="J262">_xlfn.XLOOKUP(H262,Table1[[#All],[Order ID]],Table1[[#All],[Brand]],0)</f>
        <v>Dell</v>
      </c>
      <c r="K262" t="str">
        <f>INDEX(Table1[[#All],[Product Name]],MATCH(Sheet2!H262,Table1[[#All],[Order ID]],0))</f>
        <v>Laptop</v>
      </c>
    </row>
    <row r="263" spans="1:11" x14ac:dyDescent="0.25">
      <c r="A263" s="6">
        <v>93500</v>
      </c>
      <c r="B263" t="s">
        <v>53</v>
      </c>
      <c r="F263" t="s">
        <v>27</v>
      </c>
      <c r="H263" t="s">
        <v>765</v>
      </c>
      <c r="I263" t="str">
        <f>VLOOKUP(H263,Table1[#All],8,FALSE)</f>
        <v>Computers</v>
      </c>
      <c r="J263" t="str" cm="1">
        <f t="array" ref="J263">_xlfn.XLOOKUP(H263,Table1[[#All],[Order ID]],Table1[[#All],[Brand]],0)</f>
        <v>Dell</v>
      </c>
      <c r="K263" t="str">
        <f>INDEX(Table1[[#All],[Product Name]],MATCH(Sheet2!H263,Table1[[#All],[Order ID]],0))</f>
        <v>Laptop</v>
      </c>
    </row>
    <row r="264" spans="1:11" x14ac:dyDescent="0.25">
      <c r="A264" s="5">
        <v>1520</v>
      </c>
      <c r="B264" t="s">
        <v>26</v>
      </c>
      <c r="F264" t="s">
        <v>27</v>
      </c>
      <c r="H264" t="s">
        <v>767</v>
      </c>
      <c r="I264" t="str">
        <f>VLOOKUP(H264,Table1[#All],8,FALSE)</f>
        <v>Accessories</v>
      </c>
      <c r="J264" t="str" cm="1">
        <f t="array" ref="J264">_xlfn.XLOOKUP(H264,Table1[[#All],[Order ID]],Table1[[#All],[Brand]],0)</f>
        <v>Logitech</v>
      </c>
      <c r="K264" t="str">
        <f>INDEX(Table1[[#All],[Product Name]],MATCH(Sheet2!H264,Table1[[#All],[Order ID]],0))</f>
        <v>Mouse</v>
      </c>
    </row>
    <row r="265" spans="1:11" x14ac:dyDescent="0.25">
      <c r="A265" s="6">
        <v>12150</v>
      </c>
      <c r="B265" t="s">
        <v>39</v>
      </c>
      <c r="F265" t="s">
        <v>40</v>
      </c>
      <c r="H265" t="s">
        <v>769</v>
      </c>
      <c r="I265" t="str">
        <f>VLOOKUP(H265,Table1[#All],8,FALSE)</f>
        <v>Office</v>
      </c>
      <c r="J265" t="str" cm="1">
        <f t="array" ref="J265">_xlfn.XLOOKUP(H265,Table1[[#All],[Order ID]],Table1[[#All],[Brand]],0)</f>
        <v>Nilkamal</v>
      </c>
      <c r="K265" t="str">
        <f>INDEX(Table1[[#All],[Product Name]],MATCH(Sheet2!H265,Table1[[#All],[Order ID]],0))</f>
        <v>Chair</v>
      </c>
    </row>
    <row r="266" spans="1:11" x14ac:dyDescent="0.25">
      <c r="A266" s="5">
        <v>8100</v>
      </c>
      <c r="B266" t="s">
        <v>39</v>
      </c>
      <c r="F266" t="s">
        <v>40</v>
      </c>
      <c r="H266" t="s">
        <v>771</v>
      </c>
      <c r="I266" t="str">
        <f>VLOOKUP(H266,Table1[#All],8,FALSE)</f>
        <v>Office</v>
      </c>
      <c r="J266" t="str" cm="1">
        <f t="array" ref="J266">_xlfn.XLOOKUP(H266,Table1[[#All],[Order ID]],Table1[[#All],[Brand]],0)</f>
        <v>Nilkamal</v>
      </c>
      <c r="K266" t="str">
        <f>INDEX(Table1[[#All],[Product Name]],MATCH(Sheet2!H266,Table1[[#All],[Order ID]],0))</f>
        <v>Chair</v>
      </c>
    </row>
    <row r="267" spans="1:11" x14ac:dyDescent="0.25">
      <c r="A267" s="6">
        <v>140250</v>
      </c>
      <c r="B267" t="s">
        <v>53</v>
      </c>
      <c r="F267" t="s">
        <v>27</v>
      </c>
      <c r="H267" t="s">
        <v>772</v>
      </c>
      <c r="I267" t="str">
        <f>VLOOKUP(H267,Table1[#All],8,FALSE)</f>
        <v>Computers</v>
      </c>
      <c r="J267" t="str" cm="1">
        <f t="array" ref="J267">_xlfn.XLOOKUP(H267,Table1[[#All],[Order ID]],Table1[[#All],[Brand]],0)</f>
        <v>Dell</v>
      </c>
      <c r="K267" t="str">
        <f>INDEX(Table1[[#All],[Product Name]],MATCH(Sheet2!H267,Table1[[#All],[Order ID]],0))</f>
        <v>Laptop</v>
      </c>
    </row>
    <row r="268" spans="1:11" x14ac:dyDescent="0.25">
      <c r="A268" s="5">
        <v>2280</v>
      </c>
      <c r="B268" t="s">
        <v>26</v>
      </c>
      <c r="F268" t="s">
        <v>27</v>
      </c>
      <c r="H268" t="s">
        <v>774</v>
      </c>
      <c r="I268" t="str">
        <f>VLOOKUP(H268,Table1[#All],8,FALSE)</f>
        <v>Accessories</v>
      </c>
      <c r="J268" t="str" cm="1">
        <f t="array" ref="J268">_xlfn.XLOOKUP(H268,Table1[[#All],[Order ID]],Table1[[#All],[Brand]],0)</f>
        <v>Logitech</v>
      </c>
      <c r="K268" t="str">
        <f>INDEX(Table1[[#All],[Product Name]],MATCH(Sheet2!H268,Table1[[#All],[Order ID]],0))</f>
        <v>Mouse</v>
      </c>
    </row>
    <row r="269" spans="1:11" x14ac:dyDescent="0.25">
      <c r="A269" s="6">
        <v>1275</v>
      </c>
      <c r="B269" t="s">
        <v>68</v>
      </c>
      <c r="F269" t="s">
        <v>27</v>
      </c>
      <c r="H269" t="s">
        <v>777</v>
      </c>
      <c r="I269" t="str">
        <f>VLOOKUP(H269,Table1[#All],8,FALSE)</f>
        <v>Accessories</v>
      </c>
      <c r="J269" t="str" cm="1">
        <f t="array" ref="J269">_xlfn.XLOOKUP(H269,Table1[[#All],[Order ID]],Table1[[#All],[Brand]],0)</f>
        <v>HP</v>
      </c>
      <c r="K269" t="str">
        <f>INDEX(Table1[[#All],[Product Name]],MATCH(Sheet2!H269,Table1[[#All],[Order ID]],0))</f>
        <v>Keyboard</v>
      </c>
    </row>
    <row r="270" spans="1:11" x14ac:dyDescent="0.25">
      <c r="A270" s="5">
        <v>3200</v>
      </c>
      <c r="B270" t="s">
        <v>26</v>
      </c>
      <c r="F270" t="s">
        <v>27</v>
      </c>
      <c r="H270" t="s">
        <v>779</v>
      </c>
      <c r="I270" t="str">
        <f>VLOOKUP(H270,Table1[#All],8,FALSE)</f>
        <v>Accessories</v>
      </c>
      <c r="J270" t="str" cm="1">
        <f t="array" ref="J270">_xlfn.XLOOKUP(H270,Table1[[#All],[Order ID]],Table1[[#All],[Brand]],0)</f>
        <v>Logitech</v>
      </c>
      <c r="K270" t="str">
        <f>INDEX(Table1[[#All],[Product Name]],MATCH(Sheet2!H270,Table1[[#All],[Order ID]],0))</f>
        <v>Mouse</v>
      </c>
    </row>
    <row r="271" spans="1:11" x14ac:dyDescent="0.25">
      <c r="A271" s="6">
        <v>3200</v>
      </c>
      <c r="B271" t="s">
        <v>26</v>
      </c>
      <c r="F271" t="s">
        <v>27</v>
      </c>
      <c r="H271" t="s">
        <v>780</v>
      </c>
      <c r="I271" t="str">
        <f>VLOOKUP(H271,Table1[#All],8,FALSE)</f>
        <v>Accessories</v>
      </c>
      <c r="J271" t="str" cm="1">
        <f t="array" ref="J271">_xlfn.XLOOKUP(H271,Table1[[#All],[Order ID]],Table1[[#All],[Brand]],0)</f>
        <v>Logitech</v>
      </c>
      <c r="K271" t="str">
        <f>INDEX(Table1[[#All],[Product Name]],MATCH(Sheet2!H271,Table1[[#All],[Order ID]],0))</f>
        <v>Mouse</v>
      </c>
    </row>
    <row r="272" spans="1:11" x14ac:dyDescent="0.25">
      <c r="A272" s="5">
        <v>22500</v>
      </c>
      <c r="B272" t="s">
        <v>39</v>
      </c>
      <c r="F272" t="s">
        <v>40</v>
      </c>
      <c r="H272" t="s">
        <v>782</v>
      </c>
      <c r="I272" t="str">
        <f>VLOOKUP(H272,Table1[#All],8,FALSE)</f>
        <v>Office</v>
      </c>
      <c r="J272" t="str" cm="1">
        <f t="array" ref="J272">_xlfn.XLOOKUP(H272,Table1[[#All],[Order ID]],Table1[[#All],[Brand]],0)</f>
        <v>Nilkamal</v>
      </c>
      <c r="K272" t="str">
        <f>INDEX(Table1[[#All],[Product Name]],MATCH(Sheet2!H272,Table1[[#All],[Order ID]],0))</f>
        <v>Chair</v>
      </c>
    </row>
    <row r="273" spans="1:11" x14ac:dyDescent="0.25">
      <c r="A273" s="6">
        <v>5100</v>
      </c>
      <c r="B273" t="s">
        <v>68</v>
      </c>
      <c r="F273" t="s">
        <v>27</v>
      </c>
      <c r="H273" t="s">
        <v>784</v>
      </c>
      <c r="I273" t="str">
        <f>VLOOKUP(H273,Table1[#All],8,FALSE)</f>
        <v>Accessories</v>
      </c>
      <c r="J273" t="str" cm="1">
        <f t="array" ref="J273">_xlfn.XLOOKUP(H273,Table1[[#All],[Order ID]],Table1[[#All],[Brand]],0)</f>
        <v>HP</v>
      </c>
      <c r="K273" t="str">
        <f>INDEX(Table1[[#All],[Product Name]],MATCH(Sheet2!H273,Table1[[#All],[Order ID]],0))</f>
        <v>Keyboard</v>
      </c>
    </row>
    <row r="274" spans="1:11" x14ac:dyDescent="0.25">
      <c r="A274" s="5">
        <v>22500</v>
      </c>
      <c r="B274" t="s">
        <v>39</v>
      </c>
      <c r="F274" t="s">
        <v>40</v>
      </c>
      <c r="H274" t="s">
        <v>786</v>
      </c>
      <c r="I274" t="str">
        <f>VLOOKUP(H274,Table1[#All],8,FALSE)</f>
        <v>Office</v>
      </c>
      <c r="J274" t="str" cm="1">
        <f t="array" ref="J274">_xlfn.XLOOKUP(H274,Table1[[#All],[Order ID]],Table1[[#All],[Brand]],0)</f>
        <v>Nilkamal</v>
      </c>
      <c r="K274" t="str">
        <f>INDEX(Table1[[#All],[Product Name]],MATCH(Sheet2!H274,Table1[[#All],[Order ID]],0))</f>
        <v>Chair</v>
      </c>
    </row>
    <row r="275" spans="1:11" x14ac:dyDescent="0.25">
      <c r="A275" s="6">
        <v>1275</v>
      </c>
      <c r="B275" t="s">
        <v>68</v>
      </c>
      <c r="F275" t="s">
        <v>27</v>
      </c>
      <c r="H275" t="s">
        <v>789</v>
      </c>
      <c r="I275" t="str">
        <f>VLOOKUP(H275,Table1[#All],8,FALSE)</f>
        <v>Accessories</v>
      </c>
      <c r="J275" t="str" cm="1">
        <f t="array" ref="J275">_xlfn.XLOOKUP(H275,Table1[[#All],[Order ID]],Table1[[#All],[Brand]],0)</f>
        <v>HP</v>
      </c>
      <c r="K275" t="str">
        <f>INDEX(Table1[[#All],[Product Name]],MATCH(Sheet2!H275,Table1[[#All],[Order ID]],0))</f>
        <v>Keyboard</v>
      </c>
    </row>
    <row r="276" spans="1:11" x14ac:dyDescent="0.25">
      <c r="A276" s="5">
        <v>209000</v>
      </c>
      <c r="B276" t="s">
        <v>53</v>
      </c>
      <c r="F276" t="s">
        <v>27</v>
      </c>
      <c r="H276" t="s">
        <v>792</v>
      </c>
      <c r="I276" t="str">
        <f>VLOOKUP(H276,Table1[#All],8,FALSE)</f>
        <v>Computers</v>
      </c>
      <c r="J276" t="str" cm="1">
        <f t="array" ref="J276">_xlfn.XLOOKUP(H276,Table1[[#All],[Order ID]],Table1[[#All],[Brand]],0)</f>
        <v>Dell</v>
      </c>
      <c r="K276" t="str">
        <f>INDEX(Table1[[#All],[Product Name]],MATCH(Sheet2!H276,Table1[[#All],[Order ID]],0))</f>
        <v>Laptop</v>
      </c>
    </row>
    <row r="277" spans="1:11" x14ac:dyDescent="0.25">
      <c r="A277" s="6">
        <v>6300</v>
      </c>
      <c r="B277" t="s">
        <v>74</v>
      </c>
      <c r="F277" t="s">
        <v>27</v>
      </c>
      <c r="H277" t="s">
        <v>794</v>
      </c>
      <c r="I277" t="str">
        <f>VLOOKUP(H277,Table1[#All],8,FALSE)</f>
        <v>Audio</v>
      </c>
      <c r="J277" t="str" cm="1">
        <f t="array" ref="J277">_xlfn.XLOOKUP(H277,Table1[[#All],[Order ID]],Table1[[#All],[Brand]],0)</f>
        <v>Sony</v>
      </c>
      <c r="K277" t="str">
        <f>INDEX(Table1[[#All],[Product Name]],MATCH(Sheet2!H277,Table1[[#All],[Order ID]],0))</f>
        <v>Headphones</v>
      </c>
    </row>
    <row r="278" spans="1:11" x14ac:dyDescent="0.25">
      <c r="A278" s="5">
        <v>2040</v>
      </c>
      <c r="B278" t="s">
        <v>26</v>
      </c>
      <c r="F278" t="s">
        <v>27</v>
      </c>
      <c r="H278" t="s">
        <v>797</v>
      </c>
      <c r="I278" t="str">
        <f>VLOOKUP(H278,Table1[#All],8,FALSE)</f>
        <v>Accessories</v>
      </c>
      <c r="J278" t="str" cm="1">
        <f t="array" ref="J278">_xlfn.XLOOKUP(H278,Table1[[#All],[Order ID]],Table1[[#All],[Brand]],0)</f>
        <v>Logitech</v>
      </c>
      <c r="K278" t="str">
        <f>INDEX(Table1[[#All],[Product Name]],MATCH(Sheet2!H278,Table1[[#All],[Order ID]],0))</f>
        <v>Mouse</v>
      </c>
    </row>
    <row r="279" spans="1:11" x14ac:dyDescent="0.25">
      <c r="A279" s="6">
        <v>720</v>
      </c>
      <c r="B279" t="s">
        <v>26</v>
      </c>
      <c r="F279" t="s">
        <v>27</v>
      </c>
      <c r="H279" t="s">
        <v>799</v>
      </c>
      <c r="I279" t="str">
        <f>VLOOKUP(H279,Table1[#All],8,FALSE)</f>
        <v>Accessories</v>
      </c>
      <c r="J279" t="str" cm="1">
        <f t="array" ref="J279">_xlfn.XLOOKUP(H279,Table1[[#All],[Order ID]],Table1[[#All],[Brand]],0)</f>
        <v>Logitech</v>
      </c>
      <c r="K279" t="str">
        <f>INDEX(Table1[[#All],[Product Name]],MATCH(Sheet2!H279,Table1[[#All],[Order ID]],0))</f>
        <v>Mouse</v>
      </c>
    </row>
    <row r="280" spans="1:11" x14ac:dyDescent="0.25">
      <c r="A280" s="5">
        <v>2040</v>
      </c>
      <c r="B280" t="s">
        <v>26</v>
      </c>
      <c r="F280" t="s">
        <v>27</v>
      </c>
      <c r="H280" t="s">
        <v>801</v>
      </c>
      <c r="I280" t="str">
        <f>VLOOKUP(H280,Table1[#All],8,FALSE)</f>
        <v>Accessories</v>
      </c>
      <c r="J280" t="str" cm="1">
        <f t="array" ref="J280">_xlfn.XLOOKUP(H280,Table1[[#All],[Order ID]],Table1[[#All],[Brand]],0)</f>
        <v>Logitech</v>
      </c>
      <c r="K280" t="str">
        <f>INDEX(Table1[[#All],[Product Name]],MATCH(Sheet2!H280,Table1[[#All],[Order ID]],0))</f>
        <v>Mouse</v>
      </c>
    </row>
    <row r="281" spans="1:11" x14ac:dyDescent="0.25">
      <c r="A281" s="6">
        <v>3150</v>
      </c>
      <c r="B281" t="s">
        <v>74</v>
      </c>
      <c r="F281" t="s">
        <v>27</v>
      </c>
      <c r="H281" t="s">
        <v>802</v>
      </c>
      <c r="I281" t="str">
        <f>VLOOKUP(H281,Table1[#All],8,FALSE)</f>
        <v>Audio</v>
      </c>
      <c r="J281" t="str" cm="1">
        <f t="array" ref="J281">_xlfn.XLOOKUP(H281,Table1[[#All],[Order ID]],Table1[[#All],[Brand]],0)</f>
        <v>Sony</v>
      </c>
      <c r="K281" t="str">
        <f>INDEX(Table1[[#All],[Product Name]],MATCH(Sheet2!H281,Table1[[#All],[Order ID]],0))</f>
        <v>Headphones</v>
      </c>
    </row>
    <row r="282" spans="1:11" x14ac:dyDescent="0.25">
      <c r="A282" s="5">
        <v>1275</v>
      </c>
      <c r="B282" t="s">
        <v>68</v>
      </c>
      <c r="F282" t="s">
        <v>27</v>
      </c>
      <c r="H282" t="s">
        <v>805</v>
      </c>
      <c r="I282" t="str">
        <f>VLOOKUP(H282,Table1[#All],8,FALSE)</f>
        <v>Accessories</v>
      </c>
      <c r="J282" t="str" cm="1">
        <f t="array" ref="J282">_xlfn.XLOOKUP(H282,Table1[[#All],[Order ID]],Table1[[#All],[Brand]],0)</f>
        <v>HP</v>
      </c>
      <c r="K282" t="str">
        <f>INDEX(Table1[[#All],[Product Name]],MATCH(Sheet2!H282,Table1[[#All],[Order ID]],0))</f>
        <v>Keyboard</v>
      </c>
    </row>
    <row r="283" spans="1:11" x14ac:dyDescent="0.25">
      <c r="A283" s="6">
        <v>7650</v>
      </c>
      <c r="B283" t="s">
        <v>39</v>
      </c>
      <c r="F283" t="s">
        <v>40</v>
      </c>
      <c r="H283" t="s">
        <v>807</v>
      </c>
      <c r="I283" t="str">
        <f>VLOOKUP(H283,Table1[#All],8,FALSE)</f>
        <v>Office</v>
      </c>
      <c r="J283" t="str" cm="1">
        <f t="array" ref="J283">_xlfn.XLOOKUP(H283,Table1[[#All],[Order ID]],Table1[[#All],[Brand]],0)</f>
        <v>Nilkamal</v>
      </c>
      <c r="K283" t="str">
        <f>INDEX(Table1[[#All],[Product Name]],MATCH(Sheet2!H283,Table1[[#All],[Order ID]],0))</f>
        <v>Chair</v>
      </c>
    </row>
    <row r="284" spans="1:11" x14ac:dyDescent="0.25">
      <c r="A284" s="5">
        <v>6375</v>
      </c>
      <c r="B284" t="s">
        <v>68</v>
      </c>
      <c r="F284" t="s">
        <v>27</v>
      </c>
      <c r="H284" t="s">
        <v>809</v>
      </c>
      <c r="I284" t="str">
        <f>VLOOKUP(H284,Table1[#All],8,FALSE)</f>
        <v>Accessories</v>
      </c>
      <c r="J284" t="str" cm="1">
        <f t="array" ref="J284">_xlfn.XLOOKUP(H284,Table1[[#All],[Order ID]],Table1[[#All],[Brand]],0)</f>
        <v>HP</v>
      </c>
      <c r="K284" t="str">
        <f>INDEX(Table1[[#All],[Product Name]],MATCH(Sheet2!H284,Table1[[#All],[Order ID]],0))</f>
        <v>Keyboard</v>
      </c>
    </row>
    <row r="285" spans="1:11" x14ac:dyDescent="0.25">
      <c r="A285" s="6">
        <v>10500</v>
      </c>
      <c r="B285" t="s">
        <v>74</v>
      </c>
      <c r="F285" t="s">
        <v>27</v>
      </c>
      <c r="H285" t="s">
        <v>812</v>
      </c>
      <c r="I285" t="str">
        <f>VLOOKUP(H285,Table1[#All],8,FALSE)</f>
        <v>Audio</v>
      </c>
      <c r="J285" t="str" cm="1">
        <f t="array" ref="J285">_xlfn.XLOOKUP(H285,Table1[[#All],[Order ID]],Table1[[#All],[Brand]],0)</f>
        <v>Sony</v>
      </c>
      <c r="K285" t="str">
        <f>INDEX(Table1[[#All],[Product Name]],MATCH(Sheet2!H285,Table1[[#All],[Order ID]],0))</f>
        <v>Headphones</v>
      </c>
    </row>
    <row r="286" spans="1:11" x14ac:dyDescent="0.25">
      <c r="A286" s="5">
        <v>12825</v>
      </c>
      <c r="B286" t="s">
        <v>39</v>
      </c>
      <c r="F286" t="s">
        <v>40</v>
      </c>
      <c r="H286" t="s">
        <v>814</v>
      </c>
      <c r="I286" t="str">
        <f>VLOOKUP(H286,Table1[#All],8,FALSE)</f>
        <v>Office</v>
      </c>
      <c r="J286" t="str" cm="1">
        <f t="array" ref="J286">_xlfn.XLOOKUP(H286,Table1[[#All],[Order ID]],Table1[[#All],[Brand]],0)</f>
        <v>Nilkamal</v>
      </c>
      <c r="K286" t="str">
        <f>INDEX(Table1[[#All],[Product Name]],MATCH(Sheet2!H286,Table1[[#All],[Order ID]],0))</f>
        <v>Chair</v>
      </c>
    </row>
    <row r="287" spans="1:11" x14ac:dyDescent="0.25">
      <c r="A287" s="6">
        <v>6375</v>
      </c>
      <c r="B287" t="s">
        <v>68</v>
      </c>
      <c r="F287" t="s">
        <v>27</v>
      </c>
      <c r="H287" t="s">
        <v>816</v>
      </c>
      <c r="I287" t="str">
        <f>VLOOKUP(H287,Table1[#All],8,FALSE)</f>
        <v>Accessories</v>
      </c>
      <c r="J287" t="str" cm="1">
        <f t="array" ref="J287">_xlfn.XLOOKUP(H287,Table1[[#All],[Order ID]],Table1[[#All],[Brand]],0)</f>
        <v>HP</v>
      </c>
      <c r="K287" t="str">
        <f>INDEX(Table1[[#All],[Product Name]],MATCH(Sheet2!H287,Table1[[#All],[Order ID]],0))</f>
        <v>Keyboard</v>
      </c>
    </row>
    <row r="288" spans="1:11" x14ac:dyDescent="0.25">
      <c r="A288" s="5">
        <v>2700</v>
      </c>
      <c r="B288" t="s">
        <v>68</v>
      </c>
      <c r="F288" t="s">
        <v>27</v>
      </c>
      <c r="H288" t="s">
        <v>818</v>
      </c>
      <c r="I288" t="str">
        <f>VLOOKUP(H288,Table1[#All],8,FALSE)</f>
        <v>Accessories</v>
      </c>
      <c r="J288" t="str" cm="1">
        <f t="array" ref="J288">_xlfn.XLOOKUP(H288,Table1[[#All],[Order ID]],Table1[[#All],[Brand]],0)</f>
        <v>HP</v>
      </c>
      <c r="K288" t="str">
        <f>INDEX(Table1[[#All],[Product Name]],MATCH(Sheet2!H288,Table1[[#All],[Order ID]],0))</f>
        <v>Keyboard</v>
      </c>
    </row>
    <row r="289" spans="1:11" x14ac:dyDescent="0.25">
      <c r="A289" s="6">
        <v>8100</v>
      </c>
      <c r="B289" t="s">
        <v>39</v>
      </c>
      <c r="F289" t="s">
        <v>40</v>
      </c>
      <c r="H289" t="s">
        <v>821</v>
      </c>
      <c r="I289" t="str">
        <f>VLOOKUP(H289,Table1[#All],8,FALSE)</f>
        <v>Office</v>
      </c>
      <c r="J289" t="str" cm="1">
        <f t="array" ref="J289">_xlfn.XLOOKUP(H289,Table1[[#All],[Order ID]],Table1[[#All],[Brand]],0)</f>
        <v>Nilkamal</v>
      </c>
      <c r="K289" t="str">
        <f>INDEX(Table1[[#All],[Product Name]],MATCH(Sheet2!H289,Table1[[#All],[Order ID]],0))</f>
        <v>Chair</v>
      </c>
    </row>
    <row r="290" spans="1:11" x14ac:dyDescent="0.25">
      <c r="A290" s="5">
        <v>4500</v>
      </c>
      <c r="B290" t="s">
        <v>68</v>
      </c>
      <c r="F290" t="s">
        <v>27</v>
      </c>
      <c r="H290" t="s">
        <v>824</v>
      </c>
      <c r="I290" t="str">
        <f>VLOOKUP(H290,Table1[#All],8,FALSE)</f>
        <v>Accessories</v>
      </c>
      <c r="J290" t="str" cm="1">
        <f t="array" ref="J290">_xlfn.XLOOKUP(H290,Table1[[#All],[Order ID]],Table1[[#All],[Brand]],0)</f>
        <v>HP</v>
      </c>
      <c r="K290" t="str">
        <f>INDEX(Table1[[#All],[Product Name]],MATCH(Sheet2!H290,Table1[[#All],[Order ID]],0))</f>
        <v>Keyboard</v>
      </c>
    </row>
    <row r="291" spans="1:11" x14ac:dyDescent="0.25">
      <c r="A291" s="6">
        <v>6375</v>
      </c>
      <c r="B291" t="s">
        <v>68</v>
      </c>
      <c r="F291" t="s">
        <v>27</v>
      </c>
      <c r="H291" t="s">
        <v>826</v>
      </c>
      <c r="I291" t="str">
        <f>VLOOKUP(H291,Table1[#All],8,FALSE)</f>
        <v>Accessories</v>
      </c>
      <c r="J291" t="str" cm="1">
        <f t="array" ref="J291">_xlfn.XLOOKUP(H291,Table1[[#All],[Order ID]],Table1[[#All],[Brand]],0)</f>
        <v>HP</v>
      </c>
      <c r="K291" t="str">
        <f>INDEX(Table1[[#All],[Product Name]],MATCH(Sheet2!H291,Table1[[#All],[Order ID]],0))</f>
        <v>Keyboard</v>
      </c>
    </row>
    <row r="292" spans="1:11" x14ac:dyDescent="0.25">
      <c r="A292" s="5">
        <v>5950</v>
      </c>
      <c r="B292" t="s">
        <v>74</v>
      </c>
      <c r="F292" t="s">
        <v>27</v>
      </c>
      <c r="H292" t="s">
        <v>827</v>
      </c>
      <c r="I292" t="str">
        <f>VLOOKUP(H292,Table1[#All],8,FALSE)</f>
        <v>Audio</v>
      </c>
      <c r="J292" t="str" cm="1">
        <f t="array" ref="J292">_xlfn.XLOOKUP(H292,Table1[[#All],[Order ID]],Table1[[#All],[Brand]],0)</f>
        <v>Sony</v>
      </c>
      <c r="K292" t="str">
        <f>INDEX(Table1[[#All],[Product Name]],MATCH(Sheet2!H292,Table1[[#All],[Order ID]],0))</f>
        <v>Headphones</v>
      </c>
    </row>
    <row r="293" spans="1:11" x14ac:dyDescent="0.25">
      <c r="A293" s="6">
        <v>15300</v>
      </c>
      <c r="B293" t="s">
        <v>39</v>
      </c>
      <c r="F293" t="s">
        <v>40</v>
      </c>
      <c r="H293" t="s">
        <v>829</v>
      </c>
      <c r="I293" t="str">
        <f>VLOOKUP(H293,Table1[#All],8,FALSE)</f>
        <v>Office</v>
      </c>
      <c r="J293" t="str" cm="1">
        <f t="array" ref="J293">_xlfn.XLOOKUP(H293,Table1[[#All],[Order ID]],Table1[[#All],[Brand]],0)</f>
        <v>Nilkamal</v>
      </c>
      <c r="K293" t="str">
        <f>INDEX(Table1[[#All],[Product Name]],MATCH(Sheet2!H293,Table1[[#All],[Order ID]],0))</f>
        <v>Chair</v>
      </c>
    </row>
    <row r="294" spans="1:11" x14ac:dyDescent="0.25">
      <c r="A294" s="5">
        <v>2880</v>
      </c>
      <c r="B294" t="s">
        <v>26</v>
      </c>
      <c r="F294" t="s">
        <v>27</v>
      </c>
      <c r="H294" t="s">
        <v>831</v>
      </c>
      <c r="I294" t="str">
        <f>VLOOKUP(H294,Table1[#All],8,FALSE)</f>
        <v>Accessories</v>
      </c>
      <c r="J294" t="str" cm="1">
        <f t="array" ref="J294">_xlfn.XLOOKUP(H294,Table1[[#All],[Order ID]],Table1[[#All],[Brand]],0)</f>
        <v>Logitech</v>
      </c>
      <c r="K294" t="str">
        <f>INDEX(Table1[[#All],[Product Name]],MATCH(Sheet2!H294,Table1[[#All],[Order ID]],0))</f>
        <v>Mouse</v>
      </c>
    </row>
    <row r="295" spans="1:11" x14ac:dyDescent="0.25">
      <c r="A295" s="6">
        <v>5950</v>
      </c>
      <c r="B295" t="s">
        <v>74</v>
      </c>
      <c r="F295" t="s">
        <v>27</v>
      </c>
      <c r="H295" t="s">
        <v>833</v>
      </c>
      <c r="I295" t="str">
        <f>VLOOKUP(H295,Table1[#All],8,FALSE)</f>
        <v>Audio</v>
      </c>
      <c r="J295" t="str" cm="1">
        <f t="array" ref="J295">_xlfn.XLOOKUP(H295,Table1[[#All],[Order ID]],Table1[[#All],[Brand]],0)</f>
        <v>Sony</v>
      </c>
      <c r="K295" t="str">
        <f>INDEX(Table1[[#All],[Product Name]],MATCH(Sheet2!H295,Table1[[#All],[Order ID]],0))</f>
        <v>Headphones</v>
      </c>
    </row>
    <row r="296" spans="1:11" x14ac:dyDescent="0.25">
      <c r="A296" s="5">
        <v>3000</v>
      </c>
      <c r="B296" t="s">
        <v>68</v>
      </c>
      <c r="F296" t="s">
        <v>27</v>
      </c>
      <c r="H296" t="s">
        <v>834</v>
      </c>
      <c r="I296" t="str">
        <f>VLOOKUP(H296,Table1[#All],8,FALSE)</f>
        <v>Accessories</v>
      </c>
      <c r="J296" t="str" cm="1">
        <f t="array" ref="J296">_xlfn.XLOOKUP(H296,Table1[[#All],[Order ID]],Table1[[#All],[Brand]],0)</f>
        <v>HP</v>
      </c>
      <c r="K296" t="str">
        <f>INDEX(Table1[[#All],[Product Name]],MATCH(Sheet2!H296,Table1[[#All],[Order ID]],0))</f>
        <v>Keyboard</v>
      </c>
    </row>
    <row r="297" spans="1:11" x14ac:dyDescent="0.25">
      <c r="A297" s="6">
        <v>9450</v>
      </c>
      <c r="B297" t="s">
        <v>74</v>
      </c>
      <c r="F297" t="s">
        <v>27</v>
      </c>
      <c r="H297" t="s">
        <v>836</v>
      </c>
      <c r="I297" t="str">
        <f>VLOOKUP(H297,Table1[#All],8,FALSE)</f>
        <v>Audio</v>
      </c>
      <c r="J297" t="str" cm="1">
        <f t="array" ref="J297">_xlfn.XLOOKUP(H297,Table1[[#All],[Order ID]],Table1[[#All],[Brand]],0)</f>
        <v>Sony</v>
      </c>
      <c r="K297" t="str">
        <f>INDEX(Table1[[#All],[Product Name]],MATCH(Sheet2!H297,Table1[[#All],[Order ID]],0))</f>
        <v>Headphones</v>
      </c>
    </row>
    <row r="298" spans="1:11" x14ac:dyDescent="0.25">
      <c r="A298" s="5">
        <v>10500</v>
      </c>
      <c r="B298" t="s">
        <v>74</v>
      </c>
      <c r="F298" t="s">
        <v>27</v>
      </c>
      <c r="H298" t="s">
        <v>839</v>
      </c>
      <c r="I298" t="str">
        <f>VLOOKUP(H298,Table1[#All],8,FALSE)</f>
        <v>Audio</v>
      </c>
      <c r="J298" t="str" cm="1">
        <f t="array" ref="J298">_xlfn.XLOOKUP(H298,Table1[[#All],[Order ID]],Table1[[#All],[Brand]],0)</f>
        <v>Sony</v>
      </c>
      <c r="K298" t="str">
        <f>INDEX(Table1[[#All],[Product Name]],MATCH(Sheet2!H298,Table1[[#All],[Order ID]],0))</f>
        <v>Headphones</v>
      </c>
    </row>
    <row r="299" spans="1:11" x14ac:dyDescent="0.25">
      <c r="A299" s="6">
        <v>680</v>
      </c>
      <c r="B299" t="s">
        <v>26</v>
      </c>
      <c r="F299" t="s">
        <v>27</v>
      </c>
      <c r="H299" t="s">
        <v>842</v>
      </c>
      <c r="I299" t="str">
        <f>VLOOKUP(H299,Table1[#All],8,FALSE)</f>
        <v>Accessories</v>
      </c>
      <c r="J299" t="str" cm="1">
        <f t="array" ref="J299">_xlfn.XLOOKUP(H299,Table1[[#All],[Order ID]],Table1[[#All],[Brand]],0)</f>
        <v>Logitech</v>
      </c>
      <c r="K299" t="str">
        <f>INDEX(Table1[[#All],[Product Name]],MATCH(Sheet2!H299,Table1[[#All],[Order ID]],0))</f>
        <v>Mouse</v>
      </c>
    </row>
    <row r="300" spans="1:11" x14ac:dyDescent="0.25">
      <c r="A300" s="5">
        <v>140250</v>
      </c>
      <c r="B300" t="s">
        <v>53</v>
      </c>
      <c r="F300" t="s">
        <v>27</v>
      </c>
      <c r="H300" t="s">
        <v>844</v>
      </c>
      <c r="I300" t="str">
        <f>VLOOKUP(H300,Table1[#All],8,FALSE)</f>
        <v>Computers</v>
      </c>
      <c r="J300" t="str" cm="1">
        <f t="array" ref="J300">_xlfn.XLOOKUP(H300,Table1[[#All],[Order ID]],Table1[[#All],[Brand]],0)</f>
        <v>Dell</v>
      </c>
      <c r="K300" t="str">
        <f>INDEX(Table1[[#All],[Product Name]],MATCH(Sheet2!H300,Table1[[#All],[Order ID]],0))</f>
        <v>Laptop</v>
      </c>
    </row>
    <row r="301" spans="1:11" x14ac:dyDescent="0.25">
      <c r="A301" s="6">
        <v>6000</v>
      </c>
      <c r="B301" t="s">
        <v>68</v>
      </c>
      <c r="F301" t="s">
        <v>27</v>
      </c>
      <c r="H301" t="s">
        <v>846</v>
      </c>
      <c r="I301" t="str">
        <f>VLOOKUP(H301,Table1[#All],8,FALSE)</f>
        <v>Accessories</v>
      </c>
      <c r="J301" t="str" cm="1">
        <f t="array" ref="J301">_xlfn.XLOOKUP(H301,Table1[[#All],[Order ID]],Table1[[#All],[Brand]],0)</f>
        <v>HP</v>
      </c>
      <c r="K301" t="str">
        <f>INDEX(Table1[[#All],[Product Name]],MATCH(Sheet2!H301,Table1[[#All],[Order ID]],0))</f>
        <v>Keyboard</v>
      </c>
    </row>
    <row r="302" spans="1:11" x14ac:dyDescent="0.25">
      <c r="A302" s="5">
        <v>17500</v>
      </c>
      <c r="B302" t="s">
        <v>74</v>
      </c>
      <c r="F302" t="s">
        <v>27</v>
      </c>
      <c r="H302" t="s">
        <v>849</v>
      </c>
      <c r="I302" t="str">
        <f>VLOOKUP(H302,Table1[#All],8,FALSE)</f>
        <v>Audio</v>
      </c>
      <c r="J302" t="str" cm="1">
        <f t="array" ref="J302">_xlfn.XLOOKUP(H302,Table1[[#All],[Order ID]],Table1[[#All],[Brand]],0)</f>
        <v>Sony</v>
      </c>
      <c r="K302" t="str">
        <f>INDEX(Table1[[#All],[Product Name]],MATCH(Sheet2!H302,Table1[[#All],[Order ID]],0))</f>
        <v>Headphones</v>
      </c>
    </row>
    <row r="303" spans="1:11" x14ac:dyDescent="0.25">
      <c r="A303" s="6">
        <v>55000</v>
      </c>
      <c r="B303" t="s">
        <v>53</v>
      </c>
      <c r="F303" t="s">
        <v>27</v>
      </c>
      <c r="H303" t="s">
        <v>851</v>
      </c>
      <c r="I303" t="str">
        <f>VLOOKUP(H303,Table1[#All],8,FALSE)</f>
        <v>Computers</v>
      </c>
      <c r="J303" t="str" cm="1">
        <f t="array" ref="J303">_xlfn.XLOOKUP(H303,Table1[[#All],[Order ID]],Table1[[#All],[Brand]],0)</f>
        <v>Dell</v>
      </c>
      <c r="K303" t="str">
        <f>INDEX(Table1[[#All],[Product Name]],MATCH(Sheet2!H303,Table1[[#All],[Order ID]],0))</f>
        <v>Laptop</v>
      </c>
    </row>
    <row r="304" spans="1:11" x14ac:dyDescent="0.25">
      <c r="A304" s="5">
        <v>19125</v>
      </c>
      <c r="B304" t="s">
        <v>39</v>
      </c>
      <c r="F304" t="s">
        <v>40</v>
      </c>
      <c r="H304" t="s">
        <v>853</v>
      </c>
      <c r="I304" t="str">
        <f>VLOOKUP(H304,Table1[#All],8,FALSE)</f>
        <v>Office</v>
      </c>
      <c r="J304" t="str" cm="1">
        <f t="array" ref="J304">_xlfn.XLOOKUP(H304,Table1[[#All],[Order ID]],Table1[[#All],[Brand]],0)</f>
        <v>Nilkamal</v>
      </c>
      <c r="K304" t="str">
        <f>INDEX(Table1[[#All],[Product Name]],MATCH(Sheet2!H304,Table1[[#All],[Order ID]],0))</f>
        <v>Chair</v>
      </c>
    </row>
    <row r="305" spans="1:11" x14ac:dyDescent="0.25">
      <c r="A305" s="6">
        <v>10500</v>
      </c>
      <c r="B305" t="s">
        <v>74</v>
      </c>
      <c r="F305" t="s">
        <v>27</v>
      </c>
      <c r="H305" t="s">
        <v>855</v>
      </c>
      <c r="I305" t="str">
        <f>VLOOKUP(H305,Table1[#All],8,FALSE)</f>
        <v>Audio</v>
      </c>
      <c r="J305" t="str" cm="1">
        <f t="array" ref="J305">_xlfn.XLOOKUP(H305,Table1[[#All],[Order ID]],Table1[[#All],[Brand]],0)</f>
        <v>Sony</v>
      </c>
      <c r="K305" t="str">
        <f>INDEX(Table1[[#All],[Product Name]],MATCH(Sheet2!H305,Table1[[#All],[Order ID]],0))</f>
        <v>Headphones</v>
      </c>
    </row>
    <row r="306" spans="1:11" x14ac:dyDescent="0.25">
      <c r="A306" s="5">
        <v>198000</v>
      </c>
      <c r="B306" t="s">
        <v>53</v>
      </c>
      <c r="F306" t="s">
        <v>27</v>
      </c>
      <c r="H306" t="s">
        <v>857</v>
      </c>
      <c r="I306" t="str">
        <f>VLOOKUP(H306,Table1[#All],8,FALSE)</f>
        <v>Computers</v>
      </c>
      <c r="J306" t="str" cm="1">
        <f t="array" ref="J306">_xlfn.XLOOKUP(H306,Table1[[#All],[Order ID]],Table1[[#All],[Brand]],0)</f>
        <v>Dell</v>
      </c>
      <c r="K306" t="str">
        <f>INDEX(Table1[[#All],[Product Name]],MATCH(Sheet2!H306,Table1[[#All],[Order ID]],0))</f>
        <v>Laptop</v>
      </c>
    </row>
    <row r="307" spans="1:11" x14ac:dyDescent="0.25">
      <c r="A307" s="6">
        <v>99000</v>
      </c>
      <c r="B307" t="s">
        <v>53</v>
      </c>
      <c r="F307" t="s">
        <v>27</v>
      </c>
      <c r="H307" t="s">
        <v>860</v>
      </c>
      <c r="I307" t="str">
        <f>VLOOKUP(H307,Table1[#All],8,FALSE)</f>
        <v>Computers</v>
      </c>
      <c r="J307" t="str" cm="1">
        <f t="array" ref="J307">_xlfn.XLOOKUP(H307,Table1[[#All],[Order ID]],Table1[[#All],[Brand]],0)</f>
        <v>Dell</v>
      </c>
      <c r="K307" t="str">
        <f>INDEX(Table1[[#All],[Product Name]],MATCH(Sheet2!H307,Table1[[#All],[Order ID]],0))</f>
        <v>Laptop</v>
      </c>
    </row>
    <row r="308" spans="1:11" x14ac:dyDescent="0.25">
      <c r="A308" s="5">
        <v>1360</v>
      </c>
      <c r="B308" t="s">
        <v>26</v>
      </c>
      <c r="F308" t="s">
        <v>27</v>
      </c>
      <c r="H308" t="s">
        <v>863</v>
      </c>
      <c r="I308" t="str">
        <f>VLOOKUP(H308,Table1[#All],8,FALSE)</f>
        <v>Accessories</v>
      </c>
      <c r="J308" t="str" cm="1">
        <f t="array" ref="J308">_xlfn.XLOOKUP(H308,Table1[[#All],[Order ID]],Table1[[#All],[Brand]],0)</f>
        <v>Logitech</v>
      </c>
      <c r="K308" t="str">
        <f>INDEX(Table1[[#All],[Product Name]],MATCH(Sheet2!H308,Table1[[#All],[Order ID]],0))</f>
        <v>Mouse</v>
      </c>
    </row>
    <row r="309" spans="1:11" x14ac:dyDescent="0.25">
      <c r="A309" s="6">
        <v>2720</v>
      </c>
      <c r="B309" t="s">
        <v>26</v>
      </c>
      <c r="F309" t="s">
        <v>27</v>
      </c>
      <c r="H309" t="s">
        <v>865</v>
      </c>
      <c r="I309" t="str">
        <f>VLOOKUP(H309,Table1[#All],8,FALSE)</f>
        <v>Accessories</v>
      </c>
      <c r="J309" t="str" cm="1">
        <f t="array" ref="J309">_xlfn.XLOOKUP(H309,Table1[[#All],[Order ID]],Table1[[#All],[Brand]],0)</f>
        <v>Logitech</v>
      </c>
      <c r="K309" t="str">
        <f>INDEX(Table1[[#All],[Product Name]],MATCH(Sheet2!H309,Table1[[#All],[Order ID]],0))</f>
        <v>Mouse</v>
      </c>
    </row>
    <row r="310" spans="1:11" x14ac:dyDescent="0.25">
      <c r="A310" s="5">
        <v>7125</v>
      </c>
      <c r="B310" t="s">
        <v>68</v>
      </c>
      <c r="F310" t="s">
        <v>27</v>
      </c>
      <c r="H310" t="s">
        <v>868</v>
      </c>
      <c r="I310" t="str">
        <f>VLOOKUP(H310,Table1[#All],8,FALSE)</f>
        <v>Accessories</v>
      </c>
      <c r="J310" t="str" cm="1">
        <f t="array" ref="J310">_xlfn.XLOOKUP(H310,Table1[[#All],[Order ID]],Table1[[#All],[Brand]],0)</f>
        <v>HP</v>
      </c>
      <c r="K310" t="str">
        <f>INDEX(Table1[[#All],[Product Name]],MATCH(Sheet2!H310,Table1[[#All],[Order ID]],0))</f>
        <v>Keyboard</v>
      </c>
    </row>
    <row r="311" spans="1:11" x14ac:dyDescent="0.25">
      <c r="A311" s="6">
        <v>148500</v>
      </c>
      <c r="B311" t="s">
        <v>53</v>
      </c>
      <c r="F311" t="s">
        <v>27</v>
      </c>
      <c r="H311" t="s">
        <v>870</v>
      </c>
      <c r="I311" t="str">
        <f>VLOOKUP(H311,Table1[#All],8,FALSE)</f>
        <v>Computers</v>
      </c>
      <c r="J311" t="str" cm="1">
        <f t="array" ref="J311">_xlfn.XLOOKUP(H311,Table1[[#All],[Order ID]],Table1[[#All],[Brand]],0)</f>
        <v>Dell</v>
      </c>
      <c r="K311" t="str">
        <f>INDEX(Table1[[#All],[Product Name]],MATCH(Sheet2!H311,Table1[[#All],[Order ID]],0))</f>
        <v>Laptop</v>
      </c>
    </row>
    <row r="312" spans="1:11" x14ac:dyDescent="0.25">
      <c r="A312" s="5">
        <v>140250</v>
      </c>
      <c r="B312" t="s">
        <v>53</v>
      </c>
      <c r="F312" t="s">
        <v>27</v>
      </c>
      <c r="H312" t="s">
        <v>871</v>
      </c>
      <c r="I312" t="str">
        <f>VLOOKUP(H312,Table1[#All],8,FALSE)</f>
        <v>Computers</v>
      </c>
      <c r="J312" t="str" cm="1">
        <f t="array" ref="J312">_xlfn.XLOOKUP(H312,Table1[[#All],[Order ID]],Table1[[#All],[Brand]],0)</f>
        <v>Dell</v>
      </c>
      <c r="K312" t="str">
        <f>INDEX(Table1[[#All],[Product Name]],MATCH(Sheet2!H312,Table1[[#All],[Order ID]],0))</f>
        <v>Laptop</v>
      </c>
    </row>
    <row r="313" spans="1:11" x14ac:dyDescent="0.25">
      <c r="A313" s="6">
        <v>8925</v>
      </c>
      <c r="B313" t="s">
        <v>74</v>
      </c>
      <c r="F313" t="s">
        <v>27</v>
      </c>
      <c r="H313" t="s">
        <v>874</v>
      </c>
      <c r="I313" t="str">
        <f>VLOOKUP(H313,Table1[#All],8,FALSE)</f>
        <v>Audio</v>
      </c>
      <c r="J313" t="str" cm="1">
        <f t="array" ref="J313">_xlfn.XLOOKUP(H313,Table1[[#All],[Order ID]],Table1[[#All],[Brand]],0)</f>
        <v>Sony</v>
      </c>
      <c r="K313" t="str">
        <f>INDEX(Table1[[#All],[Product Name]],MATCH(Sheet2!H313,Table1[[#All],[Order ID]],0))</f>
        <v>Headphones</v>
      </c>
    </row>
    <row r="314" spans="1:11" x14ac:dyDescent="0.25">
      <c r="A314" s="5">
        <v>4500</v>
      </c>
      <c r="B314" t="s">
        <v>39</v>
      </c>
      <c r="F314" t="s">
        <v>40</v>
      </c>
      <c r="H314" t="s">
        <v>876</v>
      </c>
      <c r="I314" t="str">
        <f>VLOOKUP(H314,Table1[#All],8,FALSE)</f>
        <v>Office</v>
      </c>
      <c r="J314" t="str" cm="1">
        <f t="array" ref="J314">_xlfn.XLOOKUP(H314,Table1[[#All],[Order ID]],Table1[[#All],[Brand]],0)</f>
        <v>Nilkamal</v>
      </c>
      <c r="K314" t="str">
        <f>INDEX(Table1[[#All],[Product Name]],MATCH(Sheet2!H314,Table1[[#All],[Order ID]],0))</f>
        <v>Chair</v>
      </c>
    </row>
    <row r="315" spans="1:11" x14ac:dyDescent="0.25">
      <c r="A315" s="6">
        <v>1500</v>
      </c>
      <c r="B315" t="s">
        <v>68</v>
      </c>
      <c r="F315" t="s">
        <v>27</v>
      </c>
      <c r="H315" t="s">
        <v>878</v>
      </c>
      <c r="I315" t="str">
        <f>VLOOKUP(H315,Table1[#All],8,FALSE)</f>
        <v>Accessories</v>
      </c>
      <c r="J315" t="str" cm="1">
        <f t="array" ref="J315">_xlfn.XLOOKUP(H315,Table1[[#All],[Order ID]],Table1[[#All],[Brand]],0)</f>
        <v>HP</v>
      </c>
      <c r="K315" t="str">
        <f>INDEX(Table1[[#All],[Product Name]],MATCH(Sheet2!H315,Table1[[#All],[Order ID]],0))</f>
        <v>Keyboard</v>
      </c>
    </row>
    <row r="316" spans="1:11" x14ac:dyDescent="0.25">
      <c r="A316" s="5">
        <v>19125</v>
      </c>
      <c r="B316" t="s">
        <v>39</v>
      </c>
      <c r="F316" t="s">
        <v>40</v>
      </c>
      <c r="H316" t="s">
        <v>880</v>
      </c>
      <c r="I316" t="str">
        <f>VLOOKUP(H316,Table1[#All],8,FALSE)</f>
        <v>Office</v>
      </c>
      <c r="J316" t="str" cm="1">
        <f t="array" ref="J316">_xlfn.XLOOKUP(H316,Table1[[#All],[Order ID]],Table1[[#All],[Brand]],0)</f>
        <v>Nilkamal</v>
      </c>
      <c r="K316" t="str">
        <f>INDEX(Table1[[#All],[Product Name]],MATCH(Sheet2!H316,Table1[[#All],[Order ID]],0))</f>
        <v>Chair</v>
      </c>
    </row>
    <row r="317" spans="1:11" x14ac:dyDescent="0.25">
      <c r="A317" s="6">
        <v>3500</v>
      </c>
      <c r="B317" t="s">
        <v>74</v>
      </c>
      <c r="F317" t="s">
        <v>27</v>
      </c>
      <c r="H317" t="s">
        <v>882</v>
      </c>
      <c r="I317" t="str">
        <f>VLOOKUP(H317,Table1[#All],8,FALSE)</f>
        <v>Audio</v>
      </c>
      <c r="J317" t="str" cm="1">
        <f t="array" ref="J317">_xlfn.XLOOKUP(H317,Table1[[#All],[Order ID]],Table1[[#All],[Brand]],0)</f>
        <v>Sony</v>
      </c>
      <c r="K317" t="str">
        <f>INDEX(Table1[[#All],[Product Name]],MATCH(Sheet2!H317,Table1[[#All],[Order ID]],0))</f>
        <v>Headphones</v>
      </c>
    </row>
    <row r="318" spans="1:11" x14ac:dyDescent="0.25">
      <c r="A318" s="5">
        <v>110000</v>
      </c>
      <c r="B318" t="s">
        <v>53</v>
      </c>
      <c r="F318" t="s">
        <v>27</v>
      </c>
      <c r="H318" t="s">
        <v>884</v>
      </c>
      <c r="I318" t="str">
        <f>VLOOKUP(H318,Table1[#All],8,FALSE)</f>
        <v>Computers</v>
      </c>
      <c r="J318" t="str" cm="1">
        <f t="array" ref="J318">_xlfn.XLOOKUP(H318,Table1[[#All],[Order ID]],Table1[[#All],[Brand]],0)</f>
        <v>Dell</v>
      </c>
      <c r="K318" t="str">
        <f>INDEX(Table1[[#All],[Product Name]],MATCH(Sheet2!H318,Table1[[#All],[Order ID]],0))</f>
        <v>Laptop</v>
      </c>
    </row>
    <row r="319" spans="1:11" x14ac:dyDescent="0.25">
      <c r="A319" s="6">
        <v>187000</v>
      </c>
      <c r="B319" t="s">
        <v>53</v>
      </c>
      <c r="F319" t="s">
        <v>27</v>
      </c>
      <c r="H319" t="s">
        <v>885</v>
      </c>
      <c r="I319" t="str">
        <f>VLOOKUP(H319,Table1[#All],8,FALSE)</f>
        <v>Computers</v>
      </c>
      <c r="J319" t="str" cm="1">
        <f t="array" ref="J319">_xlfn.XLOOKUP(H319,Table1[[#All],[Order ID]],Table1[[#All],[Brand]],0)</f>
        <v>Dell</v>
      </c>
      <c r="K319" t="str">
        <f>INDEX(Table1[[#All],[Product Name]],MATCH(Sheet2!H319,Table1[[#All],[Order ID]],0))</f>
        <v>Laptop</v>
      </c>
    </row>
    <row r="320" spans="1:11" x14ac:dyDescent="0.25">
      <c r="A320" s="5">
        <v>20250</v>
      </c>
      <c r="B320" t="s">
        <v>39</v>
      </c>
      <c r="F320" t="s">
        <v>40</v>
      </c>
      <c r="H320" t="s">
        <v>886</v>
      </c>
      <c r="I320" t="str">
        <f>VLOOKUP(H320,Table1[#All],8,FALSE)</f>
        <v>Office</v>
      </c>
      <c r="J320" t="str" cm="1">
        <f t="array" ref="J320">_xlfn.XLOOKUP(H320,Table1[[#All],[Order ID]],Table1[[#All],[Brand]],0)</f>
        <v>Nilkamal</v>
      </c>
      <c r="K320" t="str">
        <f>INDEX(Table1[[#All],[Product Name]],MATCH(Sheet2!H320,Table1[[#All],[Order ID]],0))</f>
        <v>Chair</v>
      </c>
    </row>
    <row r="321" spans="1:11" x14ac:dyDescent="0.25">
      <c r="A321" s="6">
        <v>2400</v>
      </c>
      <c r="B321" t="s">
        <v>26</v>
      </c>
      <c r="F321" t="s">
        <v>27</v>
      </c>
      <c r="H321" t="s">
        <v>889</v>
      </c>
      <c r="I321" t="str">
        <f>VLOOKUP(H321,Table1[#All],8,FALSE)</f>
        <v>Accessories</v>
      </c>
      <c r="J321" t="str" cm="1">
        <f t="array" ref="J321">_xlfn.XLOOKUP(H321,Table1[[#All],[Order ID]],Table1[[#All],[Brand]],0)</f>
        <v>Logitech</v>
      </c>
      <c r="K321" t="str">
        <f>INDEX(Table1[[#All],[Product Name]],MATCH(Sheet2!H321,Table1[[#All],[Order ID]],0))</f>
        <v>Mouse</v>
      </c>
    </row>
    <row r="322" spans="1:11" x14ac:dyDescent="0.25">
      <c r="A322" s="5">
        <v>55000</v>
      </c>
      <c r="B322" t="s">
        <v>53</v>
      </c>
      <c r="F322" t="s">
        <v>27</v>
      </c>
      <c r="H322" t="s">
        <v>891</v>
      </c>
      <c r="I322" t="str">
        <f>VLOOKUP(H322,Table1[#All],8,FALSE)</f>
        <v>Computers</v>
      </c>
      <c r="J322" t="str" cm="1">
        <f t="array" ref="J322">_xlfn.XLOOKUP(H322,Table1[[#All],[Order ID]],Table1[[#All],[Brand]],0)</f>
        <v>Dell</v>
      </c>
      <c r="K322" t="str">
        <f>INDEX(Table1[[#All],[Product Name]],MATCH(Sheet2!H322,Table1[[#All],[Order ID]],0))</f>
        <v>Laptop</v>
      </c>
    </row>
    <row r="323" spans="1:11" x14ac:dyDescent="0.25">
      <c r="A323" s="6">
        <v>20250</v>
      </c>
      <c r="B323" t="s">
        <v>39</v>
      </c>
      <c r="F323" t="s">
        <v>40</v>
      </c>
      <c r="H323" t="s">
        <v>893</v>
      </c>
      <c r="I323" t="str">
        <f>VLOOKUP(H323,Table1[#All],8,FALSE)</f>
        <v>Office</v>
      </c>
      <c r="J323" t="str" cm="1">
        <f t="array" ref="J323">_xlfn.XLOOKUP(H323,Table1[[#All],[Order ID]],Table1[[#All],[Brand]],0)</f>
        <v>Nilkamal</v>
      </c>
      <c r="K323" t="str">
        <f>INDEX(Table1[[#All],[Product Name]],MATCH(Sheet2!H323,Table1[[#All],[Order ID]],0))</f>
        <v>Chair</v>
      </c>
    </row>
    <row r="324" spans="1:11" x14ac:dyDescent="0.25">
      <c r="A324" s="5">
        <v>1520</v>
      </c>
      <c r="B324" t="s">
        <v>26</v>
      </c>
      <c r="F324" t="s">
        <v>27</v>
      </c>
      <c r="H324" t="s">
        <v>896</v>
      </c>
      <c r="I324" t="str">
        <f>VLOOKUP(H324,Table1[#All],8,FALSE)</f>
        <v>Accessories</v>
      </c>
      <c r="J324" t="str" cm="1">
        <f t="array" ref="J324">_xlfn.XLOOKUP(H324,Table1[[#All],[Order ID]],Table1[[#All],[Brand]],0)</f>
        <v>Logitech</v>
      </c>
      <c r="K324" t="str">
        <f>INDEX(Table1[[#All],[Product Name]],MATCH(Sheet2!H324,Table1[[#All],[Order ID]],0))</f>
        <v>Mouse</v>
      </c>
    </row>
    <row r="325" spans="1:11" x14ac:dyDescent="0.25">
      <c r="A325" s="6">
        <v>760</v>
      </c>
      <c r="B325" t="s">
        <v>26</v>
      </c>
      <c r="F325" t="s">
        <v>27</v>
      </c>
      <c r="H325" t="s">
        <v>898</v>
      </c>
      <c r="I325" t="str">
        <f>VLOOKUP(H325,Table1[#All],8,FALSE)</f>
        <v>Accessories</v>
      </c>
      <c r="J325" t="str" cm="1">
        <f t="array" ref="J325">_xlfn.XLOOKUP(H325,Table1[[#All],[Order ID]],Table1[[#All],[Brand]],0)</f>
        <v>Logitech</v>
      </c>
      <c r="K325" t="str">
        <f>INDEX(Table1[[#All],[Product Name]],MATCH(Sheet2!H325,Table1[[#All],[Order ID]],0))</f>
        <v>Mouse</v>
      </c>
    </row>
    <row r="326" spans="1:11" x14ac:dyDescent="0.25">
      <c r="A326" s="5">
        <v>21375</v>
      </c>
      <c r="B326" t="s">
        <v>39</v>
      </c>
      <c r="F326" t="s">
        <v>40</v>
      </c>
      <c r="H326" t="s">
        <v>900</v>
      </c>
      <c r="I326" t="str">
        <f>VLOOKUP(H326,Table1[#All],8,FALSE)</f>
        <v>Office</v>
      </c>
      <c r="J326" t="str" cm="1">
        <f t="array" ref="J326">_xlfn.XLOOKUP(H326,Table1[[#All],[Order ID]],Table1[[#All],[Brand]],0)</f>
        <v>Nilkamal</v>
      </c>
      <c r="K326" t="str">
        <f>INDEX(Table1[[#All],[Product Name]],MATCH(Sheet2!H326,Table1[[#All],[Order ID]],0))</f>
        <v>Chair</v>
      </c>
    </row>
    <row r="327" spans="1:11" x14ac:dyDescent="0.25">
      <c r="A327" s="6">
        <v>5400</v>
      </c>
      <c r="B327" t="s">
        <v>68</v>
      </c>
      <c r="F327" t="s">
        <v>27</v>
      </c>
      <c r="H327" t="s">
        <v>902</v>
      </c>
      <c r="I327" t="str">
        <f>VLOOKUP(H327,Table1[#All],8,FALSE)</f>
        <v>Accessories</v>
      </c>
      <c r="J327" t="str" cm="1">
        <f t="array" ref="J327">_xlfn.XLOOKUP(H327,Table1[[#All],[Order ID]],Table1[[#All],[Brand]],0)</f>
        <v>HP</v>
      </c>
      <c r="K327" t="str">
        <f>INDEX(Table1[[#All],[Product Name]],MATCH(Sheet2!H327,Table1[[#All],[Order ID]],0))</f>
        <v>Keyboard</v>
      </c>
    </row>
    <row r="328" spans="1:11" x14ac:dyDescent="0.25">
      <c r="A328" s="5">
        <v>9450</v>
      </c>
      <c r="B328" t="s">
        <v>74</v>
      </c>
      <c r="F328" t="s">
        <v>27</v>
      </c>
      <c r="H328" t="s">
        <v>905</v>
      </c>
      <c r="I328" t="str">
        <f>VLOOKUP(H328,Table1[#All],8,FALSE)</f>
        <v>Audio</v>
      </c>
      <c r="J328" t="str" cm="1">
        <f t="array" ref="J328">_xlfn.XLOOKUP(H328,Table1[[#All],[Order ID]],Table1[[#All],[Brand]],0)</f>
        <v>Sony</v>
      </c>
      <c r="K328" t="str">
        <f>INDEX(Table1[[#All],[Product Name]],MATCH(Sheet2!H328,Table1[[#All],[Order ID]],0))</f>
        <v>Headphones</v>
      </c>
    </row>
    <row r="329" spans="1:11" x14ac:dyDescent="0.25">
      <c r="A329" s="6">
        <v>2160</v>
      </c>
      <c r="B329" t="s">
        <v>26</v>
      </c>
      <c r="F329" t="s">
        <v>27</v>
      </c>
      <c r="H329" t="s">
        <v>907</v>
      </c>
      <c r="I329" t="str">
        <f>VLOOKUP(H329,Table1[#All],8,FALSE)</f>
        <v>Accessories</v>
      </c>
      <c r="J329" t="str" cm="1">
        <f t="array" ref="J329">_xlfn.XLOOKUP(H329,Table1[[#All],[Order ID]],Table1[[#All],[Brand]],0)</f>
        <v>Logitech</v>
      </c>
      <c r="K329" t="str">
        <f>INDEX(Table1[[#All],[Product Name]],MATCH(Sheet2!H329,Table1[[#All],[Order ID]],0))</f>
        <v>Mouse</v>
      </c>
    </row>
    <row r="330" spans="1:11" x14ac:dyDescent="0.25">
      <c r="A330" s="5">
        <v>7000</v>
      </c>
      <c r="B330" t="s">
        <v>74</v>
      </c>
      <c r="F330" t="s">
        <v>27</v>
      </c>
      <c r="H330" t="s">
        <v>910</v>
      </c>
      <c r="I330" t="str">
        <f>VLOOKUP(H330,Table1[#All],8,FALSE)</f>
        <v>Audio</v>
      </c>
      <c r="J330" t="str" cm="1">
        <f t="array" ref="J330">_xlfn.XLOOKUP(H330,Table1[[#All],[Order ID]],Table1[[#All],[Brand]],0)</f>
        <v>Sony</v>
      </c>
      <c r="K330" t="str">
        <f>INDEX(Table1[[#All],[Product Name]],MATCH(Sheet2!H330,Table1[[#All],[Order ID]],0))</f>
        <v>Headphones</v>
      </c>
    </row>
    <row r="331" spans="1:11" x14ac:dyDescent="0.25">
      <c r="A331" s="6">
        <v>11475</v>
      </c>
      <c r="B331" t="s">
        <v>39</v>
      </c>
      <c r="F331" t="s">
        <v>40</v>
      </c>
      <c r="H331" t="s">
        <v>912</v>
      </c>
      <c r="I331" t="str">
        <f>VLOOKUP(H331,Table1[#All],8,FALSE)</f>
        <v>Office</v>
      </c>
      <c r="J331" t="str" cm="1">
        <f t="array" ref="J331">_xlfn.XLOOKUP(H331,Table1[[#All],[Order ID]],Table1[[#All],[Brand]],0)</f>
        <v>Nilkamal</v>
      </c>
      <c r="K331" t="str">
        <f>INDEX(Table1[[#All],[Product Name]],MATCH(Sheet2!H331,Table1[[#All],[Order ID]],0))</f>
        <v>Chair</v>
      </c>
    </row>
    <row r="332" spans="1:11" x14ac:dyDescent="0.25">
      <c r="A332" s="5">
        <v>2700</v>
      </c>
      <c r="B332" t="s">
        <v>68</v>
      </c>
      <c r="F332" t="s">
        <v>27</v>
      </c>
      <c r="H332" t="s">
        <v>915</v>
      </c>
      <c r="I332" t="str">
        <f>VLOOKUP(H332,Table1[#All],8,FALSE)</f>
        <v>Accessories</v>
      </c>
      <c r="J332" t="str" cm="1">
        <f t="array" ref="J332">_xlfn.XLOOKUP(H332,Table1[[#All],[Order ID]],Table1[[#All],[Brand]],0)</f>
        <v>HP</v>
      </c>
      <c r="K332" t="str">
        <f>INDEX(Table1[[#All],[Product Name]],MATCH(Sheet2!H332,Table1[[#All],[Order ID]],0))</f>
        <v>Keyboard</v>
      </c>
    </row>
    <row r="333" spans="1:11" x14ac:dyDescent="0.25">
      <c r="A333" s="6">
        <v>19125</v>
      </c>
      <c r="B333" t="s">
        <v>39</v>
      </c>
      <c r="F333" t="s">
        <v>40</v>
      </c>
      <c r="H333" t="s">
        <v>918</v>
      </c>
      <c r="I333" t="str">
        <f>VLOOKUP(H333,Table1[#All],8,FALSE)</f>
        <v>Office</v>
      </c>
      <c r="J333" t="str" cm="1">
        <f t="array" ref="J333">_xlfn.XLOOKUP(H333,Table1[[#All],[Order ID]],Table1[[#All],[Brand]],0)</f>
        <v>Nilkamal</v>
      </c>
      <c r="K333" t="str">
        <f>INDEX(Table1[[#All],[Product Name]],MATCH(Sheet2!H333,Table1[[#All],[Order ID]],0))</f>
        <v>Chair</v>
      </c>
    </row>
    <row r="334" spans="1:11" x14ac:dyDescent="0.25">
      <c r="A334" s="5">
        <v>93500</v>
      </c>
      <c r="B334" t="s">
        <v>53</v>
      </c>
      <c r="F334" t="s">
        <v>27</v>
      </c>
      <c r="H334" t="s">
        <v>921</v>
      </c>
      <c r="I334" t="str">
        <f>VLOOKUP(H334,Table1[#All],8,FALSE)</f>
        <v>Computers</v>
      </c>
      <c r="J334" t="str" cm="1">
        <f t="array" ref="J334">_xlfn.XLOOKUP(H334,Table1[[#All],[Order ID]],Table1[[#All],[Brand]],0)</f>
        <v>Dell</v>
      </c>
      <c r="K334" t="str">
        <f>INDEX(Table1[[#All],[Product Name]],MATCH(Sheet2!H334,Table1[[#All],[Order ID]],0))</f>
        <v>Laptop</v>
      </c>
    </row>
    <row r="335" spans="1:11" x14ac:dyDescent="0.25">
      <c r="A335" s="6">
        <v>760</v>
      </c>
      <c r="B335" t="s">
        <v>26</v>
      </c>
      <c r="F335" t="s">
        <v>27</v>
      </c>
      <c r="H335" t="s">
        <v>923</v>
      </c>
      <c r="I335" t="str">
        <f>VLOOKUP(H335,Table1[#All],8,FALSE)</f>
        <v>Accessories</v>
      </c>
      <c r="J335" t="str" cm="1">
        <f t="array" ref="J335">_xlfn.XLOOKUP(H335,Table1[[#All],[Order ID]],Table1[[#All],[Brand]],0)</f>
        <v>Logitech</v>
      </c>
      <c r="K335" t="str">
        <f>INDEX(Table1[[#All],[Product Name]],MATCH(Sheet2!H335,Table1[[#All],[Order ID]],0))</f>
        <v>Mouse</v>
      </c>
    </row>
    <row r="336" spans="1:11" x14ac:dyDescent="0.25">
      <c r="A336" s="5">
        <v>5950</v>
      </c>
      <c r="B336" t="s">
        <v>74</v>
      </c>
      <c r="F336" t="s">
        <v>27</v>
      </c>
      <c r="H336" t="s">
        <v>924</v>
      </c>
      <c r="I336" t="str">
        <f>VLOOKUP(H336,Table1[#All],8,FALSE)</f>
        <v>Audio</v>
      </c>
      <c r="J336" t="str" cm="1">
        <f t="array" ref="J336">_xlfn.XLOOKUP(H336,Table1[[#All],[Order ID]],Table1[[#All],[Brand]],0)</f>
        <v>Sony</v>
      </c>
      <c r="K336" t="str">
        <f>INDEX(Table1[[#All],[Product Name]],MATCH(Sheet2!H336,Table1[[#All],[Order ID]],0))</f>
        <v>Headphones</v>
      </c>
    </row>
    <row r="337" spans="1:11" x14ac:dyDescent="0.25">
      <c r="A337" s="6">
        <v>6000</v>
      </c>
      <c r="B337" t="s">
        <v>68</v>
      </c>
      <c r="F337" t="s">
        <v>27</v>
      </c>
      <c r="H337" t="s">
        <v>926</v>
      </c>
      <c r="I337" t="str">
        <f>VLOOKUP(H337,Table1[#All],8,FALSE)</f>
        <v>Accessories</v>
      </c>
      <c r="J337" t="str" cm="1">
        <f t="array" ref="J337">_xlfn.XLOOKUP(H337,Table1[[#All],[Order ID]],Table1[[#All],[Brand]],0)</f>
        <v>HP</v>
      </c>
      <c r="K337" t="str">
        <f>INDEX(Table1[[#All],[Product Name]],MATCH(Sheet2!H337,Table1[[#All],[Order ID]],0))</f>
        <v>Keyboard</v>
      </c>
    </row>
    <row r="338" spans="1:11" x14ac:dyDescent="0.25">
      <c r="A338" s="5">
        <v>247500</v>
      </c>
      <c r="B338" t="s">
        <v>53</v>
      </c>
      <c r="F338" t="s">
        <v>27</v>
      </c>
      <c r="H338" t="s">
        <v>928</v>
      </c>
      <c r="I338" t="str">
        <f>VLOOKUP(H338,Table1[#All],8,FALSE)</f>
        <v>Computers</v>
      </c>
      <c r="J338" t="str" cm="1">
        <f t="array" ref="J338">_xlfn.XLOOKUP(H338,Table1[[#All],[Order ID]],Table1[[#All],[Brand]],0)</f>
        <v>Dell</v>
      </c>
      <c r="K338" t="str">
        <f>INDEX(Table1[[#All],[Product Name]],MATCH(Sheet2!H338,Table1[[#All],[Order ID]],0))</f>
        <v>Laptop</v>
      </c>
    </row>
    <row r="339" spans="1:11" x14ac:dyDescent="0.25">
      <c r="A339" s="6">
        <v>1275</v>
      </c>
      <c r="B339" t="s">
        <v>68</v>
      </c>
      <c r="F339" t="s">
        <v>27</v>
      </c>
      <c r="H339" t="s">
        <v>930</v>
      </c>
      <c r="I339" t="str">
        <f>VLOOKUP(H339,Table1[#All],8,FALSE)</f>
        <v>Accessories</v>
      </c>
      <c r="J339" t="str" cm="1">
        <f t="array" ref="J339">_xlfn.XLOOKUP(H339,Table1[[#All],[Order ID]],Table1[[#All],[Brand]],0)</f>
        <v>HP</v>
      </c>
      <c r="K339" t="str">
        <f>INDEX(Table1[[#All],[Product Name]],MATCH(Sheet2!H339,Table1[[#All],[Order ID]],0))</f>
        <v>Keyboard</v>
      </c>
    </row>
    <row r="340" spans="1:11" x14ac:dyDescent="0.25">
      <c r="A340" s="5">
        <v>1425</v>
      </c>
      <c r="B340" t="s">
        <v>68</v>
      </c>
      <c r="F340" t="s">
        <v>27</v>
      </c>
      <c r="H340" t="s">
        <v>932</v>
      </c>
      <c r="I340" t="str">
        <f>VLOOKUP(H340,Table1[#All],8,FALSE)</f>
        <v>Accessories</v>
      </c>
      <c r="J340" t="str" cm="1">
        <f t="array" ref="J340">_xlfn.XLOOKUP(H340,Table1[[#All],[Order ID]],Table1[[#All],[Brand]],0)</f>
        <v>HP</v>
      </c>
      <c r="K340" t="str">
        <f>INDEX(Table1[[#All],[Product Name]],MATCH(Sheet2!H340,Table1[[#All],[Order ID]],0))</f>
        <v>Keyboard</v>
      </c>
    </row>
    <row r="341" spans="1:11" x14ac:dyDescent="0.25">
      <c r="A341" s="6">
        <v>12150</v>
      </c>
      <c r="B341" t="s">
        <v>39</v>
      </c>
      <c r="F341" t="s">
        <v>40</v>
      </c>
      <c r="H341" t="s">
        <v>934</v>
      </c>
      <c r="I341" t="str">
        <f>VLOOKUP(H341,Table1[#All],8,FALSE)</f>
        <v>Office</v>
      </c>
      <c r="J341" t="str" cm="1">
        <f t="array" ref="J341">_xlfn.XLOOKUP(H341,Table1[[#All],[Order ID]],Table1[[#All],[Brand]],0)</f>
        <v>Nilkamal</v>
      </c>
      <c r="K341" t="str">
        <f>INDEX(Table1[[#All],[Product Name]],MATCH(Sheet2!H341,Table1[[#All],[Order ID]],0))</f>
        <v>Chair</v>
      </c>
    </row>
    <row r="342" spans="1:11" x14ac:dyDescent="0.25">
      <c r="A342" s="5">
        <v>8550</v>
      </c>
      <c r="B342" t="s">
        <v>39</v>
      </c>
      <c r="F342" t="s">
        <v>40</v>
      </c>
      <c r="H342" t="s">
        <v>936</v>
      </c>
      <c r="I342" t="str">
        <f>VLOOKUP(H342,Table1[#All],8,FALSE)</f>
        <v>Office</v>
      </c>
      <c r="J342" t="str" cm="1">
        <f t="array" ref="J342">_xlfn.XLOOKUP(H342,Table1[[#All],[Order ID]],Table1[[#All],[Brand]],0)</f>
        <v>Nilkamal</v>
      </c>
      <c r="K342" t="str">
        <f>INDEX(Table1[[#All],[Product Name]],MATCH(Sheet2!H342,Table1[[#All],[Order ID]],0))</f>
        <v>Chair</v>
      </c>
    </row>
    <row r="343" spans="1:11" x14ac:dyDescent="0.25">
      <c r="A343" s="6">
        <v>2720</v>
      </c>
      <c r="B343" t="s">
        <v>26</v>
      </c>
      <c r="F343" t="s">
        <v>27</v>
      </c>
      <c r="H343" t="s">
        <v>939</v>
      </c>
      <c r="I343" t="str">
        <f>VLOOKUP(H343,Table1[#All],8,FALSE)</f>
        <v>Accessories</v>
      </c>
      <c r="J343" t="str" cm="1">
        <f t="array" ref="J343">_xlfn.XLOOKUP(H343,Table1[[#All],[Order ID]],Table1[[#All],[Brand]],0)</f>
        <v>Logitech</v>
      </c>
      <c r="K343" t="str">
        <f>INDEX(Table1[[#All],[Product Name]],MATCH(Sheet2!H343,Table1[[#All],[Order ID]],0))</f>
        <v>Mouse</v>
      </c>
    </row>
    <row r="344" spans="1:11" x14ac:dyDescent="0.25">
      <c r="A344" s="5">
        <v>209000</v>
      </c>
      <c r="B344" t="s">
        <v>53</v>
      </c>
      <c r="F344" t="s">
        <v>27</v>
      </c>
      <c r="H344" t="s">
        <v>941</v>
      </c>
      <c r="I344" t="str">
        <f>VLOOKUP(H344,Table1[#All],8,FALSE)</f>
        <v>Computers</v>
      </c>
      <c r="J344" t="str" cm="1">
        <f t="array" ref="J344">_xlfn.XLOOKUP(H344,Table1[[#All],[Order ID]],Table1[[#All],[Brand]],0)</f>
        <v>Dell</v>
      </c>
      <c r="K344" t="str">
        <f>INDEX(Table1[[#All],[Product Name]],MATCH(Sheet2!H344,Table1[[#All],[Order ID]],0))</f>
        <v>Laptop</v>
      </c>
    </row>
    <row r="345" spans="1:11" x14ac:dyDescent="0.25">
      <c r="A345" s="6">
        <v>4275</v>
      </c>
      <c r="B345" t="s">
        <v>39</v>
      </c>
      <c r="F345" t="s">
        <v>40</v>
      </c>
      <c r="H345" t="s">
        <v>943</v>
      </c>
      <c r="I345" t="str">
        <f>VLOOKUP(H345,Table1[#All],8,FALSE)</f>
        <v>Office</v>
      </c>
      <c r="J345" t="str" cm="1">
        <f t="array" ref="J345">_xlfn.XLOOKUP(H345,Table1[[#All],[Order ID]],Table1[[#All],[Brand]],0)</f>
        <v>Nilkamal</v>
      </c>
      <c r="K345" t="str">
        <f>INDEX(Table1[[#All],[Product Name]],MATCH(Sheet2!H345,Table1[[#All],[Order ID]],0))</f>
        <v>Chair</v>
      </c>
    </row>
    <row r="346" spans="1:11" x14ac:dyDescent="0.25">
      <c r="A346" s="5">
        <v>4500</v>
      </c>
      <c r="B346" t="s">
        <v>68</v>
      </c>
      <c r="F346" t="s">
        <v>27</v>
      </c>
      <c r="H346" t="s">
        <v>945</v>
      </c>
      <c r="I346" t="str">
        <f>VLOOKUP(H346,Table1[#All],8,FALSE)</f>
        <v>Accessories</v>
      </c>
      <c r="J346" t="str" cm="1">
        <f t="array" ref="J346">_xlfn.XLOOKUP(H346,Table1[[#All],[Order ID]],Table1[[#All],[Brand]],0)</f>
        <v>HP</v>
      </c>
      <c r="K346" t="str">
        <f>INDEX(Table1[[#All],[Product Name]],MATCH(Sheet2!H346,Table1[[#All],[Order ID]],0))</f>
        <v>Keyboard</v>
      </c>
    </row>
    <row r="347" spans="1:11" x14ac:dyDescent="0.25">
      <c r="A347" s="6">
        <v>1600</v>
      </c>
      <c r="B347" t="s">
        <v>26</v>
      </c>
      <c r="F347" t="s">
        <v>27</v>
      </c>
      <c r="H347" t="s">
        <v>947</v>
      </c>
      <c r="I347" t="str">
        <f>VLOOKUP(H347,Table1[#All],8,FALSE)</f>
        <v>Accessories</v>
      </c>
      <c r="J347" t="str" cm="1">
        <f t="array" ref="J347">_xlfn.XLOOKUP(H347,Table1[[#All],[Order ID]],Table1[[#All],[Brand]],0)</f>
        <v>Logitech</v>
      </c>
      <c r="K347" t="str">
        <f>INDEX(Table1[[#All],[Product Name]],MATCH(Sheet2!H347,Table1[[#All],[Order ID]],0))</f>
        <v>Mouse</v>
      </c>
    </row>
    <row r="348" spans="1:11" x14ac:dyDescent="0.25">
      <c r="A348" s="5">
        <v>9975</v>
      </c>
      <c r="B348" t="s">
        <v>74</v>
      </c>
      <c r="F348" t="s">
        <v>27</v>
      </c>
      <c r="H348" t="s">
        <v>950</v>
      </c>
      <c r="I348" t="str">
        <f>VLOOKUP(H348,Table1[#All],8,FALSE)</f>
        <v>Audio</v>
      </c>
      <c r="J348" t="str" cm="1">
        <f t="array" ref="J348">_xlfn.XLOOKUP(H348,Table1[[#All],[Order ID]],Table1[[#All],[Brand]],0)</f>
        <v>Sony</v>
      </c>
      <c r="K348" t="str">
        <f>INDEX(Table1[[#All],[Product Name]],MATCH(Sheet2!H348,Table1[[#All],[Order ID]],0))</f>
        <v>Headphones</v>
      </c>
    </row>
    <row r="349" spans="1:11" x14ac:dyDescent="0.25">
      <c r="A349" s="6">
        <v>140250</v>
      </c>
      <c r="B349" t="s">
        <v>53</v>
      </c>
      <c r="F349" t="s">
        <v>27</v>
      </c>
      <c r="H349" t="s">
        <v>951</v>
      </c>
      <c r="I349" t="str">
        <f>VLOOKUP(H349,Table1[#All],8,FALSE)</f>
        <v>Computers</v>
      </c>
      <c r="J349" t="str" cm="1">
        <f t="array" ref="J349">_xlfn.XLOOKUP(H349,Table1[[#All],[Order ID]],Table1[[#All],[Brand]],0)</f>
        <v>Dell</v>
      </c>
      <c r="K349" t="str">
        <f>INDEX(Table1[[#All],[Product Name]],MATCH(Sheet2!H349,Table1[[#All],[Order ID]],0))</f>
        <v>Laptop</v>
      </c>
    </row>
    <row r="350" spans="1:11" x14ac:dyDescent="0.25">
      <c r="A350" s="5">
        <v>247500</v>
      </c>
      <c r="B350" t="s">
        <v>53</v>
      </c>
      <c r="F350" t="s">
        <v>27</v>
      </c>
      <c r="H350" t="s">
        <v>953</v>
      </c>
      <c r="I350" t="str">
        <f>VLOOKUP(H350,Table1[#All],8,FALSE)</f>
        <v>Computers</v>
      </c>
      <c r="J350" t="str" cm="1">
        <f t="array" ref="J350">_xlfn.XLOOKUP(H350,Table1[[#All],[Order ID]],Table1[[#All],[Brand]],0)</f>
        <v>Dell</v>
      </c>
      <c r="K350" t="str">
        <f>INDEX(Table1[[#All],[Product Name]],MATCH(Sheet2!H350,Table1[[#All],[Order ID]],0))</f>
        <v>Laptop</v>
      </c>
    </row>
    <row r="351" spans="1:11" x14ac:dyDescent="0.25">
      <c r="A351" s="6">
        <v>4050</v>
      </c>
      <c r="B351" t="s">
        <v>68</v>
      </c>
      <c r="F351" t="s">
        <v>27</v>
      </c>
      <c r="H351" t="s">
        <v>955</v>
      </c>
      <c r="I351" t="str">
        <f>VLOOKUP(H351,Table1[#All],8,FALSE)</f>
        <v>Accessories</v>
      </c>
      <c r="J351" t="str" cm="1">
        <f t="array" ref="J351">_xlfn.XLOOKUP(H351,Table1[[#All],[Order ID]],Table1[[#All],[Brand]],0)</f>
        <v>HP</v>
      </c>
      <c r="K351" t="str">
        <f>INDEX(Table1[[#All],[Product Name]],MATCH(Sheet2!H351,Table1[[#All],[Order ID]],0))</f>
        <v>Keyboard</v>
      </c>
    </row>
    <row r="352" spans="1:11" x14ac:dyDescent="0.25">
      <c r="A352" s="5">
        <v>3600</v>
      </c>
      <c r="B352" t="s">
        <v>26</v>
      </c>
      <c r="F352" t="s">
        <v>27</v>
      </c>
      <c r="H352" t="s">
        <v>958</v>
      </c>
      <c r="I352" t="str">
        <f>VLOOKUP(H352,Table1[#All],8,FALSE)</f>
        <v>Accessories</v>
      </c>
      <c r="J352" t="str" cm="1">
        <f t="array" ref="J352">_xlfn.XLOOKUP(H352,Table1[[#All],[Order ID]],Table1[[#All],[Brand]],0)</f>
        <v>Logitech</v>
      </c>
      <c r="K352" t="str">
        <f>INDEX(Table1[[#All],[Product Name]],MATCH(Sheet2!H352,Table1[[#All],[Order ID]],0))</f>
        <v>Mouse</v>
      </c>
    </row>
    <row r="353" spans="1:11" x14ac:dyDescent="0.25">
      <c r="A353" s="6">
        <v>1500</v>
      </c>
      <c r="B353" t="s">
        <v>68</v>
      </c>
      <c r="F353" t="s">
        <v>27</v>
      </c>
      <c r="H353" t="s">
        <v>960</v>
      </c>
      <c r="I353" t="str">
        <f>VLOOKUP(H353,Table1[#All],8,FALSE)</f>
        <v>Accessories</v>
      </c>
      <c r="J353" t="str" cm="1">
        <f t="array" ref="J353">_xlfn.XLOOKUP(H353,Table1[[#All],[Order ID]],Table1[[#All],[Brand]],0)</f>
        <v>HP</v>
      </c>
      <c r="K353" t="str">
        <f>INDEX(Table1[[#All],[Product Name]],MATCH(Sheet2!H353,Table1[[#All],[Order ID]],0))</f>
        <v>Keyboard</v>
      </c>
    </row>
    <row r="354" spans="1:11" x14ac:dyDescent="0.25">
      <c r="A354" s="5">
        <v>10500</v>
      </c>
      <c r="B354" t="s">
        <v>74</v>
      </c>
      <c r="F354" t="s">
        <v>27</v>
      </c>
      <c r="H354" t="s">
        <v>962</v>
      </c>
      <c r="I354" t="str">
        <f>VLOOKUP(H354,Table1[#All],8,FALSE)</f>
        <v>Audio</v>
      </c>
      <c r="J354" t="str" cm="1">
        <f t="array" ref="J354">_xlfn.XLOOKUP(H354,Table1[[#All],[Order ID]],Table1[[#All],[Brand]],0)</f>
        <v>Sony</v>
      </c>
      <c r="K354" t="str">
        <f>INDEX(Table1[[#All],[Product Name]],MATCH(Sheet2!H354,Table1[[#All],[Order ID]],0))</f>
        <v>Headphones</v>
      </c>
    </row>
    <row r="355" spans="1:11" x14ac:dyDescent="0.25">
      <c r="A355" s="6">
        <v>11900</v>
      </c>
      <c r="B355" t="s">
        <v>74</v>
      </c>
      <c r="F355" t="s">
        <v>27</v>
      </c>
      <c r="H355" t="s">
        <v>965</v>
      </c>
      <c r="I355" t="str">
        <f>VLOOKUP(H355,Table1[#All],8,FALSE)</f>
        <v>Audio</v>
      </c>
      <c r="J355" t="str" cm="1">
        <f t="array" ref="J355">_xlfn.XLOOKUP(H355,Table1[[#All],[Order ID]],Table1[[#All],[Brand]],0)</f>
        <v>Sony</v>
      </c>
      <c r="K355" t="str">
        <f>INDEX(Table1[[#All],[Product Name]],MATCH(Sheet2!H355,Table1[[#All],[Order ID]],0))</f>
        <v>Headphones</v>
      </c>
    </row>
    <row r="356" spans="1:11" x14ac:dyDescent="0.25">
      <c r="A356" s="5">
        <v>2400</v>
      </c>
      <c r="B356" t="s">
        <v>26</v>
      </c>
      <c r="F356" t="s">
        <v>27</v>
      </c>
      <c r="H356" t="s">
        <v>967</v>
      </c>
      <c r="I356" t="str">
        <f>VLOOKUP(H356,Table1[#All],8,FALSE)</f>
        <v>Accessories</v>
      </c>
      <c r="J356" t="str" cm="1">
        <f t="array" ref="J356">_xlfn.XLOOKUP(H356,Table1[[#All],[Order ID]],Table1[[#All],[Brand]],0)</f>
        <v>Logitech</v>
      </c>
      <c r="K356" t="str">
        <f>INDEX(Table1[[#All],[Product Name]],MATCH(Sheet2!H356,Table1[[#All],[Order ID]],0))</f>
        <v>Mouse</v>
      </c>
    </row>
    <row r="357" spans="1:11" x14ac:dyDescent="0.25">
      <c r="A357" s="6">
        <v>18000</v>
      </c>
      <c r="B357" t="s">
        <v>39</v>
      </c>
      <c r="F357" t="s">
        <v>40</v>
      </c>
      <c r="H357" t="s">
        <v>970</v>
      </c>
      <c r="I357" t="str">
        <f>VLOOKUP(H357,Table1[#All],8,FALSE)</f>
        <v>Office</v>
      </c>
      <c r="J357" t="str" cm="1">
        <f t="array" ref="J357">_xlfn.XLOOKUP(H357,Table1[[#All],[Order ID]],Table1[[#All],[Brand]],0)</f>
        <v>Nilkamal</v>
      </c>
      <c r="K357" t="str">
        <f>INDEX(Table1[[#All],[Product Name]],MATCH(Sheet2!H357,Table1[[#All],[Order ID]],0))</f>
        <v>Chair</v>
      </c>
    </row>
    <row r="358" spans="1:11" x14ac:dyDescent="0.25">
      <c r="A358" s="5">
        <v>6750</v>
      </c>
      <c r="B358" t="s">
        <v>68</v>
      </c>
      <c r="F358" t="s">
        <v>27</v>
      </c>
      <c r="H358" t="s">
        <v>972</v>
      </c>
      <c r="I358" t="str">
        <f>VLOOKUP(H358,Table1[#All],8,FALSE)</f>
        <v>Accessories</v>
      </c>
      <c r="J358" t="str" cm="1">
        <f t="array" ref="J358">_xlfn.XLOOKUP(H358,Table1[[#All],[Order ID]],Table1[[#All],[Brand]],0)</f>
        <v>HP</v>
      </c>
      <c r="K358" t="str">
        <f>INDEX(Table1[[#All],[Product Name]],MATCH(Sheet2!H358,Table1[[#All],[Order ID]],0))</f>
        <v>Keyboard</v>
      </c>
    </row>
    <row r="359" spans="1:11" x14ac:dyDescent="0.25">
      <c r="A359" s="6">
        <v>760</v>
      </c>
      <c r="B359" t="s">
        <v>26</v>
      </c>
      <c r="F359" t="s">
        <v>27</v>
      </c>
      <c r="H359" t="s">
        <v>974</v>
      </c>
      <c r="I359" t="str">
        <f>VLOOKUP(H359,Table1[#All],8,FALSE)</f>
        <v>Accessories</v>
      </c>
      <c r="J359" t="str" cm="1">
        <f t="array" ref="J359">_xlfn.XLOOKUP(H359,Table1[[#All],[Order ID]],Table1[[#All],[Brand]],0)</f>
        <v>Logitech</v>
      </c>
      <c r="K359" t="str">
        <f>INDEX(Table1[[#All],[Product Name]],MATCH(Sheet2!H359,Table1[[#All],[Order ID]],0))</f>
        <v>Mouse</v>
      </c>
    </row>
    <row r="360" spans="1:11" x14ac:dyDescent="0.25">
      <c r="A360" s="5">
        <v>1360</v>
      </c>
      <c r="B360" t="s">
        <v>26</v>
      </c>
      <c r="F360" t="s">
        <v>27</v>
      </c>
      <c r="H360" t="s">
        <v>977</v>
      </c>
      <c r="I360" t="str">
        <f>VLOOKUP(H360,Table1[#All],8,FALSE)</f>
        <v>Accessories</v>
      </c>
      <c r="J360" t="str" cm="1">
        <f t="array" ref="J360">_xlfn.XLOOKUP(H360,Table1[[#All],[Order ID]],Table1[[#All],[Brand]],0)</f>
        <v>Logitech</v>
      </c>
      <c r="K360" t="str">
        <f>INDEX(Table1[[#All],[Product Name]],MATCH(Sheet2!H360,Table1[[#All],[Order ID]],0))</f>
        <v>Mouse</v>
      </c>
    </row>
    <row r="361" spans="1:11" x14ac:dyDescent="0.25">
      <c r="A361" s="6">
        <v>4275</v>
      </c>
      <c r="B361" t="s">
        <v>39</v>
      </c>
      <c r="F361" t="s">
        <v>40</v>
      </c>
      <c r="H361" t="s">
        <v>980</v>
      </c>
      <c r="I361" t="str">
        <f>VLOOKUP(H361,Table1[#All],8,FALSE)</f>
        <v>Office</v>
      </c>
      <c r="J361" t="str" cm="1">
        <f t="array" ref="J361">_xlfn.XLOOKUP(H361,Table1[[#All],[Order ID]],Table1[[#All],[Brand]],0)</f>
        <v>Nilkamal</v>
      </c>
      <c r="K361" t="str">
        <f>INDEX(Table1[[#All],[Product Name]],MATCH(Sheet2!H361,Table1[[#All],[Order ID]],0))</f>
        <v>Chair</v>
      </c>
    </row>
    <row r="362" spans="1:11" x14ac:dyDescent="0.25">
      <c r="A362" s="5">
        <v>5400</v>
      </c>
      <c r="B362" t="s">
        <v>68</v>
      </c>
      <c r="F362" t="s">
        <v>27</v>
      </c>
      <c r="H362" t="s">
        <v>982</v>
      </c>
      <c r="I362" t="str">
        <f>VLOOKUP(H362,Table1[#All],8,FALSE)</f>
        <v>Accessories</v>
      </c>
      <c r="J362" t="str" cm="1">
        <f t="array" ref="J362">_xlfn.XLOOKUP(H362,Table1[[#All],[Order ID]],Table1[[#All],[Brand]],0)</f>
        <v>HP</v>
      </c>
      <c r="K362" t="str">
        <f>INDEX(Table1[[#All],[Product Name]],MATCH(Sheet2!H362,Table1[[#All],[Order ID]],0))</f>
        <v>Keyboard</v>
      </c>
    </row>
    <row r="363" spans="1:11" x14ac:dyDescent="0.25">
      <c r="A363" s="6">
        <v>12600</v>
      </c>
      <c r="B363" t="s">
        <v>74</v>
      </c>
      <c r="F363" t="s">
        <v>27</v>
      </c>
      <c r="H363" t="s">
        <v>984</v>
      </c>
      <c r="I363" t="str">
        <f>VLOOKUP(H363,Table1[#All],8,FALSE)</f>
        <v>Audio</v>
      </c>
      <c r="J363" t="str" cm="1">
        <f t="array" ref="J363">_xlfn.XLOOKUP(H363,Table1[[#All],[Order ID]],Table1[[#All],[Brand]],0)</f>
        <v>Sony</v>
      </c>
      <c r="K363" t="str">
        <f>INDEX(Table1[[#All],[Product Name]],MATCH(Sheet2!H363,Table1[[#All],[Order ID]],0))</f>
        <v>Headphones</v>
      </c>
    </row>
    <row r="364" spans="1:11" x14ac:dyDescent="0.25">
      <c r="A364" s="5">
        <v>2550</v>
      </c>
      <c r="B364" t="s">
        <v>68</v>
      </c>
      <c r="F364" t="s">
        <v>27</v>
      </c>
      <c r="H364" t="s">
        <v>986</v>
      </c>
      <c r="I364" t="str">
        <f>VLOOKUP(H364,Table1[#All],8,FALSE)</f>
        <v>Accessories</v>
      </c>
      <c r="J364" t="str" cm="1">
        <f t="array" ref="J364">_xlfn.XLOOKUP(H364,Table1[[#All],[Order ID]],Table1[[#All],[Brand]],0)</f>
        <v>HP</v>
      </c>
      <c r="K364" t="str">
        <f>INDEX(Table1[[#All],[Product Name]],MATCH(Sheet2!H364,Table1[[#All],[Order ID]],0))</f>
        <v>Keyboard</v>
      </c>
    </row>
    <row r="365" spans="1:11" x14ac:dyDescent="0.25">
      <c r="A365" s="6">
        <v>7650</v>
      </c>
      <c r="B365" t="s">
        <v>39</v>
      </c>
      <c r="F365" t="s">
        <v>40</v>
      </c>
      <c r="H365" t="s">
        <v>988</v>
      </c>
      <c r="I365" t="str">
        <f>VLOOKUP(H365,Table1[#All],8,FALSE)</f>
        <v>Office</v>
      </c>
      <c r="J365" t="str" cm="1">
        <f t="array" ref="J365">_xlfn.XLOOKUP(H365,Table1[[#All],[Order ID]],Table1[[#All],[Brand]],0)</f>
        <v>Nilkamal</v>
      </c>
      <c r="K365" t="str">
        <f>INDEX(Table1[[#All],[Product Name]],MATCH(Sheet2!H365,Table1[[#All],[Order ID]],0))</f>
        <v>Chair</v>
      </c>
    </row>
    <row r="366" spans="1:11" x14ac:dyDescent="0.25">
      <c r="A366" s="5">
        <v>104500</v>
      </c>
      <c r="B366" t="s">
        <v>53</v>
      </c>
      <c r="F366" t="s">
        <v>27</v>
      </c>
      <c r="H366" t="s">
        <v>991</v>
      </c>
      <c r="I366" t="str">
        <f>VLOOKUP(H366,Table1[#All],8,FALSE)</f>
        <v>Computers</v>
      </c>
      <c r="J366" t="str" cm="1">
        <f t="array" ref="J366">_xlfn.XLOOKUP(H366,Table1[[#All],[Order ID]],Table1[[#All],[Brand]],0)</f>
        <v>Dell</v>
      </c>
      <c r="K366" t="str">
        <f>INDEX(Table1[[#All],[Product Name]],MATCH(Sheet2!H366,Table1[[#All],[Order ID]],0))</f>
        <v>Laptop</v>
      </c>
    </row>
    <row r="367" spans="1:11" x14ac:dyDescent="0.25">
      <c r="A367" s="6">
        <v>99000</v>
      </c>
      <c r="B367" t="s">
        <v>53</v>
      </c>
      <c r="F367" t="s">
        <v>27</v>
      </c>
      <c r="H367" t="s">
        <v>994</v>
      </c>
      <c r="I367" t="str">
        <f>VLOOKUP(H367,Table1[#All],8,FALSE)</f>
        <v>Computers</v>
      </c>
      <c r="J367" t="str" cm="1">
        <f t="array" ref="J367">_xlfn.XLOOKUP(H367,Table1[[#All],[Order ID]],Table1[[#All],[Brand]],0)</f>
        <v>Dell</v>
      </c>
      <c r="K367" t="str">
        <f>INDEX(Table1[[#All],[Product Name]],MATCH(Sheet2!H367,Table1[[#All],[Order ID]],0))</f>
        <v>Laptop</v>
      </c>
    </row>
    <row r="368" spans="1:11" x14ac:dyDescent="0.25">
      <c r="A368" s="5">
        <v>3150</v>
      </c>
      <c r="B368" t="s">
        <v>74</v>
      </c>
      <c r="F368" t="s">
        <v>27</v>
      </c>
      <c r="H368" t="s">
        <v>997</v>
      </c>
      <c r="I368" t="str">
        <f>VLOOKUP(H368,Table1[#All],8,FALSE)</f>
        <v>Audio</v>
      </c>
      <c r="J368" t="str" cm="1">
        <f t="array" ref="J368">_xlfn.XLOOKUP(H368,Table1[[#All],[Order ID]],Table1[[#All],[Brand]],0)</f>
        <v>Sony</v>
      </c>
      <c r="K368" t="str">
        <f>INDEX(Table1[[#All],[Product Name]],MATCH(Sheet2!H368,Table1[[#All],[Order ID]],0))</f>
        <v>Headphones</v>
      </c>
    </row>
    <row r="369" spans="1:11" x14ac:dyDescent="0.25">
      <c r="A369" s="6">
        <v>680</v>
      </c>
      <c r="B369" t="s">
        <v>26</v>
      </c>
      <c r="F369" t="s">
        <v>27</v>
      </c>
      <c r="H369" t="s">
        <v>1000</v>
      </c>
      <c r="I369" t="str">
        <f>VLOOKUP(H369,Table1[#All],8,FALSE)</f>
        <v>Accessories</v>
      </c>
      <c r="J369" t="str" cm="1">
        <f t="array" ref="J369">_xlfn.XLOOKUP(H369,Table1[[#All],[Order ID]],Table1[[#All],[Brand]],0)</f>
        <v>Logitech</v>
      </c>
      <c r="K369" t="str">
        <f>INDEX(Table1[[#All],[Product Name]],MATCH(Sheet2!H369,Table1[[#All],[Order ID]],0))</f>
        <v>Mouse</v>
      </c>
    </row>
    <row r="370" spans="1:11" x14ac:dyDescent="0.25">
      <c r="A370" s="5">
        <v>187000</v>
      </c>
      <c r="B370" t="s">
        <v>53</v>
      </c>
      <c r="F370" t="s">
        <v>27</v>
      </c>
      <c r="H370" t="s">
        <v>1001</v>
      </c>
      <c r="I370" t="str">
        <f>VLOOKUP(H370,Table1[#All],8,FALSE)</f>
        <v>Computers</v>
      </c>
      <c r="J370" t="str" cm="1">
        <f t="array" ref="J370">_xlfn.XLOOKUP(H370,Table1[[#All],[Order ID]],Table1[[#All],[Brand]],0)</f>
        <v>Dell</v>
      </c>
      <c r="K370" t="str">
        <f>INDEX(Table1[[#All],[Product Name]],MATCH(Sheet2!H370,Table1[[#All],[Order ID]],0))</f>
        <v>Laptop</v>
      </c>
    </row>
    <row r="371" spans="1:11" x14ac:dyDescent="0.25">
      <c r="A371" s="6">
        <v>18000</v>
      </c>
      <c r="B371" t="s">
        <v>39</v>
      </c>
      <c r="F371" t="s">
        <v>40</v>
      </c>
      <c r="H371" t="s">
        <v>1003</v>
      </c>
      <c r="I371" t="str">
        <f>VLOOKUP(H371,Table1[#All],8,FALSE)</f>
        <v>Office</v>
      </c>
      <c r="J371" t="str" cm="1">
        <f t="array" ref="J371">_xlfn.XLOOKUP(H371,Table1[[#All],[Order ID]],Table1[[#All],[Brand]],0)</f>
        <v>Nilkamal</v>
      </c>
      <c r="K371" t="str">
        <f>INDEX(Table1[[#All],[Product Name]],MATCH(Sheet2!H371,Table1[[#All],[Order ID]],0))</f>
        <v>Chair</v>
      </c>
    </row>
    <row r="372" spans="1:11" x14ac:dyDescent="0.25">
      <c r="A372" s="5">
        <v>3400</v>
      </c>
      <c r="B372" t="s">
        <v>26</v>
      </c>
      <c r="F372" t="s">
        <v>27</v>
      </c>
      <c r="H372" t="s">
        <v>1006</v>
      </c>
      <c r="I372" t="str">
        <f>VLOOKUP(H372,Table1[#All],8,FALSE)</f>
        <v>Accessories</v>
      </c>
      <c r="J372" t="str" cm="1">
        <f t="array" ref="J372">_xlfn.XLOOKUP(H372,Table1[[#All],[Order ID]],Table1[[#All],[Brand]],0)</f>
        <v>Logitech</v>
      </c>
      <c r="K372" t="str">
        <f>INDEX(Table1[[#All],[Product Name]],MATCH(Sheet2!H372,Table1[[#All],[Order ID]],0))</f>
        <v>Mouse</v>
      </c>
    </row>
    <row r="373" spans="1:11" x14ac:dyDescent="0.25">
      <c r="A373" s="6">
        <v>4275</v>
      </c>
      <c r="B373" t="s">
        <v>39</v>
      </c>
      <c r="F373" t="s">
        <v>40</v>
      </c>
      <c r="H373" t="s">
        <v>1008</v>
      </c>
      <c r="I373" t="str">
        <f>VLOOKUP(H373,Table1[#All],8,FALSE)</f>
        <v>Office</v>
      </c>
      <c r="J373" t="str" cm="1">
        <f t="array" ref="J373">_xlfn.XLOOKUP(H373,Table1[[#All],[Order ID]],Table1[[#All],[Brand]],0)</f>
        <v>Nilkamal</v>
      </c>
      <c r="K373" t="str">
        <f>INDEX(Table1[[#All],[Product Name]],MATCH(Sheet2!H373,Table1[[#All],[Order ID]],0))</f>
        <v>Chair</v>
      </c>
    </row>
    <row r="374" spans="1:11" x14ac:dyDescent="0.25">
      <c r="A374" s="5">
        <v>21375</v>
      </c>
      <c r="B374" t="s">
        <v>39</v>
      </c>
      <c r="F374" t="s">
        <v>40</v>
      </c>
      <c r="H374" t="s">
        <v>1010</v>
      </c>
      <c r="I374" t="str">
        <f>VLOOKUP(H374,Table1[#All],8,FALSE)</f>
        <v>Office</v>
      </c>
      <c r="J374" t="str" cm="1">
        <f t="array" ref="J374">_xlfn.XLOOKUP(H374,Table1[[#All],[Order ID]],Table1[[#All],[Brand]],0)</f>
        <v>Nilkamal</v>
      </c>
      <c r="K374" t="str">
        <f>INDEX(Table1[[#All],[Product Name]],MATCH(Sheet2!H374,Table1[[#All],[Order ID]],0))</f>
        <v>Chair</v>
      </c>
    </row>
    <row r="375" spans="1:11" x14ac:dyDescent="0.25">
      <c r="A375" s="6">
        <v>4500</v>
      </c>
      <c r="B375" t="s">
        <v>39</v>
      </c>
      <c r="F375" t="s">
        <v>40</v>
      </c>
      <c r="H375" t="s">
        <v>1013</v>
      </c>
      <c r="I375" t="str">
        <f>VLOOKUP(H375,Table1[#All],8,FALSE)</f>
        <v>Office</v>
      </c>
      <c r="J375" t="str" cm="1">
        <f t="array" ref="J375">_xlfn.XLOOKUP(H375,Table1[[#All],[Order ID]],Table1[[#All],[Brand]],0)</f>
        <v>Nilkamal</v>
      </c>
      <c r="K375" t="str">
        <f>INDEX(Table1[[#All],[Product Name]],MATCH(Sheet2!H375,Table1[[#All],[Order ID]],0))</f>
        <v>Chair</v>
      </c>
    </row>
    <row r="376" spans="1:11" x14ac:dyDescent="0.25">
      <c r="A376" s="5">
        <v>12600</v>
      </c>
      <c r="B376" t="s">
        <v>74</v>
      </c>
      <c r="F376" t="s">
        <v>27</v>
      </c>
      <c r="H376" t="s">
        <v>1014</v>
      </c>
      <c r="I376" t="str">
        <f>VLOOKUP(H376,Table1[#All],8,FALSE)</f>
        <v>Audio</v>
      </c>
      <c r="J376" t="str" cm="1">
        <f t="array" ref="J376">_xlfn.XLOOKUP(H376,Table1[[#All],[Order ID]],Table1[[#All],[Brand]],0)</f>
        <v>Sony</v>
      </c>
      <c r="K376" t="str">
        <f>INDEX(Table1[[#All],[Product Name]],MATCH(Sheet2!H376,Table1[[#All],[Order ID]],0))</f>
        <v>Headphones</v>
      </c>
    </row>
    <row r="377" spans="1:11" x14ac:dyDescent="0.25">
      <c r="A377" s="6">
        <v>4050</v>
      </c>
      <c r="B377" t="s">
        <v>68</v>
      </c>
      <c r="F377" t="s">
        <v>27</v>
      </c>
      <c r="H377" t="s">
        <v>1017</v>
      </c>
      <c r="I377" t="str">
        <f>VLOOKUP(H377,Table1[#All],8,FALSE)</f>
        <v>Accessories</v>
      </c>
      <c r="J377" t="str" cm="1">
        <f t="array" ref="J377">_xlfn.XLOOKUP(H377,Table1[[#All],[Order ID]],Table1[[#All],[Brand]],0)</f>
        <v>HP</v>
      </c>
      <c r="K377" t="str">
        <f>INDEX(Table1[[#All],[Product Name]],MATCH(Sheet2!H377,Table1[[#All],[Order ID]],0))</f>
        <v>Keyboard</v>
      </c>
    </row>
    <row r="378" spans="1:11" x14ac:dyDescent="0.25">
      <c r="A378" s="5">
        <v>2040</v>
      </c>
      <c r="B378" t="s">
        <v>26</v>
      </c>
      <c r="F378" t="s">
        <v>27</v>
      </c>
      <c r="H378" t="s">
        <v>1019</v>
      </c>
      <c r="I378" t="str">
        <f>VLOOKUP(H378,Table1[#All],8,FALSE)</f>
        <v>Accessories</v>
      </c>
      <c r="J378" t="str" cm="1">
        <f t="array" ref="J378">_xlfn.XLOOKUP(H378,Table1[[#All],[Order ID]],Table1[[#All],[Brand]],0)</f>
        <v>Logitech</v>
      </c>
      <c r="K378" t="str">
        <f>INDEX(Table1[[#All],[Product Name]],MATCH(Sheet2!H378,Table1[[#All],[Order ID]],0))</f>
        <v>Mouse</v>
      </c>
    </row>
    <row r="379" spans="1:11" x14ac:dyDescent="0.25">
      <c r="A379" s="6">
        <v>1360</v>
      </c>
      <c r="B379" t="s">
        <v>26</v>
      </c>
      <c r="F379" t="s">
        <v>27</v>
      </c>
      <c r="H379" t="s">
        <v>1021</v>
      </c>
      <c r="I379" t="str">
        <f>VLOOKUP(H379,Table1[#All],8,FALSE)</f>
        <v>Accessories</v>
      </c>
      <c r="J379" t="str" cm="1">
        <f t="array" ref="J379">_xlfn.XLOOKUP(H379,Table1[[#All],[Order ID]],Table1[[#All],[Brand]],0)</f>
        <v>Logitech</v>
      </c>
      <c r="K379" t="str">
        <f>INDEX(Table1[[#All],[Product Name]],MATCH(Sheet2!H379,Table1[[#All],[Order ID]],0))</f>
        <v>Mouse</v>
      </c>
    </row>
    <row r="380" spans="1:11" x14ac:dyDescent="0.25">
      <c r="A380" s="5">
        <v>680</v>
      </c>
      <c r="B380" t="s">
        <v>26</v>
      </c>
      <c r="F380" t="s">
        <v>27</v>
      </c>
      <c r="H380" t="s">
        <v>1024</v>
      </c>
      <c r="I380" t="str">
        <f>VLOOKUP(H380,Table1[#All],8,FALSE)</f>
        <v>Accessories</v>
      </c>
      <c r="J380" t="str" cm="1">
        <f t="array" ref="J380">_xlfn.XLOOKUP(H380,Table1[[#All],[Order ID]],Table1[[#All],[Brand]],0)</f>
        <v>Logitech</v>
      </c>
      <c r="K380" t="str">
        <f>INDEX(Table1[[#All],[Product Name]],MATCH(Sheet2!H380,Table1[[#All],[Order ID]],0))</f>
        <v>Mouse</v>
      </c>
    </row>
    <row r="381" spans="1:11" x14ac:dyDescent="0.25">
      <c r="A381" s="6">
        <v>3000</v>
      </c>
      <c r="B381" t="s">
        <v>68</v>
      </c>
      <c r="F381" t="s">
        <v>27</v>
      </c>
      <c r="H381" t="s">
        <v>1026</v>
      </c>
      <c r="I381" t="str">
        <f>VLOOKUP(H381,Table1[#All],8,FALSE)</f>
        <v>Accessories</v>
      </c>
      <c r="J381" t="str" cm="1">
        <f t="array" ref="J381">_xlfn.XLOOKUP(H381,Table1[[#All],[Order ID]],Table1[[#All],[Brand]],0)</f>
        <v>HP</v>
      </c>
      <c r="K381" t="str">
        <f>INDEX(Table1[[#All],[Product Name]],MATCH(Sheet2!H381,Table1[[#All],[Order ID]],0))</f>
        <v>Keyboard</v>
      </c>
    </row>
    <row r="382" spans="1:11" x14ac:dyDescent="0.25">
      <c r="A382" s="5">
        <v>3000</v>
      </c>
      <c r="B382" t="s">
        <v>68</v>
      </c>
      <c r="F382" t="s">
        <v>27</v>
      </c>
      <c r="H382" t="s">
        <v>1029</v>
      </c>
      <c r="I382" t="str">
        <f>VLOOKUP(H382,Table1[#All],8,FALSE)</f>
        <v>Accessories</v>
      </c>
      <c r="J382" t="str" cm="1">
        <f t="array" ref="J382">_xlfn.XLOOKUP(H382,Table1[[#All],[Order ID]],Table1[[#All],[Brand]],0)</f>
        <v>HP</v>
      </c>
      <c r="K382" t="str">
        <f>INDEX(Table1[[#All],[Product Name]],MATCH(Sheet2!H382,Table1[[#All],[Order ID]],0))</f>
        <v>Keyboard</v>
      </c>
    </row>
    <row r="383" spans="1:11" x14ac:dyDescent="0.25">
      <c r="A383" s="6">
        <v>9450</v>
      </c>
      <c r="B383" t="s">
        <v>74</v>
      </c>
      <c r="F383" t="s">
        <v>27</v>
      </c>
      <c r="H383" t="s">
        <v>1032</v>
      </c>
      <c r="I383" t="str">
        <f>VLOOKUP(H383,Table1[#All],8,FALSE)</f>
        <v>Audio</v>
      </c>
      <c r="J383" t="str" cm="1">
        <f t="array" ref="J383">_xlfn.XLOOKUP(H383,Table1[[#All],[Order ID]],Table1[[#All],[Brand]],0)</f>
        <v>Sony</v>
      </c>
      <c r="K383" t="str">
        <f>INDEX(Table1[[#All],[Product Name]],MATCH(Sheet2!H383,Table1[[#All],[Order ID]],0))</f>
        <v>Headphones</v>
      </c>
    </row>
    <row r="384" spans="1:11" x14ac:dyDescent="0.25">
      <c r="A384" s="5">
        <v>800</v>
      </c>
      <c r="B384" t="s">
        <v>26</v>
      </c>
      <c r="F384" t="s">
        <v>27</v>
      </c>
      <c r="H384" t="s">
        <v>1034</v>
      </c>
      <c r="I384" t="str">
        <f>VLOOKUP(H384,Table1[#All],8,FALSE)</f>
        <v>Accessories</v>
      </c>
      <c r="J384" t="str" cm="1">
        <f t="array" ref="J384">_xlfn.XLOOKUP(H384,Table1[[#All],[Order ID]],Table1[[#All],[Brand]],0)</f>
        <v>Logitech</v>
      </c>
      <c r="K384" t="str">
        <f>INDEX(Table1[[#All],[Product Name]],MATCH(Sheet2!H384,Table1[[#All],[Order ID]],0))</f>
        <v>Mouse</v>
      </c>
    </row>
    <row r="385" spans="1:11" x14ac:dyDescent="0.25">
      <c r="A385" s="6">
        <v>12600</v>
      </c>
      <c r="B385" t="s">
        <v>74</v>
      </c>
      <c r="F385" t="s">
        <v>27</v>
      </c>
      <c r="H385" t="s">
        <v>1037</v>
      </c>
      <c r="I385" t="str">
        <f>VLOOKUP(H385,Table1[#All],8,FALSE)</f>
        <v>Audio</v>
      </c>
      <c r="J385" t="str" cm="1">
        <f t="array" ref="J385">_xlfn.XLOOKUP(H385,Table1[[#All],[Order ID]],Table1[[#All],[Brand]],0)</f>
        <v>Sony</v>
      </c>
      <c r="K385" t="str">
        <f>INDEX(Table1[[#All],[Product Name]],MATCH(Sheet2!H385,Table1[[#All],[Order ID]],0))</f>
        <v>Headphones</v>
      </c>
    </row>
    <row r="386" spans="1:11" x14ac:dyDescent="0.25">
      <c r="A386" s="5">
        <v>13300</v>
      </c>
      <c r="B386" t="s">
        <v>74</v>
      </c>
      <c r="F386" t="s">
        <v>27</v>
      </c>
      <c r="H386" t="s">
        <v>1040</v>
      </c>
      <c r="I386" t="str">
        <f>VLOOKUP(H386,Table1[#All],8,FALSE)</f>
        <v>Audio</v>
      </c>
      <c r="J386" t="str" cm="1">
        <f t="array" ref="J386">_xlfn.XLOOKUP(H386,Table1[[#All],[Order ID]],Table1[[#All],[Brand]],0)</f>
        <v>Sony</v>
      </c>
      <c r="K386" t="str">
        <f>INDEX(Table1[[#All],[Product Name]],MATCH(Sheet2!H386,Table1[[#All],[Order ID]],0))</f>
        <v>Headphones</v>
      </c>
    </row>
    <row r="387" spans="1:11" x14ac:dyDescent="0.25">
      <c r="A387" s="6">
        <v>2720</v>
      </c>
      <c r="B387" t="s">
        <v>26</v>
      </c>
      <c r="F387" t="s">
        <v>27</v>
      </c>
      <c r="H387" t="s">
        <v>1041</v>
      </c>
      <c r="I387" t="str">
        <f>VLOOKUP(H387,Table1[#All],8,FALSE)</f>
        <v>Accessories</v>
      </c>
      <c r="J387" t="str" cm="1">
        <f t="array" ref="J387">_xlfn.XLOOKUP(H387,Table1[[#All],[Order ID]],Table1[[#All],[Brand]],0)</f>
        <v>Logitech</v>
      </c>
      <c r="K387" t="str">
        <f>INDEX(Table1[[#All],[Product Name]],MATCH(Sheet2!H387,Table1[[#All],[Order ID]],0))</f>
        <v>Mouse</v>
      </c>
    </row>
    <row r="388" spans="1:11" x14ac:dyDescent="0.25">
      <c r="A388" s="5">
        <v>209000</v>
      </c>
      <c r="B388" t="s">
        <v>53</v>
      </c>
      <c r="F388" t="s">
        <v>27</v>
      </c>
      <c r="H388" t="s">
        <v>1044</v>
      </c>
      <c r="I388" t="str">
        <f>VLOOKUP(H388,Table1[#All],8,FALSE)</f>
        <v>Computers</v>
      </c>
      <c r="J388" t="str" cm="1">
        <f t="array" ref="J388">_xlfn.XLOOKUP(H388,Table1[[#All],[Order ID]],Table1[[#All],[Brand]],0)</f>
        <v>Dell</v>
      </c>
      <c r="K388" t="str">
        <f>INDEX(Table1[[#All],[Product Name]],MATCH(Sheet2!H388,Table1[[#All],[Order ID]],0))</f>
        <v>Laptop</v>
      </c>
    </row>
    <row r="389" spans="1:11" x14ac:dyDescent="0.25">
      <c r="A389" s="6">
        <v>2040</v>
      </c>
      <c r="B389" t="s">
        <v>26</v>
      </c>
      <c r="F389" t="s">
        <v>27</v>
      </c>
      <c r="H389" t="s">
        <v>1046</v>
      </c>
      <c r="I389" t="str">
        <f>VLOOKUP(H389,Table1[#All],8,FALSE)</f>
        <v>Accessories</v>
      </c>
      <c r="J389" t="str" cm="1">
        <f t="array" ref="J389">_xlfn.XLOOKUP(H389,Table1[[#All],[Order ID]],Table1[[#All],[Brand]],0)</f>
        <v>Logitech</v>
      </c>
      <c r="K389" t="str">
        <f>INDEX(Table1[[#All],[Product Name]],MATCH(Sheet2!H389,Table1[[#All],[Order ID]],0))</f>
        <v>Mouse</v>
      </c>
    </row>
    <row r="390" spans="1:11" x14ac:dyDescent="0.25">
      <c r="A390" s="5">
        <v>187000</v>
      </c>
      <c r="B390" t="s">
        <v>53</v>
      </c>
      <c r="F390" t="s">
        <v>27</v>
      </c>
      <c r="H390" t="s">
        <v>1047</v>
      </c>
      <c r="I390" t="str">
        <f>VLOOKUP(H390,Table1[#All],8,FALSE)</f>
        <v>Computers</v>
      </c>
      <c r="J390" t="str" cm="1">
        <f t="array" ref="J390">_xlfn.XLOOKUP(H390,Table1[[#All],[Order ID]],Table1[[#All],[Brand]],0)</f>
        <v>Dell</v>
      </c>
      <c r="K390" t="str">
        <f>INDEX(Table1[[#All],[Product Name]],MATCH(Sheet2!H390,Table1[[#All],[Order ID]],0))</f>
        <v>Laptop</v>
      </c>
    </row>
    <row r="391" spans="1:11" x14ac:dyDescent="0.25">
      <c r="A391" s="6">
        <v>20250</v>
      </c>
      <c r="B391" t="s">
        <v>39</v>
      </c>
      <c r="F391" t="s">
        <v>40</v>
      </c>
      <c r="H391" t="s">
        <v>1049</v>
      </c>
      <c r="I391" t="str">
        <f>VLOOKUP(H391,Table1[#All],8,FALSE)</f>
        <v>Office</v>
      </c>
      <c r="J391" t="str" cm="1">
        <f t="array" ref="J391">_xlfn.XLOOKUP(H391,Table1[[#All],[Order ID]],Table1[[#All],[Brand]],0)</f>
        <v>Nilkamal</v>
      </c>
      <c r="K391" t="str">
        <f>INDEX(Table1[[#All],[Product Name]],MATCH(Sheet2!H391,Table1[[#All],[Order ID]],0))</f>
        <v>Chair</v>
      </c>
    </row>
    <row r="392" spans="1:11" x14ac:dyDescent="0.25">
      <c r="A392" s="5">
        <v>6300</v>
      </c>
      <c r="B392" t="s">
        <v>74</v>
      </c>
      <c r="F392" t="s">
        <v>27</v>
      </c>
      <c r="H392" t="s">
        <v>1051</v>
      </c>
      <c r="I392" t="str">
        <f>VLOOKUP(H392,Table1[#All],8,FALSE)</f>
        <v>Audio</v>
      </c>
      <c r="J392" t="str" cm="1">
        <f t="array" ref="J392">_xlfn.XLOOKUP(H392,Table1[[#All],[Order ID]],Table1[[#All],[Brand]],0)</f>
        <v>Sony</v>
      </c>
      <c r="K392" t="str">
        <f>INDEX(Table1[[#All],[Product Name]],MATCH(Sheet2!H392,Table1[[#All],[Order ID]],0))</f>
        <v>Headphones</v>
      </c>
    </row>
    <row r="393" spans="1:11" x14ac:dyDescent="0.25">
      <c r="A393" s="6">
        <v>2850</v>
      </c>
      <c r="B393" t="s">
        <v>68</v>
      </c>
      <c r="F393" t="s">
        <v>27</v>
      </c>
      <c r="H393" t="s">
        <v>1053</v>
      </c>
      <c r="I393" t="str">
        <f>VLOOKUP(H393,Table1[#All],8,FALSE)</f>
        <v>Accessories</v>
      </c>
      <c r="J393" t="str" cm="1">
        <f t="array" ref="J393">_xlfn.XLOOKUP(H393,Table1[[#All],[Order ID]],Table1[[#All],[Brand]],0)</f>
        <v>HP</v>
      </c>
      <c r="K393" t="str">
        <f>INDEX(Table1[[#All],[Product Name]],MATCH(Sheet2!H393,Table1[[#All],[Order ID]],0))</f>
        <v>Keyboard</v>
      </c>
    </row>
    <row r="394" spans="1:11" x14ac:dyDescent="0.25">
      <c r="A394" s="5">
        <v>760</v>
      </c>
      <c r="B394" t="s">
        <v>26</v>
      </c>
      <c r="F394" t="s">
        <v>27</v>
      </c>
      <c r="H394" t="s">
        <v>1055</v>
      </c>
      <c r="I394" t="str">
        <f>VLOOKUP(H394,Table1[#All],8,FALSE)</f>
        <v>Accessories</v>
      </c>
      <c r="J394" t="str" cm="1">
        <f t="array" ref="J394">_xlfn.XLOOKUP(H394,Table1[[#All],[Order ID]],Table1[[#All],[Brand]],0)</f>
        <v>Logitech</v>
      </c>
      <c r="K394" t="str">
        <f>INDEX(Table1[[#All],[Product Name]],MATCH(Sheet2!H394,Table1[[#All],[Order ID]],0))</f>
        <v>Mouse</v>
      </c>
    </row>
    <row r="395" spans="1:11" x14ac:dyDescent="0.25">
      <c r="A395" s="6">
        <v>3325</v>
      </c>
      <c r="B395" t="s">
        <v>74</v>
      </c>
      <c r="F395" t="s">
        <v>27</v>
      </c>
      <c r="H395" t="s">
        <v>1056</v>
      </c>
      <c r="I395" t="str">
        <f>VLOOKUP(H395,Table1[#All],8,FALSE)</f>
        <v>Audio</v>
      </c>
      <c r="J395" t="str" cm="1">
        <f t="array" ref="J395">_xlfn.XLOOKUP(H395,Table1[[#All],[Order ID]],Table1[[#All],[Brand]],0)</f>
        <v>Sony</v>
      </c>
      <c r="K395" t="str">
        <f>INDEX(Table1[[#All],[Product Name]],MATCH(Sheet2!H395,Table1[[#All],[Order ID]],0))</f>
        <v>Headphones</v>
      </c>
    </row>
    <row r="396" spans="1:11" x14ac:dyDescent="0.25">
      <c r="A396" s="5">
        <v>800</v>
      </c>
      <c r="B396" t="s">
        <v>26</v>
      </c>
      <c r="F396" t="s">
        <v>27</v>
      </c>
      <c r="H396" t="s">
        <v>1059</v>
      </c>
      <c r="I396" t="str">
        <f>VLOOKUP(H396,Table1[#All],8,FALSE)</f>
        <v>Accessories</v>
      </c>
      <c r="J396" t="str" cm="1">
        <f t="array" ref="J396">_xlfn.XLOOKUP(H396,Table1[[#All],[Order ID]],Table1[[#All],[Brand]],0)</f>
        <v>Logitech</v>
      </c>
      <c r="K396" t="str">
        <f>INDEX(Table1[[#All],[Product Name]],MATCH(Sheet2!H396,Table1[[#All],[Order ID]],0))</f>
        <v>Mouse</v>
      </c>
    </row>
    <row r="397" spans="1:11" x14ac:dyDescent="0.25">
      <c r="A397" s="6">
        <v>9975</v>
      </c>
      <c r="B397" t="s">
        <v>74</v>
      </c>
      <c r="F397" t="s">
        <v>27</v>
      </c>
      <c r="H397" t="s">
        <v>1062</v>
      </c>
      <c r="I397" t="str">
        <f>VLOOKUP(H397,Table1[#All],8,FALSE)</f>
        <v>Audio</v>
      </c>
      <c r="J397" t="str" cm="1">
        <f t="array" ref="J397">_xlfn.XLOOKUP(H397,Table1[[#All],[Order ID]],Table1[[#All],[Brand]],0)</f>
        <v>Sony</v>
      </c>
      <c r="K397" t="str">
        <f>INDEX(Table1[[#All],[Product Name]],MATCH(Sheet2!H397,Table1[[#All],[Order ID]],0))</f>
        <v>Headphones</v>
      </c>
    </row>
    <row r="398" spans="1:11" x14ac:dyDescent="0.25">
      <c r="A398" s="5">
        <v>14875</v>
      </c>
      <c r="B398" t="s">
        <v>74</v>
      </c>
      <c r="F398" t="s">
        <v>27</v>
      </c>
      <c r="H398" t="s">
        <v>1064</v>
      </c>
      <c r="I398" t="str">
        <f>VLOOKUP(H398,Table1[#All],8,FALSE)</f>
        <v>Audio</v>
      </c>
      <c r="J398" t="str" cm="1">
        <f t="array" ref="J398">_xlfn.XLOOKUP(H398,Table1[[#All],[Order ID]],Table1[[#All],[Brand]],0)</f>
        <v>Sony</v>
      </c>
      <c r="K398" t="str">
        <f>INDEX(Table1[[#All],[Product Name]],MATCH(Sheet2!H398,Table1[[#All],[Order ID]],0))</f>
        <v>Headphones</v>
      </c>
    </row>
    <row r="399" spans="1:11" x14ac:dyDescent="0.25">
      <c r="A399" s="6">
        <v>2880</v>
      </c>
      <c r="B399" t="s">
        <v>26</v>
      </c>
      <c r="F399" t="s">
        <v>27</v>
      </c>
      <c r="H399" t="s">
        <v>1065</v>
      </c>
      <c r="I399" t="str">
        <f>VLOOKUP(H399,Table1[#All],8,FALSE)</f>
        <v>Accessories</v>
      </c>
      <c r="J399" t="str" cm="1">
        <f t="array" ref="J399">_xlfn.XLOOKUP(H399,Table1[[#All],[Order ID]],Table1[[#All],[Brand]],0)</f>
        <v>Logitech</v>
      </c>
      <c r="K399" t="str">
        <f>INDEX(Table1[[#All],[Product Name]],MATCH(Sheet2!H399,Table1[[#All],[Order ID]],0))</f>
        <v>Mouse</v>
      </c>
    </row>
    <row r="400" spans="1:11" x14ac:dyDescent="0.25">
      <c r="A400" s="5">
        <v>4275</v>
      </c>
      <c r="B400" t="s">
        <v>68</v>
      </c>
      <c r="F400" t="s">
        <v>27</v>
      </c>
      <c r="H400" t="s">
        <v>1067</v>
      </c>
      <c r="I400" t="str">
        <f>VLOOKUP(H400,Table1[#All],8,FALSE)</f>
        <v>Accessories</v>
      </c>
      <c r="J400" t="str" cm="1">
        <f t="array" ref="J400">_xlfn.XLOOKUP(H400,Table1[[#All],[Order ID]],Table1[[#All],[Brand]],0)</f>
        <v>HP</v>
      </c>
      <c r="K400" t="str">
        <f>INDEX(Table1[[#All],[Product Name]],MATCH(Sheet2!H400,Table1[[#All],[Order ID]],0))</f>
        <v>Keyboard</v>
      </c>
    </row>
    <row r="401" spans="1:11" x14ac:dyDescent="0.25">
      <c r="A401" s="6">
        <v>5700</v>
      </c>
      <c r="B401" t="s">
        <v>68</v>
      </c>
      <c r="F401" t="s">
        <v>27</v>
      </c>
      <c r="H401" t="s">
        <v>1070</v>
      </c>
      <c r="I401" t="str">
        <f>VLOOKUP(H401,Table1[#All],8,FALSE)</f>
        <v>Accessories</v>
      </c>
      <c r="J401" t="str" cm="1">
        <f t="array" ref="J401">_xlfn.XLOOKUP(H401,Table1[[#All],[Order ID]],Table1[[#All],[Brand]],0)</f>
        <v>HP</v>
      </c>
      <c r="K401" t="str">
        <f>INDEX(Table1[[#All],[Product Name]],MATCH(Sheet2!H401,Table1[[#All],[Order ID]],0))</f>
        <v>Keyboard</v>
      </c>
    </row>
    <row r="402" spans="1:11" x14ac:dyDescent="0.25">
      <c r="A402" s="5">
        <v>46750</v>
      </c>
      <c r="B402" t="s">
        <v>53</v>
      </c>
      <c r="F402" t="s">
        <v>27</v>
      </c>
      <c r="H402" t="s">
        <v>1072</v>
      </c>
      <c r="I402" t="str">
        <f>VLOOKUP(H402,Table1[#All],8,FALSE)</f>
        <v>Computers</v>
      </c>
      <c r="J402" t="str" cm="1">
        <f t="array" ref="J402">_xlfn.XLOOKUP(H402,Table1[[#All],[Order ID]],Table1[[#All],[Brand]],0)</f>
        <v>Dell</v>
      </c>
      <c r="K402" t="str">
        <f>INDEX(Table1[[#All],[Product Name]],MATCH(Sheet2!H402,Table1[[#All],[Order ID]],0))</f>
        <v>Laptop</v>
      </c>
    </row>
    <row r="403" spans="1:11" x14ac:dyDescent="0.25">
      <c r="A403" s="6">
        <v>20250</v>
      </c>
      <c r="B403" t="s">
        <v>39</v>
      </c>
      <c r="F403" t="s">
        <v>40</v>
      </c>
      <c r="H403" t="s">
        <v>1074</v>
      </c>
      <c r="I403" t="str">
        <f>VLOOKUP(H403,Table1[#All],8,FALSE)</f>
        <v>Office</v>
      </c>
      <c r="J403" t="str" cm="1">
        <f t="array" ref="J403">_xlfn.XLOOKUP(H403,Table1[[#All],[Order ID]],Table1[[#All],[Brand]],0)</f>
        <v>Nilkamal</v>
      </c>
      <c r="K403" t="str">
        <f>INDEX(Table1[[#All],[Product Name]],MATCH(Sheet2!H403,Table1[[#All],[Order ID]],0))</f>
        <v>Chair</v>
      </c>
    </row>
    <row r="404" spans="1:11" x14ac:dyDescent="0.25">
      <c r="A404" s="5">
        <v>7000</v>
      </c>
      <c r="B404" t="s">
        <v>74</v>
      </c>
      <c r="F404" t="s">
        <v>27</v>
      </c>
      <c r="H404" t="s">
        <v>1077</v>
      </c>
      <c r="I404" t="str">
        <f>VLOOKUP(H404,Table1[#All],8,FALSE)</f>
        <v>Audio</v>
      </c>
      <c r="J404" t="str" cm="1">
        <f t="array" ref="J404">_xlfn.XLOOKUP(H404,Table1[[#All],[Order ID]],Table1[[#All],[Brand]],0)</f>
        <v>Sony</v>
      </c>
      <c r="K404" t="str">
        <f>INDEX(Table1[[#All],[Product Name]],MATCH(Sheet2!H404,Table1[[#All],[Order ID]],0))</f>
        <v>Headphones</v>
      </c>
    </row>
    <row r="405" spans="1:11" x14ac:dyDescent="0.25">
      <c r="A405" s="6">
        <v>760</v>
      </c>
      <c r="B405" t="s">
        <v>26</v>
      </c>
      <c r="F405" t="s">
        <v>27</v>
      </c>
      <c r="H405" t="s">
        <v>1080</v>
      </c>
      <c r="I405" t="str">
        <f>VLOOKUP(H405,Table1[#All],8,FALSE)</f>
        <v>Accessories</v>
      </c>
      <c r="J405" t="str" cm="1">
        <f t="array" ref="J405">_xlfn.XLOOKUP(H405,Table1[[#All],[Order ID]],Table1[[#All],[Brand]],0)</f>
        <v>Logitech</v>
      </c>
      <c r="K405" t="str">
        <f>INDEX(Table1[[#All],[Product Name]],MATCH(Sheet2!H405,Table1[[#All],[Order ID]],0))</f>
        <v>Mouse</v>
      </c>
    </row>
    <row r="406" spans="1:11" x14ac:dyDescent="0.25">
      <c r="A406" s="5">
        <v>9000</v>
      </c>
      <c r="B406" t="s">
        <v>39</v>
      </c>
      <c r="F406" t="s">
        <v>40</v>
      </c>
      <c r="H406" t="s">
        <v>1081</v>
      </c>
      <c r="I406" t="str">
        <f>VLOOKUP(H406,Table1[#All],8,FALSE)</f>
        <v>Office</v>
      </c>
      <c r="J406" t="str" cm="1">
        <f t="array" ref="J406">_xlfn.XLOOKUP(H406,Table1[[#All],[Order ID]],Table1[[#All],[Brand]],0)</f>
        <v>Nilkamal</v>
      </c>
      <c r="K406" t="str">
        <f>INDEX(Table1[[#All],[Product Name]],MATCH(Sheet2!H406,Table1[[#All],[Order ID]],0))</f>
        <v>Chair</v>
      </c>
    </row>
    <row r="407" spans="1:11" x14ac:dyDescent="0.25">
      <c r="A407" s="6">
        <v>2880</v>
      </c>
      <c r="B407" t="s">
        <v>26</v>
      </c>
      <c r="F407" t="s">
        <v>27</v>
      </c>
      <c r="H407" t="s">
        <v>1083</v>
      </c>
      <c r="I407" t="str">
        <f>VLOOKUP(H407,Table1[#All],8,FALSE)</f>
        <v>Accessories</v>
      </c>
      <c r="J407" t="str" cm="1">
        <f t="array" ref="J407">_xlfn.XLOOKUP(H407,Table1[[#All],[Order ID]],Table1[[#All],[Brand]],0)</f>
        <v>Logitech</v>
      </c>
      <c r="K407" t="str">
        <f>INDEX(Table1[[#All],[Product Name]],MATCH(Sheet2!H407,Table1[[#All],[Order ID]],0))</f>
        <v>Mouse</v>
      </c>
    </row>
    <row r="408" spans="1:11" x14ac:dyDescent="0.25">
      <c r="A408" s="5">
        <v>19125</v>
      </c>
      <c r="B408" t="s">
        <v>39</v>
      </c>
      <c r="F408" t="s">
        <v>40</v>
      </c>
      <c r="H408" t="s">
        <v>1085</v>
      </c>
      <c r="I408" t="str">
        <f>VLOOKUP(H408,Table1[#All],8,FALSE)</f>
        <v>Office</v>
      </c>
      <c r="J408" t="str" cm="1">
        <f t="array" ref="J408">_xlfn.XLOOKUP(H408,Table1[[#All],[Order ID]],Table1[[#All],[Brand]],0)</f>
        <v>Nilkamal</v>
      </c>
      <c r="K408" t="str">
        <f>INDEX(Table1[[#All],[Product Name]],MATCH(Sheet2!H408,Table1[[#All],[Order ID]],0))</f>
        <v>Chair</v>
      </c>
    </row>
    <row r="409" spans="1:11" x14ac:dyDescent="0.25">
      <c r="A409" s="6">
        <v>14875</v>
      </c>
      <c r="B409" t="s">
        <v>74</v>
      </c>
      <c r="F409" t="s">
        <v>27</v>
      </c>
      <c r="H409" t="s">
        <v>1087</v>
      </c>
      <c r="I409" t="str">
        <f>VLOOKUP(H409,Table1[#All],8,FALSE)</f>
        <v>Audio</v>
      </c>
      <c r="J409" t="str" cm="1">
        <f t="array" ref="J409">_xlfn.XLOOKUP(H409,Table1[[#All],[Order ID]],Table1[[#All],[Brand]],0)</f>
        <v>Sony</v>
      </c>
      <c r="K409" t="str">
        <f>INDEX(Table1[[#All],[Product Name]],MATCH(Sheet2!H409,Table1[[#All],[Order ID]],0))</f>
        <v>Headphones</v>
      </c>
    </row>
    <row r="410" spans="1:11" x14ac:dyDescent="0.25">
      <c r="A410" s="5">
        <v>104500</v>
      </c>
      <c r="B410" t="s">
        <v>53</v>
      </c>
      <c r="F410" t="s">
        <v>27</v>
      </c>
      <c r="H410" t="s">
        <v>1089</v>
      </c>
      <c r="I410" t="str">
        <f>VLOOKUP(H410,Table1[#All],8,FALSE)</f>
        <v>Computers</v>
      </c>
      <c r="J410" t="str" cm="1">
        <f t="array" ref="J410">_xlfn.XLOOKUP(H410,Table1[[#All],[Order ID]],Table1[[#All],[Brand]],0)</f>
        <v>Dell</v>
      </c>
      <c r="K410" t="str">
        <f>INDEX(Table1[[#All],[Product Name]],MATCH(Sheet2!H410,Table1[[#All],[Order ID]],0))</f>
        <v>Laptop</v>
      </c>
    </row>
    <row r="411" spans="1:11" x14ac:dyDescent="0.25">
      <c r="A411" s="6">
        <v>4275</v>
      </c>
      <c r="B411" t="s">
        <v>68</v>
      </c>
      <c r="F411" t="s">
        <v>27</v>
      </c>
      <c r="H411" t="s">
        <v>1091</v>
      </c>
      <c r="I411" t="str">
        <f>VLOOKUP(H411,Table1[#All],8,FALSE)</f>
        <v>Accessories</v>
      </c>
      <c r="J411" t="str" cm="1">
        <f t="array" ref="J411">_xlfn.XLOOKUP(H411,Table1[[#All],[Order ID]],Table1[[#All],[Brand]],0)</f>
        <v>HP</v>
      </c>
      <c r="K411" t="str">
        <f>INDEX(Table1[[#All],[Product Name]],MATCH(Sheet2!H411,Table1[[#All],[Order ID]],0))</f>
        <v>Keyboard</v>
      </c>
    </row>
    <row r="412" spans="1:11" x14ac:dyDescent="0.25">
      <c r="A412" s="5">
        <v>148500</v>
      </c>
      <c r="B412" t="s">
        <v>53</v>
      </c>
      <c r="F412" t="s">
        <v>27</v>
      </c>
      <c r="H412" t="s">
        <v>1094</v>
      </c>
      <c r="I412" t="str">
        <f>VLOOKUP(H412,Table1[#All],8,FALSE)</f>
        <v>Computers</v>
      </c>
      <c r="J412" t="str" cm="1">
        <f t="array" ref="J412">_xlfn.XLOOKUP(H412,Table1[[#All],[Order ID]],Table1[[#All],[Brand]],0)</f>
        <v>Dell</v>
      </c>
      <c r="K412" t="str">
        <f>INDEX(Table1[[#All],[Product Name]],MATCH(Sheet2!H412,Table1[[#All],[Order ID]],0))</f>
        <v>Laptop</v>
      </c>
    </row>
    <row r="413" spans="1:11" x14ac:dyDescent="0.25">
      <c r="A413" s="6">
        <v>2040</v>
      </c>
      <c r="B413" t="s">
        <v>26</v>
      </c>
      <c r="F413" t="s">
        <v>27</v>
      </c>
      <c r="H413" t="s">
        <v>1096</v>
      </c>
      <c r="I413" t="str">
        <f>VLOOKUP(H413,Table1[#All],8,FALSE)</f>
        <v>Accessories</v>
      </c>
      <c r="J413" t="str" cm="1">
        <f t="array" ref="J413">_xlfn.XLOOKUP(H413,Table1[[#All],[Order ID]],Table1[[#All],[Brand]],0)</f>
        <v>Logitech</v>
      </c>
      <c r="K413" t="str">
        <f>INDEX(Table1[[#All],[Product Name]],MATCH(Sheet2!H413,Table1[[#All],[Order ID]],0))</f>
        <v>Mouse</v>
      </c>
    </row>
    <row r="414" spans="1:11" x14ac:dyDescent="0.25">
      <c r="A414" s="5">
        <v>1360</v>
      </c>
      <c r="B414" t="s">
        <v>26</v>
      </c>
      <c r="F414" t="s">
        <v>27</v>
      </c>
      <c r="H414" t="s">
        <v>1099</v>
      </c>
      <c r="I414" t="str">
        <f>VLOOKUP(H414,Table1[#All],8,FALSE)</f>
        <v>Accessories</v>
      </c>
      <c r="J414" t="str" cm="1">
        <f t="array" ref="J414">_xlfn.XLOOKUP(H414,Table1[[#All],[Order ID]],Table1[[#All],[Brand]],0)</f>
        <v>Logitech</v>
      </c>
      <c r="K414" t="str">
        <f>INDEX(Table1[[#All],[Product Name]],MATCH(Sheet2!H414,Table1[[#All],[Order ID]],0))</f>
        <v>Mouse</v>
      </c>
    </row>
    <row r="415" spans="1:11" x14ac:dyDescent="0.25">
      <c r="A415" s="6">
        <v>1600</v>
      </c>
      <c r="B415" t="s">
        <v>26</v>
      </c>
      <c r="F415" t="s">
        <v>27</v>
      </c>
      <c r="H415" t="s">
        <v>1102</v>
      </c>
      <c r="I415" t="str">
        <f>VLOOKUP(H415,Table1[#All],8,FALSE)</f>
        <v>Accessories</v>
      </c>
      <c r="J415" t="str" cm="1">
        <f t="array" ref="J415">_xlfn.XLOOKUP(H415,Table1[[#All],[Order ID]],Table1[[#All],[Brand]],0)</f>
        <v>Logitech</v>
      </c>
      <c r="K415" t="str">
        <f>INDEX(Table1[[#All],[Product Name]],MATCH(Sheet2!H415,Table1[[#All],[Order ID]],0))</f>
        <v>Mouse</v>
      </c>
    </row>
    <row r="416" spans="1:11" x14ac:dyDescent="0.25">
      <c r="A416" s="5">
        <v>1440</v>
      </c>
      <c r="B416" t="s">
        <v>26</v>
      </c>
      <c r="F416" t="s">
        <v>27</v>
      </c>
      <c r="H416" t="s">
        <v>1104</v>
      </c>
      <c r="I416" t="str">
        <f>VLOOKUP(H416,Table1[#All],8,FALSE)</f>
        <v>Accessories</v>
      </c>
      <c r="J416" t="str" cm="1">
        <f t="array" ref="J416">_xlfn.XLOOKUP(H416,Table1[[#All],[Order ID]],Table1[[#All],[Brand]],0)</f>
        <v>Logitech</v>
      </c>
      <c r="K416" t="str">
        <f>INDEX(Table1[[#All],[Product Name]],MATCH(Sheet2!H416,Table1[[#All],[Order ID]],0))</f>
        <v>Mouse</v>
      </c>
    </row>
    <row r="417" spans="1:11" x14ac:dyDescent="0.25">
      <c r="A417" s="6">
        <v>18000</v>
      </c>
      <c r="B417" t="s">
        <v>39</v>
      </c>
      <c r="F417" t="s">
        <v>40</v>
      </c>
      <c r="H417" t="s">
        <v>1106</v>
      </c>
      <c r="I417" t="str">
        <f>VLOOKUP(H417,Table1[#All],8,FALSE)</f>
        <v>Office</v>
      </c>
      <c r="J417" t="str" cm="1">
        <f t="array" ref="J417">_xlfn.XLOOKUP(H417,Table1[[#All],[Order ID]],Table1[[#All],[Brand]],0)</f>
        <v>Nilkamal</v>
      </c>
      <c r="K417" t="str">
        <f>INDEX(Table1[[#All],[Product Name]],MATCH(Sheet2!H417,Table1[[#All],[Order ID]],0))</f>
        <v>Chair</v>
      </c>
    </row>
    <row r="418" spans="1:11" x14ac:dyDescent="0.25">
      <c r="A418" s="5">
        <v>13300</v>
      </c>
      <c r="B418" t="s">
        <v>74</v>
      </c>
      <c r="F418" t="s">
        <v>27</v>
      </c>
      <c r="H418" t="s">
        <v>1109</v>
      </c>
      <c r="I418" t="str">
        <f>VLOOKUP(H418,Table1[#All],8,FALSE)</f>
        <v>Audio</v>
      </c>
      <c r="J418" t="str" cm="1">
        <f t="array" ref="J418">_xlfn.XLOOKUP(H418,Table1[[#All],[Order ID]],Table1[[#All],[Brand]],0)</f>
        <v>Sony</v>
      </c>
      <c r="K418" t="str">
        <f>INDEX(Table1[[#All],[Product Name]],MATCH(Sheet2!H418,Table1[[#All],[Order ID]],0))</f>
        <v>Headphones</v>
      </c>
    </row>
    <row r="419" spans="1:11" x14ac:dyDescent="0.25">
      <c r="A419" s="6">
        <v>12825</v>
      </c>
      <c r="B419" t="s">
        <v>39</v>
      </c>
      <c r="F419" t="s">
        <v>40</v>
      </c>
      <c r="H419" t="s">
        <v>1112</v>
      </c>
      <c r="I419" t="str">
        <f>VLOOKUP(H419,Table1[#All],8,FALSE)</f>
        <v>Office</v>
      </c>
      <c r="J419" t="str" cm="1">
        <f t="array" ref="J419">_xlfn.XLOOKUP(H419,Table1[[#All],[Order ID]],Table1[[#All],[Brand]],0)</f>
        <v>Nilkamal</v>
      </c>
      <c r="K419" t="str">
        <f>INDEX(Table1[[#All],[Product Name]],MATCH(Sheet2!H419,Table1[[#All],[Order ID]],0))</f>
        <v>Chair</v>
      </c>
    </row>
    <row r="420" spans="1:11" x14ac:dyDescent="0.25">
      <c r="A420" s="5">
        <v>13300</v>
      </c>
      <c r="B420" t="s">
        <v>74</v>
      </c>
      <c r="F420" t="s">
        <v>27</v>
      </c>
      <c r="H420" t="s">
        <v>1114</v>
      </c>
      <c r="I420" t="str">
        <f>VLOOKUP(H420,Table1[#All],8,FALSE)</f>
        <v>Audio</v>
      </c>
      <c r="J420" t="str" cm="1">
        <f t="array" ref="J420">_xlfn.XLOOKUP(H420,Table1[[#All],[Order ID]],Table1[[#All],[Brand]],0)</f>
        <v>Sony</v>
      </c>
      <c r="K420" t="str">
        <f>INDEX(Table1[[#All],[Product Name]],MATCH(Sheet2!H420,Table1[[#All],[Order ID]],0))</f>
        <v>Headphones</v>
      </c>
    </row>
    <row r="421" spans="1:11" x14ac:dyDescent="0.25">
      <c r="A421" s="6">
        <v>46750</v>
      </c>
      <c r="B421" t="s">
        <v>53</v>
      </c>
      <c r="F421" t="s">
        <v>27</v>
      </c>
      <c r="H421" t="s">
        <v>1116</v>
      </c>
      <c r="I421" t="str">
        <f>VLOOKUP(H421,Table1[#All],8,FALSE)</f>
        <v>Computers</v>
      </c>
      <c r="J421" t="str" cm="1">
        <f t="array" ref="J421">_xlfn.XLOOKUP(H421,Table1[[#All],[Order ID]],Table1[[#All],[Brand]],0)</f>
        <v>Dell</v>
      </c>
      <c r="K421" t="str">
        <f>INDEX(Table1[[#All],[Product Name]],MATCH(Sheet2!H421,Table1[[#All],[Order ID]],0))</f>
        <v>Laptop</v>
      </c>
    </row>
    <row r="422" spans="1:11" x14ac:dyDescent="0.25">
      <c r="A422" s="5">
        <v>3500</v>
      </c>
      <c r="B422" t="s">
        <v>74</v>
      </c>
      <c r="F422" t="s">
        <v>27</v>
      </c>
      <c r="H422" t="s">
        <v>1119</v>
      </c>
      <c r="I422" t="str">
        <f>VLOOKUP(H422,Table1[#All],8,FALSE)</f>
        <v>Audio</v>
      </c>
      <c r="J422" t="str" cm="1">
        <f t="array" ref="J422">_xlfn.XLOOKUP(H422,Table1[[#All],[Order ID]],Table1[[#All],[Brand]],0)</f>
        <v>Sony</v>
      </c>
      <c r="K422" t="str">
        <f>INDEX(Table1[[#All],[Product Name]],MATCH(Sheet2!H422,Table1[[#All],[Order ID]],0))</f>
        <v>Headphones</v>
      </c>
    </row>
    <row r="423" spans="1:11" x14ac:dyDescent="0.25">
      <c r="A423" s="6">
        <v>6650</v>
      </c>
      <c r="B423" t="s">
        <v>74</v>
      </c>
      <c r="F423" t="s">
        <v>27</v>
      </c>
      <c r="H423" t="s">
        <v>1122</v>
      </c>
      <c r="I423" t="str">
        <f>VLOOKUP(H423,Table1[#All],8,FALSE)</f>
        <v>Audio</v>
      </c>
      <c r="J423" t="str" cm="1">
        <f t="array" ref="J423">_xlfn.XLOOKUP(H423,Table1[[#All],[Order ID]],Table1[[#All],[Brand]],0)</f>
        <v>Sony</v>
      </c>
      <c r="K423" t="str">
        <f>INDEX(Table1[[#All],[Product Name]],MATCH(Sheet2!H423,Table1[[#All],[Order ID]],0))</f>
        <v>Headphones</v>
      </c>
    </row>
    <row r="424" spans="1:11" x14ac:dyDescent="0.25">
      <c r="A424" s="5">
        <v>8550</v>
      </c>
      <c r="B424" t="s">
        <v>39</v>
      </c>
      <c r="F424" t="s">
        <v>40</v>
      </c>
      <c r="H424" t="s">
        <v>1124</v>
      </c>
      <c r="I424" t="str">
        <f>VLOOKUP(H424,Table1[#All],8,FALSE)</f>
        <v>Office</v>
      </c>
      <c r="J424" t="str" cm="1">
        <f t="array" ref="J424">_xlfn.XLOOKUP(H424,Table1[[#All],[Order ID]],Table1[[#All],[Brand]],0)</f>
        <v>Nilkamal</v>
      </c>
      <c r="K424" t="str">
        <f>INDEX(Table1[[#All],[Product Name]],MATCH(Sheet2!H424,Table1[[#All],[Order ID]],0))</f>
        <v>Chair</v>
      </c>
    </row>
    <row r="425" spans="1:11" x14ac:dyDescent="0.25">
      <c r="A425" s="6">
        <v>15750</v>
      </c>
      <c r="B425" t="s">
        <v>74</v>
      </c>
      <c r="F425" t="s">
        <v>27</v>
      </c>
      <c r="H425" t="s">
        <v>1125</v>
      </c>
      <c r="I425" t="str">
        <f>VLOOKUP(H425,Table1[#All],8,FALSE)</f>
        <v>Audio</v>
      </c>
      <c r="J425" t="str" cm="1">
        <f t="array" ref="J425">_xlfn.XLOOKUP(H425,Table1[[#All],[Order ID]],Table1[[#All],[Brand]],0)</f>
        <v>Sony</v>
      </c>
      <c r="K425" t="str">
        <f>INDEX(Table1[[#All],[Product Name]],MATCH(Sheet2!H425,Table1[[#All],[Order ID]],0))</f>
        <v>Headphones</v>
      </c>
    </row>
    <row r="426" spans="1:11" x14ac:dyDescent="0.25">
      <c r="A426" s="5">
        <v>8925</v>
      </c>
      <c r="B426" t="s">
        <v>74</v>
      </c>
      <c r="F426" t="s">
        <v>27</v>
      </c>
      <c r="H426" t="s">
        <v>1126</v>
      </c>
      <c r="I426" t="str">
        <f>VLOOKUP(H426,Table1[#All],8,FALSE)</f>
        <v>Audio</v>
      </c>
      <c r="J426" t="str" cm="1">
        <f t="array" ref="J426">_xlfn.XLOOKUP(H426,Table1[[#All],[Order ID]],Table1[[#All],[Brand]],0)</f>
        <v>Sony</v>
      </c>
      <c r="K426" t="str">
        <f>INDEX(Table1[[#All],[Product Name]],MATCH(Sheet2!H426,Table1[[#All],[Order ID]],0))</f>
        <v>Headphones</v>
      </c>
    </row>
    <row r="427" spans="1:11" x14ac:dyDescent="0.25">
      <c r="A427" s="6">
        <v>20250</v>
      </c>
      <c r="B427" t="s">
        <v>39</v>
      </c>
      <c r="F427" t="s">
        <v>40</v>
      </c>
      <c r="H427" t="s">
        <v>1129</v>
      </c>
      <c r="I427" t="str">
        <f>VLOOKUP(H427,Table1[#All],8,FALSE)</f>
        <v>Office</v>
      </c>
      <c r="J427" t="str" cm="1">
        <f t="array" ref="J427">_xlfn.XLOOKUP(H427,Table1[[#All],[Order ID]],Table1[[#All],[Brand]],0)</f>
        <v>Nilkamal</v>
      </c>
      <c r="K427" t="str">
        <f>INDEX(Table1[[#All],[Product Name]],MATCH(Sheet2!H427,Table1[[#All],[Order ID]],0))</f>
        <v>Chair</v>
      </c>
    </row>
    <row r="428" spans="1:11" x14ac:dyDescent="0.25">
      <c r="A428" s="5">
        <v>5950</v>
      </c>
      <c r="B428" t="s">
        <v>74</v>
      </c>
      <c r="F428" t="s">
        <v>27</v>
      </c>
      <c r="H428" t="s">
        <v>1131</v>
      </c>
      <c r="I428" t="str">
        <f>VLOOKUP(H428,Table1[#All],8,FALSE)</f>
        <v>Audio</v>
      </c>
      <c r="J428" t="str" cm="1">
        <f t="array" ref="J428">_xlfn.XLOOKUP(H428,Table1[[#All],[Order ID]],Table1[[#All],[Brand]],0)</f>
        <v>Sony</v>
      </c>
      <c r="K428" t="str">
        <f>INDEX(Table1[[#All],[Product Name]],MATCH(Sheet2!H428,Table1[[#All],[Order ID]],0))</f>
        <v>Headphones</v>
      </c>
    </row>
    <row r="429" spans="1:11" x14ac:dyDescent="0.25">
      <c r="A429" s="6">
        <v>5700</v>
      </c>
      <c r="B429" t="s">
        <v>68</v>
      </c>
      <c r="F429" t="s">
        <v>27</v>
      </c>
      <c r="H429" t="s">
        <v>1133</v>
      </c>
      <c r="I429" t="str">
        <f>VLOOKUP(H429,Table1[#All],8,FALSE)</f>
        <v>Accessories</v>
      </c>
      <c r="J429" t="str" cm="1">
        <f t="array" ref="J429">_xlfn.XLOOKUP(H429,Table1[[#All],[Order ID]],Table1[[#All],[Brand]],0)</f>
        <v>HP</v>
      </c>
      <c r="K429" t="str">
        <f>INDEX(Table1[[#All],[Product Name]],MATCH(Sheet2!H429,Table1[[#All],[Order ID]],0))</f>
        <v>Keyboard</v>
      </c>
    </row>
    <row r="430" spans="1:11" x14ac:dyDescent="0.25">
      <c r="A430" s="5">
        <v>261250</v>
      </c>
      <c r="B430" t="s">
        <v>53</v>
      </c>
      <c r="F430" t="s">
        <v>27</v>
      </c>
      <c r="H430" t="s">
        <v>1134</v>
      </c>
      <c r="I430" t="str">
        <f>VLOOKUP(H430,Table1[#All],8,FALSE)</f>
        <v>Computers</v>
      </c>
      <c r="J430" t="str" cm="1">
        <f t="array" ref="J430">_xlfn.XLOOKUP(H430,Table1[[#All],[Order ID]],Table1[[#All],[Brand]],0)</f>
        <v>Dell</v>
      </c>
      <c r="K430" t="str">
        <f>INDEX(Table1[[#All],[Product Name]],MATCH(Sheet2!H430,Table1[[#All],[Order ID]],0))</f>
        <v>Laptop</v>
      </c>
    </row>
    <row r="431" spans="1:11" x14ac:dyDescent="0.25">
      <c r="A431" s="6">
        <v>5700</v>
      </c>
      <c r="B431" t="s">
        <v>68</v>
      </c>
      <c r="F431" t="s">
        <v>27</v>
      </c>
      <c r="H431" t="s">
        <v>1137</v>
      </c>
      <c r="I431" t="str">
        <f>VLOOKUP(H431,Table1[#All],8,FALSE)</f>
        <v>Accessories</v>
      </c>
      <c r="J431" t="str" cm="1">
        <f t="array" ref="J431">_xlfn.XLOOKUP(H431,Table1[[#All],[Order ID]],Table1[[#All],[Brand]],0)</f>
        <v>HP</v>
      </c>
      <c r="K431" t="str">
        <f>INDEX(Table1[[#All],[Product Name]],MATCH(Sheet2!H431,Table1[[#All],[Order ID]],0))</f>
        <v>Keyboard</v>
      </c>
    </row>
    <row r="432" spans="1:11" x14ac:dyDescent="0.25">
      <c r="A432" s="5">
        <v>49500</v>
      </c>
      <c r="B432" t="s">
        <v>53</v>
      </c>
      <c r="F432" t="s">
        <v>27</v>
      </c>
      <c r="H432" t="s">
        <v>1138</v>
      </c>
      <c r="I432" t="str">
        <f>VLOOKUP(H432,Table1[#All],8,FALSE)</f>
        <v>Computers</v>
      </c>
      <c r="J432" t="str" cm="1">
        <f t="array" ref="J432">_xlfn.XLOOKUP(H432,Table1[[#All],[Order ID]],Table1[[#All],[Brand]],0)</f>
        <v>Dell</v>
      </c>
      <c r="K432" t="str">
        <f>INDEX(Table1[[#All],[Product Name]],MATCH(Sheet2!H432,Table1[[#All],[Order ID]],0))</f>
        <v>Laptop</v>
      </c>
    </row>
    <row r="433" spans="1:11" x14ac:dyDescent="0.25">
      <c r="A433" s="6">
        <v>9450</v>
      </c>
      <c r="B433" t="s">
        <v>74</v>
      </c>
      <c r="F433" t="s">
        <v>27</v>
      </c>
      <c r="H433" t="s">
        <v>1140</v>
      </c>
      <c r="I433" t="str">
        <f>VLOOKUP(H433,Table1[#All],8,FALSE)</f>
        <v>Audio</v>
      </c>
      <c r="J433" t="str" cm="1">
        <f t="array" ref="J433">_xlfn.XLOOKUP(H433,Table1[[#All],[Order ID]],Table1[[#All],[Brand]],0)</f>
        <v>Sony</v>
      </c>
      <c r="K433" t="str">
        <f>INDEX(Table1[[#All],[Product Name]],MATCH(Sheet2!H433,Table1[[#All],[Order ID]],0))</f>
        <v>Headphones</v>
      </c>
    </row>
    <row r="434" spans="1:11" x14ac:dyDescent="0.25">
      <c r="A434" s="5">
        <v>4275</v>
      </c>
      <c r="B434" t="s">
        <v>68</v>
      </c>
      <c r="F434" t="s">
        <v>27</v>
      </c>
      <c r="H434" t="s">
        <v>1141</v>
      </c>
      <c r="I434" t="str">
        <f>VLOOKUP(H434,Table1[#All],8,FALSE)</f>
        <v>Accessories</v>
      </c>
      <c r="J434" t="str" cm="1">
        <f t="array" ref="J434">_xlfn.XLOOKUP(H434,Table1[[#All],[Order ID]],Table1[[#All],[Brand]],0)</f>
        <v>HP</v>
      </c>
      <c r="K434" t="str">
        <f>INDEX(Table1[[#All],[Product Name]],MATCH(Sheet2!H434,Table1[[#All],[Order ID]],0))</f>
        <v>Keyboard</v>
      </c>
    </row>
    <row r="435" spans="1:11" x14ac:dyDescent="0.25">
      <c r="A435" s="6">
        <v>104500</v>
      </c>
      <c r="B435" t="s">
        <v>53</v>
      </c>
      <c r="F435" t="s">
        <v>27</v>
      </c>
      <c r="H435" t="s">
        <v>1144</v>
      </c>
      <c r="I435" t="str">
        <f>VLOOKUP(H435,Table1[#All],8,FALSE)</f>
        <v>Computers</v>
      </c>
      <c r="J435" t="str" cm="1">
        <f t="array" ref="J435">_xlfn.XLOOKUP(H435,Table1[[#All],[Order ID]],Table1[[#All],[Brand]],0)</f>
        <v>Dell</v>
      </c>
      <c r="K435" t="str">
        <f>INDEX(Table1[[#All],[Product Name]],MATCH(Sheet2!H435,Table1[[#All],[Order ID]],0))</f>
        <v>Laptop</v>
      </c>
    </row>
    <row r="436" spans="1:11" x14ac:dyDescent="0.25">
      <c r="A436" s="5">
        <v>20250</v>
      </c>
      <c r="B436" t="s">
        <v>39</v>
      </c>
      <c r="F436" t="s">
        <v>40</v>
      </c>
      <c r="H436" t="s">
        <v>1147</v>
      </c>
      <c r="I436" t="str">
        <f>VLOOKUP(H436,Table1[#All],8,FALSE)</f>
        <v>Office</v>
      </c>
      <c r="J436" t="str" cm="1">
        <f t="array" ref="J436">_xlfn.XLOOKUP(H436,Table1[[#All],[Order ID]],Table1[[#All],[Brand]],0)</f>
        <v>Nilkamal</v>
      </c>
      <c r="K436" t="str">
        <f>INDEX(Table1[[#All],[Product Name]],MATCH(Sheet2!H436,Table1[[#All],[Order ID]],0))</f>
        <v>Chair</v>
      </c>
    </row>
    <row r="437" spans="1:11" x14ac:dyDescent="0.25">
      <c r="A437" s="6">
        <v>3000</v>
      </c>
      <c r="B437" t="s">
        <v>68</v>
      </c>
      <c r="F437" t="s">
        <v>27</v>
      </c>
      <c r="H437" t="s">
        <v>1150</v>
      </c>
      <c r="I437" t="str">
        <f>VLOOKUP(H437,Table1[#All],8,FALSE)</f>
        <v>Accessories</v>
      </c>
      <c r="J437" t="str" cm="1">
        <f t="array" ref="J437">_xlfn.XLOOKUP(H437,Table1[[#All],[Order ID]],Table1[[#All],[Brand]],0)</f>
        <v>HP</v>
      </c>
      <c r="K437" t="str">
        <f>INDEX(Table1[[#All],[Product Name]],MATCH(Sheet2!H437,Table1[[#All],[Order ID]],0))</f>
        <v>Keyboard</v>
      </c>
    </row>
    <row r="438" spans="1:11" x14ac:dyDescent="0.25">
      <c r="A438" s="5">
        <v>20250</v>
      </c>
      <c r="B438" t="s">
        <v>39</v>
      </c>
      <c r="F438" t="s">
        <v>40</v>
      </c>
      <c r="H438" t="s">
        <v>1152</v>
      </c>
      <c r="I438" t="str">
        <f>VLOOKUP(H438,Table1[#All],8,FALSE)</f>
        <v>Office</v>
      </c>
      <c r="J438" t="str" cm="1">
        <f t="array" ref="J438">_xlfn.XLOOKUP(H438,Table1[[#All],[Order ID]],Table1[[#All],[Brand]],0)</f>
        <v>Nilkamal</v>
      </c>
      <c r="K438" t="str">
        <f>INDEX(Table1[[#All],[Product Name]],MATCH(Sheet2!H438,Table1[[#All],[Order ID]],0))</f>
        <v>Chair</v>
      </c>
    </row>
    <row r="439" spans="1:11" x14ac:dyDescent="0.25">
      <c r="A439" s="6">
        <v>156750</v>
      </c>
      <c r="B439" t="s">
        <v>53</v>
      </c>
      <c r="F439" t="s">
        <v>27</v>
      </c>
      <c r="H439" t="s">
        <v>1154</v>
      </c>
      <c r="I439" t="str">
        <f>VLOOKUP(H439,Table1[#All],8,FALSE)</f>
        <v>Computers</v>
      </c>
      <c r="J439" t="str" cm="1">
        <f t="array" ref="J439">_xlfn.XLOOKUP(H439,Table1[[#All],[Order ID]],Table1[[#All],[Brand]],0)</f>
        <v>Dell</v>
      </c>
      <c r="K439" t="str">
        <f>INDEX(Table1[[#All],[Product Name]],MATCH(Sheet2!H439,Table1[[#All],[Order ID]],0))</f>
        <v>Laptop</v>
      </c>
    </row>
    <row r="440" spans="1:11" x14ac:dyDescent="0.25">
      <c r="A440" s="5">
        <v>3000</v>
      </c>
      <c r="B440" t="s">
        <v>68</v>
      </c>
      <c r="F440" t="s">
        <v>27</v>
      </c>
      <c r="H440" t="s">
        <v>1156</v>
      </c>
      <c r="I440" t="str">
        <f>VLOOKUP(H440,Table1[#All],8,FALSE)</f>
        <v>Accessories</v>
      </c>
      <c r="J440" t="str" cm="1">
        <f t="array" ref="J440">_xlfn.XLOOKUP(H440,Table1[[#All],[Order ID]],Table1[[#All],[Brand]],0)</f>
        <v>HP</v>
      </c>
      <c r="K440" t="str">
        <f>INDEX(Table1[[#All],[Product Name]],MATCH(Sheet2!H440,Table1[[#All],[Order ID]],0))</f>
        <v>Keyboard</v>
      </c>
    </row>
    <row r="441" spans="1:11" x14ac:dyDescent="0.25">
      <c r="A441" s="6">
        <v>7500</v>
      </c>
      <c r="B441" t="s">
        <v>68</v>
      </c>
      <c r="F441" t="s">
        <v>27</v>
      </c>
      <c r="H441" t="s">
        <v>1159</v>
      </c>
      <c r="I441" t="str">
        <f>VLOOKUP(H441,Table1[#All],8,FALSE)</f>
        <v>Accessories</v>
      </c>
      <c r="J441" t="str" cm="1">
        <f t="array" ref="J441">_xlfn.XLOOKUP(H441,Table1[[#All],[Order ID]],Table1[[#All],[Brand]],0)</f>
        <v>HP</v>
      </c>
      <c r="K441" t="str">
        <f>INDEX(Table1[[#All],[Product Name]],MATCH(Sheet2!H441,Table1[[#All],[Order ID]],0))</f>
        <v>Keyboard</v>
      </c>
    </row>
    <row r="442" spans="1:11" x14ac:dyDescent="0.25">
      <c r="A442" s="5">
        <v>3825</v>
      </c>
      <c r="B442" t="s">
        <v>68</v>
      </c>
      <c r="F442" t="s">
        <v>27</v>
      </c>
      <c r="H442" t="s">
        <v>1161</v>
      </c>
      <c r="I442" t="str">
        <f>VLOOKUP(H442,Table1[#All],8,FALSE)</f>
        <v>Accessories</v>
      </c>
      <c r="J442" t="str" cm="1">
        <f t="array" ref="J442">_xlfn.XLOOKUP(H442,Table1[[#All],[Order ID]],Table1[[#All],[Brand]],0)</f>
        <v>HP</v>
      </c>
      <c r="K442" t="str">
        <f>INDEX(Table1[[#All],[Product Name]],MATCH(Sheet2!H442,Table1[[#All],[Order ID]],0))</f>
        <v>Keyboard</v>
      </c>
    </row>
    <row r="443" spans="1:11" x14ac:dyDescent="0.25">
      <c r="A443" s="6">
        <v>4000</v>
      </c>
      <c r="B443" t="s">
        <v>26</v>
      </c>
      <c r="F443" t="s">
        <v>27</v>
      </c>
      <c r="H443" t="s">
        <v>1162</v>
      </c>
      <c r="I443" t="str">
        <f>VLOOKUP(H443,Table1[#All],8,FALSE)</f>
        <v>Accessories</v>
      </c>
      <c r="J443" t="str" cm="1">
        <f t="array" ref="J443">_xlfn.XLOOKUP(H443,Table1[[#All],[Order ID]],Table1[[#All],[Brand]],0)</f>
        <v>Logitech</v>
      </c>
      <c r="K443" t="str">
        <f>INDEX(Table1[[#All],[Product Name]],MATCH(Sheet2!H443,Table1[[#All],[Order ID]],0))</f>
        <v>Mouse</v>
      </c>
    </row>
    <row r="444" spans="1:11" x14ac:dyDescent="0.25">
      <c r="A444" s="5">
        <v>1360</v>
      </c>
      <c r="B444" t="s">
        <v>26</v>
      </c>
      <c r="F444" t="s">
        <v>27</v>
      </c>
      <c r="H444" t="s">
        <v>1164</v>
      </c>
      <c r="I444" t="str">
        <f>VLOOKUP(H444,Table1[#All],8,FALSE)</f>
        <v>Accessories</v>
      </c>
      <c r="J444" t="str" cm="1">
        <f t="array" ref="J444">_xlfn.XLOOKUP(H444,Table1[[#All],[Order ID]],Table1[[#All],[Brand]],0)</f>
        <v>Logitech</v>
      </c>
      <c r="K444" t="str">
        <f>INDEX(Table1[[#All],[Product Name]],MATCH(Sheet2!H444,Table1[[#All],[Order ID]],0))</f>
        <v>Mouse</v>
      </c>
    </row>
    <row r="445" spans="1:11" x14ac:dyDescent="0.25">
      <c r="A445" s="6">
        <v>209000</v>
      </c>
      <c r="B445" t="s">
        <v>53</v>
      </c>
      <c r="F445" t="s">
        <v>27</v>
      </c>
      <c r="H445" t="s">
        <v>1166</v>
      </c>
      <c r="I445" t="str">
        <f>VLOOKUP(H445,Table1[#All],8,FALSE)</f>
        <v>Computers</v>
      </c>
      <c r="J445" t="str" cm="1">
        <f t="array" ref="J445">_xlfn.XLOOKUP(H445,Table1[[#All],[Order ID]],Table1[[#All],[Brand]],0)</f>
        <v>Dell</v>
      </c>
      <c r="K445" t="str">
        <f>INDEX(Table1[[#All],[Product Name]],MATCH(Sheet2!H445,Table1[[#All],[Order ID]],0))</f>
        <v>Laptop</v>
      </c>
    </row>
    <row r="446" spans="1:11" x14ac:dyDescent="0.25">
      <c r="A446" s="5">
        <v>3400</v>
      </c>
      <c r="B446" t="s">
        <v>26</v>
      </c>
      <c r="F446" t="s">
        <v>27</v>
      </c>
      <c r="H446" t="s">
        <v>1168</v>
      </c>
      <c r="I446" t="str">
        <f>VLOOKUP(H446,Table1[#All],8,FALSE)</f>
        <v>Accessories</v>
      </c>
      <c r="J446" t="str" cm="1">
        <f t="array" ref="J446">_xlfn.XLOOKUP(H446,Table1[[#All],[Order ID]],Table1[[#All],[Brand]],0)</f>
        <v>Logitech</v>
      </c>
      <c r="K446" t="str">
        <f>INDEX(Table1[[#All],[Product Name]],MATCH(Sheet2!H446,Table1[[#All],[Order ID]],0))</f>
        <v>Mouse</v>
      </c>
    </row>
    <row r="447" spans="1:11" x14ac:dyDescent="0.25">
      <c r="A447" s="6">
        <v>93500</v>
      </c>
      <c r="B447" t="s">
        <v>53</v>
      </c>
      <c r="F447" t="s">
        <v>27</v>
      </c>
      <c r="H447" t="s">
        <v>1169</v>
      </c>
      <c r="I447" t="str">
        <f>VLOOKUP(H447,Table1[#All],8,FALSE)</f>
        <v>Computers</v>
      </c>
      <c r="J447" t="str" cm="1">
        <f t="array" ref="J447">_xlfn.XLOOKUP(H447,Table1[[#All],[Order ID]],Table1[[#All],[Brand]],0)</f>
        <v>Dell</v>
      </c>
      <c r="K447" t="str">
        <f>INDEX(Table1[[#All],[Product Name]],MATCH(Sheet2!H447,Table1[[#All],[Order ID]],0))</f>
        <v>Laptop</v>
      </c>
    </row>
    <row r="448" spans="1:11" x14ac:dyDescent="0.25">
      <c r="A448" s="5">
        <v>6750</v>
      </c>
      <c r="B448" t="s">
        <v>68</v>
      </c>
      <c r="F448" t="s">
        <v>27</v>
      </c>
      <c r="H448" t="s">
        <v>1171</v>
      </c>
      <c r="I448" t="str">
        <f>VLOOKUP(H448,Table1[#All],8,FALSE)</f>
        <v>Accessories</v>
      </c>
      <c r="J448" t="str" cm="1">
        <f t="array" ref="J448">_xlfn.XLOOKUP(H448,Table1[[#All],[Order ID]],Table1[[#All],[Brand]],0)</f>
        <v>HP</v>
      </c>
      <c r="K448" t="str">
        <f>INDEX(Table1[[#All],[Product Name]],MATCH(Sheet2!H448,Table1[[#All],[Order ID]],0))</f>
        <v>Keyboard</v>
      </c>
    </row>
    <row r="449" spans="1:11" x14ac:dyDescent="0.25">
      <c r="A449" s="6">
        <v>8925</v>
      </c>
      <c r="B449" t="s">
        <v>74</v>
      </c>
      <c r="F449" t="s">
        <v>27</v>
      </c>
      <c r="H449" t="s">
        <v>1173</v>
      </c>
      <c r="I449" t="str">
        <f>VLOOKUP(H449,Table1[#All],8,FALSE)</f>
        <v>Audio</v>
      </c>
      <c r="J449" t="str" cm="1">
        <f t="array" ref="J449">_xlfn.XLOOKUP(H449,Table1[[#All],[Order ID]],Table1[[#All],[Brand]],0)</f>
        <v>Sony</v>
      </c>
      <c r="K449" t="str">
        <f>INDEX(Table1[[#All],[Product Name]],MATCH(Sheet2!H449,Table1[[#All],[Order ID]],0))</f>
        <v>Headphones</v>
      </c>
    </row>
    <row r="450" spans="1:11" x14ac:dyDescent="0.25">
      <c r="A450" s="5">
        <v>233750</v>
      </c>
      <c r="B450" t="s">
        <v>53</v>
      </c>
      <c r="F450" t="s">
        <v>27</v>
      </c>
      <c r="H450" t="s">
        <v>1175</v>
      </c>
      <c r="I450" t="str">
        <f>VLOOKUP(H450,Table1[#All],8,FALSE)</f>
        <v>Computers</v>
      </c>
      <c r="J450" t="str" cm="1">
        <f t="array" ref="J450">_xlfn.XLOOKUP(H450,Table1[[#All],[Order ID]],Table1[[#All],[Brand]],0)</f>
        <v>Dell</v>
      </c>
      <c r="K450" t="str">
        <f>INDEX(Table1[[#All],[Product Name]],MATCH(Sheet2!H450,Table1[[#All],[Order ID]],0))</f>
        <v>Laptop</v>
      </c>
    </row>
    <row r="451" spans="1:11" x14ac:dyDescent="0.25">
      <c r="A451" s="6">
        <v>2160</v>
      </c>
      <c r="B451" t="s">
        <v>26</v>
      </c>
      <c r="F451" t="s">
        <v>27</v>
      </c>
      <c r="H451" t="s">
        <v>1176</v>
      </c>
      <c r="I451" t="str">
        <f>VLOOKUP(H451,Table1[#All],8,FALSE)</f>
        <v>Accessories</v>
      </c>
      <c r="J451" t="str" cm="1">
        <f t="array" ref="J451">_xlfn.XLOOKUP(H451,Table1[[#All],[Order ID]],Table1[[#All],[Brand]],0)</f>
        <v>Logitech</v>
      </c>
      <c r="K451" t="str">
        <f>INDEX(Table1[[#All],[Product Name]],MATCH(Sheet2!H451,Table1[[#All],[Order ID]],0))</f>
        <v>Mouse</v>
      </c>
    </row>
    <row r="452" spans="1:11" x14ac:dyDescent="0.25">
      <c r="A452" s="5">
        <v>11475</v>
      </c>
      <c r="B452" t="s">
        <v>39</v>
      </c>
      <c r="F452" t="s">
        <v>40</v>
      </c>
      <c r="H452" t="s">
        <v>1177</v>
      </c>
      <c r="I452" t="str">
        <f>VLOOKUP(H452,Table1[#All],8,FALSE)</f>
        <v>Office</v>
      </c>
      <c r="J452" t="str" cm="1">
        <f t="array" ref="J452">_xlfn.XLOOKUP(H452,Table1[[#All],[Order ID]],Table1[[#All],[Brand]],0)</f>
        <v>Nilkamal</v>
      </c>
      <c r="K452" t="str">
        <f>INDEX(Table1[[#All],[Product Name]],MATCH(Sheet2!H452,Table1[[#All],[Order ID]],0))</f>
        <v>Chair</v>
      </c>
    </row>
    <row r="453" spans="1:11" x14ac:dyDescent="0.25">
      <c r="A453" s="6">
        <v>6750</v>
      </c>
      <c r="B453" t="s">
        <v>68</v>
      </c>
      <c r="F453" t="s">
        <v>27</v>
      </c>
      <c r="H453" t="s">
        <v>1179</v>
      </c>
      <c r="I453" t="str">
        <f>VLOOKUP(H453,Table1[#All],8,FALSE)</f>
        <v>Accessories</v>
      </c>
      <c r="J453" t="str" cm="1">
        <f t="array" ref="J453">_xlfn.XLOOKUP(H453,Table1[[#All],[Order ID]],Table1[[#All],[Brand]],0)</f>
        <v>HP</v>
      </c>
      <c r="K453" t="str">
        <f>INDEX(Table1[[#All],[Product Name]],MATCH(Sheet2!H453,Table1[[#All],[Order ID]],0))</f>
        <v>Keyboard</v>
      </c>
    </row>
    <row r="454" spans="1:11" x14ac:dyDescent="0.25">
      <c r="A454" s="5">
        <v>16625</v>
      </c>
      <c r="B454" t="s">
        <v>74</v>
      </c>
      <c r="F454" t="s">
        <v>27</v>
      </c>
      <c r="H454" t="s">
        <v>1181</v>
      </c>
      <c r="I454" t="str">
        <f>VLOOKUP(H454,Table1[#All],8,FALSE)</f>
        <v>Audio</v>
      </c>
      <c r="J454" t="str" cm="1">
        <f t="array" ref="J454">_xlfn.XLOOKUP(H454,Table1[[#All],[Order ID]],Table1[[#All],[Brand]],0)</f>
        <v>Sony</v>
      </c>
      <c r="K454" t="str">
        <f>INDEX(Table1[[#All],[Product Name]],MATCH(Sheet2!H454,Table1[[#All],[Order ID]],0))</f>
        <v>Headphones</v>
      </c>
    </row>
    <row r="455" spans="1:11" x14ac:dyDescent="0.25">
      <c r="A455" s="6">
        <v>800</v>
      </c>
      <c r="B455" t="s">
        <v>26</v>
      </c>
      <c r="F455" t="s">
        <v>27</v>
      </c>
      <c r="H455" t="s">
        <v>1183</v>
      </c>
      <c r="I455" t="str">
        <f>VLOOKUP(H455,Table1[#All],8,FALSE)</f>
        <v>Accessories</v>
      </c>
      <c r="J455" t="str" cm="1">
        <f t="array" ref="J455">_xlfn.XLOOKUP(H455,Table1[[#All],[Order ID]],Table1[[#All],[Brand]],0)</f>
        <v>Logitech</v>
      </c>
      <c r="K455" t="str">
        <f>INDEX(Table1[[#All],[Product Name]],MATCH(Sheet2!H455,Table1[[#All],[Order ID]],0))</f>
        <v>Mouse</v>
      </c>
    </row>
    <row r="456" spans="1:11" x14ac:dyDescent="0.25">
      <c r="A456" s="5">
        <v>2700</v>
      </c>
      <c r="B456" t="s">
        <v>68</v>
      </c>
      <c r="F456" t="s">
        <v>27</v>
      </c>
      <c r="H456" t="s">
        <v>1185</v>
      </c>
      <c r="I456" t="str">
        <f>VLOOKUP(H456,Table1[#All],8,FALSE)</f>
        <v>Accessories</v>
      </c>
      <c r="J456" t="str" cm="1">
        <f t="array" ref="J456">_xlfn.XLOOKUP(H456,Table1[[#All],[Order ID]],Table1[[#All],[Brand]],0)</f>
        <v>HP</v>
      </c>
      <c r="K456" t="str">
        <f>INDEX(Table1[[#All],[Product Name]],MATCH(Sheet2!H456,Table1[[#All],[Order ID]],0))</f>
        <v>Keyboard</v>
      </c>
    </row>
    <row r="457" spans="1:11" x14ac:dyDescent="0.25">
      <c r="A457" s="6">
        <v>5400</v>
      </c>
      <c r="B457" t="s">
        <v>68</v>
      </c>
      <c r="F457" t="s">
        <v>27</v>
      </c>
      <c r="H457" t="s">
        <v>1187</v>
      </c>
      <c r="I457" t="str">
        <f>VLOOKUP(H457,Table1[#All],8,FALSE)</f>
        <v>Accessories</v>
      </c>
      <c r="J457" t="str" cm="1">
        <f t="array" ref="J457">_xlfn.XLOOKUP(H457,Table1[[#All],[Order ID]],Table1[[#All],[Brand]],0)</f>
        <v>HP</v>
      </c>
      <c r="K457" t="str">
        <f>INDEX(Table1[[#All],[Product Name]],MATCH(Sheet2!H457,Table1[[#All],[Order ID]],0))</f>
        <v>Keyboard</v>
      </c>
    </row>
    <row r="458" spans="1:11" x14ac:dyDescent="0.25">
      <c r="A458" s="5">
        <v>9450</v>
      </c>
      <c r="B458" t="s">
        <v>74</v>
      </c>
      <c r="F458" t="s">
        <v>27</v>
      </c>
      <c r="H458" t="s">
        <v>1190</v>
      </c>
      <c r="I458" t="str">
        <f>VLOOKUP(H458,Table1[#All],8,FALSE)</f>
        <v>Audio</v>
      </c>
      <c r="J458" t="str" cm="1">
        <f t="array" ref="J458">_xlfn.XLOOKUP(H458,Table1[[#All],[Order ID]],Table1[[#All],[Brand]],0)</f>
        <v>Sony</v>
      </c>
      <c r="K458" t="str">
        <f>INDEX(Table1[[#All],[Product Name]],MATCH(Sheet2!H458,Table1[[#All],[Order ID]],0))</f>
        <v>Headphones</v>
      </c>
    </row>
    <row r="459" spans="1:11" x14ac:dyDescent="0.25">
      <c r="A459" s="6">
        <v>13300</v>
      </c>
      <c r="B459" t="s">
        <v>74</v>
      </c>
      <c r="F459" t="s">
        <v>27</v>
      </c>
      <c r="H459" t="s">
        <v>1191</v>
      </c>
      <c r="I459" t="str">
        <f>VLOOKUP(H459,Table1[#All],8,FALSE)</f>
        <v>Audio</v>
      </c>
      <c r="J459" t="str" cm="1">
        <f t="array" ref="J459">_xlfn.XLOOKUP(H459,Table1[[#All],[Order ID]],Table1[[#All],[Brand]],0)</f>
        <v>Sony</v>
      </c>
      <c r="K459" t="str">
        <f>INDEX(Table1[[#All],[Product Name]],MATCH(Sheet2!H459,Table1[[#All],[Order ID]],0))</f>
        <v>Headphones</v>
      </c>
    </row>
    <row r="460" spans="1:11" x14ac:dyDescent="0.25">
      <c r="A460" s="5">
        <v>13300</v>
      </c>
      <c r="B460" t="s">
        <v>74</v>
      </c>
      <c r="F460" t="s">
        <v>27</v>
      </c>
      <c r="H460" t="s">
        <v>1193</v>
      </c>
      <c r="I460" t="str">
        <f>VLOOKUP(H460,Table1[#All],8,FALSE)</f>
        <v>Audio</v>
      </c>
      <c r="J460" t="str" cm="1">
        <f t="array" ref="J460">_xlfn.XLOOKUP(H460,Table1[[#All],[Order ID]],Table1[[#All],[Brand]],0)</f>
        <v>Sony</v>
      </c>
      <c r="K460" t="str">
        <f>INDEX(Table1[[#All],[Product Name]],MATCH(Sheet2!H460,Table1[[#All],[Order ID]],0))</f>
        <v>Headphones</v>
      </c>
    </row>
    <row r="461" spans="1:11" x14ac:dyDescent="0.25">
      <c r="A461" s="6">
        <v>12600</v>
      </c>
      <c r="B461" t="s">
        <v>74</v>
      </c>
      <c r="F461" t="s">
        <v>27</v>
      </c>
      <c r="H461" t="s">
        <v>1196</v>
      </c>
      <c r="I461" t="str">
        <f>VLOOKUP(H461,Table1[#All],8,FALSE)</f>
        <v>Audio</v>
      </c>
      <c r="J461" t="str" cm="1">
        <f t="array" ref="J461">_xlfn.XLOOKUP(H461,Table1[[#All],[Order ID]],Table1[[#All],[Brand]],0)</f>
        <v>Sony</v>
      </c>
      <c r="K461" t="str">
        <f>INDEX(Table1[[#All],[Product Name]],MATCH(Sheet2!H461,Table1[[#All],[Order ID]],0))</f>
        <v>Headphones</v>
      </c>
    </row>
    <row r="462" spans="1:11" x14ac:dyDescent="0.25">
      <c r="A462" s="5">
        <v>2975</v>
      </c>
      <c r="B462" t="s">
        <v>74</v>
      </c>
      <c r="F462" t="s">
        <v>27</v>
      </c>
      <c r="H462" t="s">
        <v>1197</v>
      </c>
      <c r="I462" t="str">
        <f>VLOOKUP(H462,Table1[#All],8,FALSE)</f>
        <v>Audio</v>
      </c>
      <c r="J462" t="str" cm="1">
        <f t="array" ref="J462">_xlfn.XLOOKUP(H462,Table1[[#All],[Order ID]],Table1[[#All],[Brand]],0)</f>
        <v>Sony</v>
      </c>
      <c r="K462" t="str">
        <f>INDEX(Table1[[#All],[Product Name]],MATCH(Sheet2!H462,Table1[[#All],[Order ID]],0))</f>
        <v>Headphones</v>
      </c>
    </row>
    <row r="463" spans="1:11" x14ac:dyDescent="0.25">
      <c r="A463" s="6">
        <v>261250</v>
      </c>
      <c r="B463" t="s">
        <v>53</v>
      </c>
      <c r="F463" t="s">
        <v>27</v>
      </c>
      <c r="H463" t="s">
        <v>1199</v>
      </c>
      <c r="I463" t="str">
        <f>VLOOKUP(H463,Table1[#All],8,FALSE)</f>
        <v>Computers</v>
      </c>
      <c r="J463" t="str" cm="1">
        <f t="array" ref="J463">_xlfn.XLOOKUP(H463,Table1[[#All],[Order ID]],Table1[[#All],[Brand]],0)</f>
        <v>Dell</v>
      </c>
      <c r="K463" t="str">
        <f>INDEX(Table1[[#All],[Product Name]],MATCH(Sheet2!H463,Table1[[#All],[Order ID]],0))</f>
        <v>Laptop</v>
      </c>
    </row>
    <row r="464" spans="1:11" x14ac:dyDescent="0.25">
      <c r="A464" s="5">
        <v>165000</v>
      </c>
      <c r="B464" t="s">
        <v>53</v>
      </c>
      <c r="F464" t="s">
        <v>27</v>
      </c>
      <c r="H464" t="s">
        <v>1201</v>
      </c>
      <c r="I464" t="str">
        <f>VLOOKUP(H464,Table1[#All],8,FALSE)</f>
        <v>Computers</v>
      </c>
      <c r="J464" t="str" cm="1">
        <f t="array" ref="J464">_xlfn.XLOOKUP(H464,Table1[[#All],[Order ID]],Table1[[#All],[Brand]],0)</f>
        <v>Dell</v>
      </c>
      <c r="K464" t="str">
        <f>INDEX(Table1[[#All],[Product Name]],MATCH(Sheet2!H464,Table1[[#All],[Order ID]],0))</f>
        <v>Laptop</v>
      </c>
    </row>
    <row r="465" spans="1:11" x14ac:dyDescent="0.25">
      <c r="A465" s="6">
        <v>4500</v>
      </c>
      <c r="B465" t="s">
        <v>68</v>
      </c>
      <c r="F465" t="s">
        <v>27</v>
      </c>
      <c r="H465" t="s">
        <v>1203</v>
      </c>
      <c r="I465" t="str">
        <f>VLOOKUP(H465,Table1[#All],8,FALSE)</f>
        <v>Accessories</v>
      </c>
      <c r="J465" t="str" cm="1">
        <f t="array" ref="J465">_xlfn.XLOOKUP(H465,Table1[[#All],[Order ID]],Table1[[#All],[Brand]],0)</f>
        <v>HP</v>
      </c>
      <c r="K465" t="str">
        <f>INDEX(Table1[[#All],[Product Name]],MATCH(Sheet2!H465,Table1[[#All],[Order ID]],0))</f>
        <v>Keyboard</v>
      </c>
    </row>
    <row r="466" spans="1:11" x14ac:dyDescent="0.25">
      <c r="A466" s="5">
        <v>3150</v>
      </c>
      <c r="B466" t="s">
        <v>74</v>
      </c>
      <c r="F466" t="s">
        <v>27</v>
      </c>
      <c r="H466" t="s">
        <v>1204</v>
      </c>
      <c r="I466" t="str">
        <f>VLOOKUP(H466,Table1[#All],8,FALSE)</f>
        <v>Audio</v>
      </c>
      <c r="J466" t="str" cm="1">
        <f t="array" ref="J466">_xlfn.XLOOKUP(H466,Table1[[#All],[Order ID]],Table1[[#All],[Brand]],0)</f>
        <v>Sony</v>
      </c>
      <c r="K466" t="str">
        <f>INDEX(Table1[[#All],[Product Name]],MATCH(Sheet2!H466,Table1[[#All],[Order ID]],0))</f>
        <v>Headphones</v>
      </c>
    </row>
    <row r="467" spans="1:11" x14ac:dyDescent="0.25">
      <c r="A467" s="6">
        <v>6300</v>
      </c>
      <c r="B467" t="s">
        <v>74</v>
      </c>
      <c r="F467" t="s">
        <v>27</v>
      </c>
      <c r="H467" t="s">
        <v>1206</v>
      </c>
      <c r="I467" t="str">
        <f>VLOOKUP(H467,Table1[#All],8,FALSE)</f>
        <v>Audio</v>
      </c>
      <c r="J467" t="str" cm="1">
        <f t="array" ref="J467">_xlfn.XLOOKUP(H467,Table1[[#All],[Order ID]],Table1[[#All],[Brand]],0)</f>
        <v>Sony</v>
      </c>
      <c r="K467" t="str">
        <f>INDEX(Table1[[#All],[Product Name]],MATCH(Sheet2!H467,Table1[[#All],[Order ID]],0))</f>
        <v>Headphones</v>
      </c>
    </row>
    <row r="468" spans="1:11" x14ac:dyDescent="0.25">
      <c r="A468" s="5">
        <v>5400</v>
      </c>
      <c r="B468" t="s">
        <v>68</v>
      </c>
      <c r="F468" t="s">
        <v>27</v>
      </c>
      <c r="H468" t="s">
        <v>1207</v>
      </c>
      <c r="I468" t="str">
        <f>VLOOKUP(H468,Table1[#All],8,FALSE)</f>
        <v>Accessories</v>
      </c>
      <c r="J468" t="str" cm="1">
        <f t="array" ref="J468">_xlfn.XLOOKUP(H468,Table1[[#All],[Order ID]],Table1[[#All],[Brand]],0)</f>
        <v>HP</v>
      </c>
      <c r="K468" t="str">
        <f>INDEX(Table1[[#All],[Product Name]],MATCH(Sheet2!H468,Table1[[#All],[Order ID]],0))</f>
        <v>Keyboard</v>
      </c>
    </row>
    <row r="469" spans="1:11" x14ac:dyDescent="0.25">
      <c r="A469" s="6">
        <v>5950</v>
      </c>
      <c r="B469" t="s">
        <v>74</v>
      </c>
      <c r="F469" t="s">
        <v>27</v>
      </c>
      <c r="H469" t="s">
        <v>1209</v>
      </c>
      <c r="I469" t="str">
        <f>VLOOKUP(H469,Table1[#All],8,FALSE)</f>
        <v>Audio</v>
      </c>
      <c r="J469" t="str" cm="1">
        <f t="array" ref="J469">_xlfn.XLOOKUP(H469,Table1[[#All],[Order ID]],Table1[[#All],[Brand]],0)</f>
        <v>Sony</v>
      </c>
      <c r="K469" t="str">
        <f>INDEX(Table1[[#All],[Product Name]],MATCH(Sheet2!H469,Table1[[#All],[Order ID]],0))</f>
        <v>Headphones</v>
      </c>
    </row>
    <row r="470" spans="1:11" x14ac:dyDescent="0.25">
      <c r="A470" s="5">
        <v>9975</v>
      </c>
      <c r="B470" t="s">
        <v>74</v>
      </c>
      <c r="F470" t="s">
        <v>27</v>
      </c>
      <c r="H470" t="s">
        <v>1211</v>
      </c>
      <c r="I470" t="str">
        <f>VLOOKUP(H470,Table1[#All],8,FALSE)</f>
        <v>Audio</v>
      </c>
      <c r="J470" t="str" cm="1">
        <f t="array" ref="J470">_xlfn.XLOOKUP(H470,Table1[[#All],[Order ID]],Table1[[#All],[Brand]],0)</f>
        <v>Sony</v>
      </c>
      <c r="K470" t="str">
        <f>INDEX(Table1[[#All],[Product Name]],MATCH(Sheet2!H470,Table1[[#All],[Order ID]],0))</f>
        <v>Headphones</v>
      </c>
    </row>
    <row r="471" spans="1:11" x14ac:dyDescent="0.25">
      <c r="A471" s="6">
        <v>7650</v>
      </c>
      <c r="B471" t="s">
        <v>39</v>
      </c>
      <c r="F471" t="s">
        <v>40</v>
      </c>
      <c r="H471" t="s">
        <v>1212</v>
      </c>
      <c r="I471" t="str">
        <f>VLOOKUP(H471,Table1[#All],8,FALSE)</f>
        <v>Office</v>
      </c>
      <c r="J471" t="str" cm="1">
        <f t="array" ref="J471">_xlfn.XLOOKUP(H471,Table1[[#All],[Order ID]],Table1[[#All],[Brand]],0)</f>
        <v>Nilkamal</v>
      </c>
      <c r="K471" t="str">
        <f>INDEX(Table1[[#All],[Product Name]],MATCH(Sheet2!H471,Table1[[#All],[Order ID]],0))</f>
        <v>Chair</v>
      </c>
    </row>
    <row r="472" spans="1:11" x14ac:dyDescent="0.25">
      <c r="A472" s="5">
        <v>3200</v>
      </c>
      <c r="B472" t="s">
        <v>26</v>
      </c>
      <c r="F472" t="s">
        <v>27</v>
      </c>
      <c r="H472" t="s">
        <v>1214</v>
      </c>
      <c r="I472" t="str">
        <f>VLOOKUP(H472,Table1[#All],8,FALSE)</f>
        <v>Accessories</v>
      </c>
      <c r="J472" t="str" cm="1">
        <f t="array" ref="J472">_xlfn.XLOOKUP(H472,Table1[[#All],[Order ID]],Table1[[#All],[Brand]],0)</f>
        <v>Logitech</v>
      </c>
      <c r="K472" t="str">
        <f>INDEX(Table1[[#All],[Product Name]],MATCH(Sheet2!H472,Table1[[#All],[Order ID]],0))</f>
        <v>Mouse</v>
      </c>
    </row>
    <row r="473" spans="1:11" x14ac:dyDescent="0.25">
      <c r="A473" s="6">
        <v>5400</v>
      </c>
      <c r="B473" t="s">
        <v>68</v>
      </c>
      <c r="F473" t="s">
        <v>27</v>
      </c>
      <c r="H473" t="s">
        <v>1217</v>
      </c>
      <c r="I473" t="str">
        <f>VLOOKUP(H473,Table1[#All],8,FALSE)</f>
        <v>Accessories</v>
      </c>
      <c r="J473" t="str" cm="1">
        <f t="array" ref="J473">_xlfn.XLOOKUP(H473,Table1[[#All],[Order ID]],Table1[[#All],[Brand]],0)</f>
        <v>HP</v>
      </c>
      <c r="K473" t="str">
        <f>INDEX(Table1[[#All],[Product Name]],MATCH(Sheet2!H473,Table1[[#All],[Order ID]],0))</f>
        <v>Keyboard</v>
      </c>
    </row>
    <row r="474" spans="1:11" x14ac:dyDescent="0.25">
      <c r="A474" s="5">
        <v>5950</v>
      </c>
      <c r="B474" t="s">
        <v>74</v>
      </c>
      <c r="F474" t="s">
        <v>27</v>
      </c>
      <c r="H474" t="s">
        <v>1219</v>
      </c>
      <c r="I474" t="str">
        <f>VLOOKUP(H474,Table1[#All],8,FALSE)</f>
        <v>Audio</v>
      </c>
      <c r="J474" t="str" cm="1">
        <f t="array" ref="J474">_xlfn.XLOOKUP(H474,Table1[[#All],[Order ID]],Table1[[#All],[Brand]],0)</f>
        <v>Sony</v>
      </c>
      <c r="K474" t="str">
        <f>INDEX(Table1[[#All],[Product Name]],MATCH(Sheet2!H474,Table1[[#All],[Order ID]],0))</f>
        <v>Headphones</v>
      </c>
    </row>
    <row r="475" spans="1:11" x14ac:dyDescent="0.25">
      <c r="A475" s="6">
        <v>3825</v>
      </c>
      <c r="B475" t="s">
        <v>68</v>
      </c>
      <c r="F475" t="s">
        <v>27</v>
      </c>
      <c r="H475" t="s">
        <v>1221</v>
      </c>
      <c r="I475" t="str">
        <f>VLOOKUP(H475,Table1[#All],8,FALSE)</f>
        <v>Accessories</v>
      </c>
      <c r="J475" t="str" cm="1">
        <f t="array" ref="J475">_xlfn.XLOOKUP(H475,Table1[[#All],[Order ID]],Table1[[#All],[Brand]],0)</f>
        <v>HP</v>
      </c>
      <c r="K475" t="str">
        <f>INDEX(Table1[[#All],[Product Name]],MATCH(Sheet2!H475,Table1[[#All],[Order ID]],0))</f>
        <v>Keyboard</v>
      </c>
    </row>
    <row r="476" spans="1:11" x14ac:dyDescent="0.25">
      <c r="A476" s="5">
        <v>187000</v>
      </c>
      <c r="B476" t="s">
        <v>53</v>
      </c>
      <c r="F476" t="s">
        <v>27</v>
      </c>
      <c r="H476" t="s">
        <v>1222</v>
      </c>
      <c r="I476" t="str">
        <f>VLOOKUP(H476,Table1[#All],8,FALSE)</f>
        <v>Computers</v>
      </c>
      <c r="J476" t="str" cm="1">
        <f t="array" ref="J476">_xlfn.XLOOKUP(H476,Table1[[#All],[Order ID]],Table1[[#All],[Brand]],0)</f>
        <v>Dell</v>
      </c>
      <c r="K476" t="str">
        <f>INDEX(Table1[[#All],[Product Name]],MATCH(Sheet2!H476,Table1[[#All],[Order ID]],0))</f>
        <v>Laptop</v>
      </c>
    </row>
    <row r="477" spans="1:11" x14ac:dyDescent="0.25">
      <c r="A477" s="6">
        <v>46750</v>
      </c>
      <c r="B477" t="s">
        <v>53</v>
      </c>
      <c r="F477" t="s">
        <v>27</v>
      </c>
      <c r="H477" t="s">
        <v>1224</v>
      </c>
      <c r="I477" t="str">
        <f>VLOOKUP(H477,Table1[#All],8,FALSE)</f>
        <v>Computers</v>
      </c>
      <c r="J477" t="str" cm="1">
        <f t="array" ref="J477">_xlfn.XLOOKUP(H477,Table1[[#All],[Order ID]],Table1[[#All],[Brand]],0)</f>
        <v>Dell</v>
      </c>
      <c r="K477" t="str">
        <f>INDEX(Table1[[#All],[Product Name]],MATCH(Sheet2!H477,Table1[[#All],[Order ID]],0))</f>
        <v>Laptop</v>
      </c>
    </row>
    <row r="478" spans="1:11" x14ac:dyDescent="0.25">
      <c r="A478" s="5">
        <v>4500</v>
      </c>
      <c r="B478" t="s">
        <v>68</v>
      </c>
      <c r="F478" t="s">
        <v>27</v>
      </c>
      <c r="H478" t="s">
        <v>1226</v>
      </c>
      <c r="I478" t="str">
        <f>VLOOKUP(H478,Table1[#All],8,FALSE)</f>
        <v>Accessories</v>
      </c>
      <c r="J478" t="str" cm="1">
        <f t="array" ref="J478">_xlfn.XLOOKUP(H478,Table1[[#All],[Order ID]],Table1[[#All],[Brand]],0)</f>
        <v>HP</v>
      </c>
      <c r="K478" t="str">
        <f>INDEX(Table1[[#All],[Product Name]],MATCH(Sheet2!H478,Table1[[#All],[Order ID]],0))</f>
        <v>Keyboard</v>
      </c>
    </row>
    <row r="479" spans="1:11" x14ac:dyDescent="0.25">
      <c r="A479" s="6">
        <v>6375</v>
      </c>
      <c r="B479" t="s">
        <v>68</v>
      </c>
      <c r="F479" t="s">
        <v>27</v>
      </c>
      <c r="H479" t="s">
        <v>1229</v>
      </c>
      <c r="I479" t="str">
        <f>VLOOKUP(H479,Table1[#All],8,FALSE)</f>
        <v>Accessories</v>
      </c>
      <c r="J479" t="str" cm="1">
        <f t="array" ref="J479">_xlfn.XLOOKUP(H479,Table1[[#All],[Order ID]],Table1[[#All],[Brand]],0)</f>
        <v>HP</v>
      </c>
      <c r="K479" t="str">
        <f>INDEX(Table1[[#All],[Product Name]],MATCH(Sheet2!H479,Table1[[#All],[Order ID]],0))</f>
        <v>Keyboard</v>
      </c>
    </row>
    <row r="480" spans="1:11" x14ac:dyDescent="0.25">
      <c r="A480" s="5">
        <v>46750</v>
      </c>
      <c r="B480" t="s">
        <v>53</v>
      </c>
      <c r="F480" t="s">
        <v>27</v>
      </c>
      <c r="H480" t="s">
        <v>1231</v>
      </c>
      <c r="I480" t="str">
        <f>VLOOKUP(H480,Table1[#All],8,FALSE)</f>
        <v>Computers</v>
      </c>
      <c r="J480" t="str" cm="1">
        <f t="array" ref="J480">_xlfn.XLOOKUP(H480,Table1[[#All],[Order ID]],Table1[[#All],[Brand]],0)</f>
        <v>Dell</v>
      </c>
      <c r="K480" t="str">
        <f>INDEX(Table1[[#All],[Product Name]],MATCH(Sheet2!H480,Table1[[#All],[Order ID]],0))</f>
        <v>Laptop</v>
      </c>
    </row>
    <row r="481" spans="1:11" x14ac:dyDescent="0.25">
      <c r="A481" s="6">
        <v>16200</v>
      </c>
      <c r="B481" t="s">
        <v>39</v>
      </c>
      <c r="F481" t="s">
        <v>40</v>
      </c>
      <c r="H481" t="s">
        <v>1233</v>
      </c>
      <c r="I481" t="str">
        <f>VLOOKUP(H481,Table1[#All],8,FALSE)</f>
        <v>Office</v>
      </c>
      <c r="J481" t="str" cm="1">
        <f t="array" ref="J481">_xlfn.XLOOKUP(H481,Table1[[#All],[Order ID]],Table1[[#All],[Brand]],0)</f>
        <v>Nilkamal</v>
      </c>
      <c r="K481" t="str">
        <f>INDEX(Table1[[#All],[Product Name]],MATCH(Sheet2!H481,Table1[[#All],[Order ID]],0))</f>
        <v>Chair</v>
      </c>
    </row>
    <row r="482" spans="1:11" x14ac:dyDescent="0.25">
      <c r="A482" s="5">
        <v>140250</v>
      </c>
      <c r="B482" t="s">
        <v>53</v>
      </c>
      <c r="F482" t="s">
        <v>27</v>
      </c>
      <c r="H482" t="s">
        <v>1235</v>
      </c>
      <c r="I482" t="str">
        <f>VLOOKUP(H482,Table1[#All],8,FALSE)</f>
        <v>Computers</v>
      </c>
      <c r="J482" t="str" cm="1">
        <f t="array" ref="J482">_xlfn.XLOOKUP(H482,Table1[[#All],[Order ID]],Table1[[#All],[Brand]],0)</f>
        <v>Dell</v>
      </c>
      <c r="K482" t="str">
        <f>INDEX(Table1[[#All],[Product Name]],MATCH(Sheet2!H482,Table1[[#All],[Order ID]],0))</f>
        <v>Laptop</v>
      </c>
    </row>
    <row r="483" spans="1:11" x14ac:dyDescent="0.25">
      <c r="A483" s="6">
        <v>9975</v>
      </c>
      <c r="B483" t="s">
        <v>74</v>
      </c>
      <c r="F483" t="s">
        <v>27</v>
      </c>
      <c r="H483" t="s">
        <v>1238</v>
      </c>
      <c r="I483" t="str">
        <f>VLOOKUP(H483,Table1[#All],8,FALSE)</f>
        <v>Audio</v>
      </c>
      <c r="J483" t="str" cm="1">
        <f t="array" ref="J483">_xlfn.XLOOKUP(H483,Table1[[#All],[Order ID]],Table1[[#All],[Brand]],0)</f>
        <v>Sony</v>
      </c>
      <c r="K483" t="str">
        <f>INDEX(Table1[[#All],[Product Name]],MATCH(Sheet2!H483,Table1[[#All],[Order ID]],0))</f>
        <v>Headphones</v>
      </c>
    </row>
    <row r="484" spans="1:11" x14ac:dyDescent="0.25">
      <c r="A484" s="5">
        <v>680</v>
      </c>
      <c r="B484" t="s">
        <v>26</v>
      </c>
      <c r="F484" t="s">
        <v>27</v>
      </c>
      <c r="H484" t="s">
        <v>1239</v>
      </c>
      <c r="I484" t="str">
        <f>VLOOKUP(H484,Table1[#All],8,FALSE)</f>
        <v>Accessories</v>
      </c>
      <c r="J484" t="str" cm="1">
        <f t="array" ref="J484">_xlfn.XLOOKUP(H484,Table1[[#All],[Order ID]],Table1[[#All],[Brand]],0)</f>
        <v>Logitech</v>
      </c>
      <c r="K484" t="str">
        <f>INDEX(Table1[[#All],[Product Name]],MATCH(Sheet2!H484,Table1[[#All],[Order ID]],0))</f>
        <v>Mouse</v>
      </c>
    </row>
    <row r="485" spans="1:11" x14ac:dyDescent="0.25">
      <c r="A485" s="6">
        <v>720</v>
      </c>
      <c r="B485" t="s">
        <v>26</v>
      </c>
      <c r="F485" t="s">
        <v>27</v>
      </c>
      <c r="H485" t="s">
        <v>1241</v>
      </c>
      <c r="I485" t="str">
        <f>VLOOKUP(H485,Table1[#All],8,FALSE)</f>
        <v>Accessories</v>
      </c>
      <c r="J485" t="str" cm="1">
        <f t="array" ref="J485">_xlfn.XLOOKUP(H485,Table1[[#All],[Order ID]],Table1[[#All],[Brand]],0)</f>
        <v>Logitech</v>
      </c>
      <c r="K485" t="str">
        <f>INDEX(Table1[[#All],[Product Name]],MATCH(Sheet2!H485,Table1[[#All],[Order ID]],0))</f>
        <v>Mouse</v>
      </c>
    </row>
    <row r="486" spans="1:11" x14ac:dyDescent="0.25">
      <c r="A486" s="5">
        <v>3150</v>
      </c>
      <c r="B486" t="s">
        <v>74</v>
      </c>
      <c r="F486" t="s">
        <v>27</v>
      </c>
      <c r="H486" t="s">
        <v>1244</v>
      </c>
      <c r="I486" t="str">
        <f>VLOOKUP(H486,Table1[#All],8,FALSE)</f>
        <v>Audio</v>
      </c>
      <c r="J486" t="str" cm="1">
        <f t="array" ref="J486">_xlfn.XLOOKUP(H486,Table1[[#All],[Order ID]],Table1[[#All],[Brand]],0)</f>
        <v>Sony</v>
      </c>
      <c r="K486" t="str">
        <f>INDEX(Table1[[#All],[Product Name]],MATCH(Sheet2!H486,Table1[[#All],[Order ID]],0))</f>
        <v>Headphones</v>
      </c>
    </row>
    <row r="487" spans="1:11" x14ac:dyDescent="0.25">
      <c r="A487" s="6">
        <v>15300</v>
      </c>
      <c r="B487" t="s">
        <v>39</v>
      </c>
      <c r="F487" t="s">
        <v>40</v>
      </c>
      <c r="H487" t="s">
        <v>1246</v>
      </c>
      <c r="I487" t="str">
        <f>VLOOKUP(H487,Table1[#All],8,FALSE)</f>
        <v>Office</v>
      </c>
      <c r="J487" t="str" cm="1">
        <f t="array" ref="J487">_xlfn.XLOOKUP(H487,Table1[[#All],[Order ID]],Table1[[#All],[Brand]],0)</f>
        <v>Nilkamal</v>
      </c>
      <c r="K487" t="str">
        <f>INDEX(Table1[[#All],[Product Name]],MATCH(Sheet2!H487,Table1[[#All],[Order ID]],0))</f>
        <v>Chair</v>
      </c>
    </row>
    <row r="488" spans="1:11" x14ac:dyDescent="0.25">
      <c r="A488" s="5">
        <v>19125</v>
      </c>
      <c r="B488" t="s">
        <v>39</v>
      </c>
      <c r="F488" t="s">
        <v>40</v>
      </c>
      <c r="H488" t="s">
        <v>1248</v>
      </c>
      <c r="I488" t="str">
        <f>VLOOKUP(H488,Table1[#All],8,FALSE)</f>
        <v>Office</v>
      </c>
      <c r="J488" t="str" cm="1">
        <f t="array" ref="J488">_xlfn.XLOOKUP(H488,Table1[[#All],[Order ID]],Table1[[#All],[Brand]],0)</f>
        <v>Nilkamal</v>
      </c>
      <c r="K488" t="str">
        <f>INDEX(Table1[[#All],[Product Name]],MATCH(Sheet2!H488,Table1[[#All],[Order ID]],0))</f>
        <v>Chair</v>
      </c>
    </row>
    <row r="489" spans="1:11" x14ac:dyDescent="0.25">
      <c r="A489" s="6">
        <v>2160</v>
      </c>
      <c r="B489" t="s">
        <v>26</v>
      </c>
      <c r="F489" t="s">
        <v>27</v>
      </c>
      <c r="H489" t="s">
        <v>1251</v>
      </c>
      <c r="I489" t="str">
        <f>VLOOKUP(H489,Table1[#All],8,FALSE)</f>
        <v>Accessories</v>
      </c>
      <c r="J489" t="str" cm="1">
        <f t="array" ref="J489">_xlfn.XLOOKUP(H489,Table1[[#All],[Order ID]],Table1[[#All],[Brand]],0)</f>
        <v>Logitech</v>
      </c>
      <c r="K489" t="str">
        <f>INDEX(Table1[[#All],[Product Name]],MATCH(Sheet2!H489,Table1[[#All],[Order ID]],0))</f>
        <v>Mouse</v>
      </c>
    </row>
    <row r="490" spans="1:11" x14ac:dyDescent="0.25">
      <c r="A490" s="5">
        <v>16625</v>
      </c>
      <c r="B490" t="s">
        <v>74</v>
      </c>
      <c r="F490" t="s">
        <v>27</v>
      </c>
      <c r="H490" t="s">
        <v>1253</v>
      </c>
      <c r="I490" t="str">
        <f>VLOOKUP(H490,Table1[#All],8,FALSE)</f>
        <v>Audio</v>
      </c>
      <c r="J490" t="str" cm="1">
        <f t="array" ref="J490">_xlfn.XLOOKUP(H490,Table1[[#All],[Order ID]],Table1[[#All],[Brand]],0)</f>
        <v>Sony</v>
      </c>
      <c r="K490" t="str">
        <f>INDEX(Table1[[#All],[Product Name]],MATCH(Sheet2!H490,Table1[[#All],[Order ID]],0))</f>
        <v>Headphones</v>
      </c>
    </row>
    <row r="491" spans="1:11" x14ac:dyDescent="0.25">
      <c r="A491" s="6">
        <v>5100</v>
      </c>
      <c r="B491" t="s">
        <v>68</v>
      </c>
      <c r="F491" t="s">
        <v>27</v>
      </c>
      <c r="H491" t="s">
        <v>1255</v>
      </c>
      <c r="I491" t="str">
        <f>VLOOKUP(H491,Table1[#All],8,FALSE)</f>
        <v>Accessories</v>
      </c>
      <c r="J491" t="str" cm="1">
        <f t="array" ref="J491">_xlfn.XLOOKUP(H491,Table1[[#All],[Order ID]],Table1[[#All],[Brand]],0)</f>
        <v>HP</v>
      </c>
      <c r="K491" t="str">
        <f>INDEX(Table1[[#All],[Product Name]],MATCH(Sheet2!H491,Table1[[#All],[Order ID]],0))</f>
        <v>Keyboard</v>
      </c>
    </row>
    <row r="492" spans="1:11" x14ac:dyDescent="0.25">
      <c r="A492" s="5">
        <v>3200</v>
      </c>
      <c r="B492" t="s">
        <v>26</v>
      </c>
      <c r="F492" t="s">
        <v>27</v>
      </c>
      <c r="H492" t="s">
        <v>1257</v>
      </c>
      <c r="I492" t="str">
        <f>VLOOKUP(H492,Table1[#All],8,FALSE)</f>
        <v>Accessories</v>
      </c>
      <c r="J492" t="str" cm="1">
        <f t="array" ref="J492">_xlfn.XLOOKUP(H492,Table1[[#All],[Order ID]],Table1[[#All],[Brand]],0)</f>
        <v>Logitech</v>
      </c>
      <c r="K492" t="str">
        <f>INDEX(Table1[[#All],[Product Name]],MATCH(Sheet2!H492,Table1[[#All],[Order ID]],0))</f>
        <v>Mouse</v>
      </c>
    </row>
    <row r="493" spans="1:11" x14ac:dyDescent="0.25">
      <c r="A493" s="6">
        <v>1350</v>
      </c>
      <c r="B493" t="s">
        <v>68</v>
      </c>
      <c r="F493" t="s">
        <v>27</v>
      </c>
      <c r="H493" t="s">
        <v>1259</v>
      </c>
      <c r="I493" t="str">
        <f>VLOOKUP(H493,Table1[#All],8,FALSE)</f>
        <v>Accessories</v>
      </c>
      <c r="J493" t="str" cm="1">
        <f t="array" ref="J493">_xlfn.XLOOKUP(H493,Table1[[#All],[Order ID]],Table1[[#All],[Brand]],0)</f>
        <v>HP</v>
      </c>
      <c r="K493" t="str">
        <f>INDEX(Table1[[#All],[Product Name]],MATCH(Sheet2!H493,Table1[[#All],[Order ID]],0))</f>
        <v>Keyboard</v>
      </c>
    </row>
    <row r="494" spans="1:11" x14ac:dyDescent="0.25">
      <c r="A494" s="5">
        <v>7500</v>
      </c>
      <c r="B494" t="s">
        <v>68</v>
      </c>
      <c r="F494" t="s">
        <v>27</v>
      </c>
      <c r="H494" t="s">
        <v>1260</v>
      </c>
      <c r="I494" t="str">
        <f>VLOOKUP(H494,Table1[#All],8,FALSE)</f>
        <v>Accessories</v>
      </c>
      <c r="J494" t="str" cm="1">
        <f t="array" ref="J494">_xlfn.XLOOKUP(H494,Table1[[#All],[Order ID]],Table1[[#All],[Brand]],0)</f>
        <v>HP</v>
      </c>
      <c r="K494" t="str">
        <f>INDEX(Table1[[#All],[Product Name]],MATCH(Sheet2!H494,Table1[[#All],[Order ID]],0))</f>
        <v>Keyboard</v>
      </c>
    </row>
    <row r="495" spans="1:11" x14ac:dyDescent="0.25">
      <c r="A495" s="6">
        <v>7500</v>
      </c>
      <c r="B495" t="s">
        <v>68</v>
      </c>
      <c r="F495" t="s">
        <v>27</v>
      </c>
      <c r="H495" t="s">
        <v>1263</v>
      </c>
      <c r="I495" t="str">
        <f>VLOOKUP(H495,Table1[#All],8,FALSE)</f>
        <v>Accessories</v>
      </c>
      <c r="J495" t="str" cm="1">
        <f t="array" ref="J495">_xlfn.XLOOKUP(H495,Table1[[#All],[Order ID]],Table1[[#All],[Brand]],0)</f>
        <v>HP</v>
      </c>
      <c r="K495" t="str">
        <f>INDEX(Table1[[#All],[Product Name]],MATCH(Sheet2!H495,Table1[[#All],[Order ID]],0))</f>
        <v>Keyboard</v>
      </c>
    </row>
    <row r="496" spans="1:11" x14ac:dyDescent="0.25">
      <c r="A496" s="5">
        <v>3000</v>
      </c>
      <c r="B496" t="s">
        <v>68</v>
      </c>
      <c r="F496" t="s">
        <v>27</v>
      </c>
      <c r="H496" t="s">
        <v>1265</v>
      </c>
      <c r="I496" t="str">
        <f>VLOOKUP(H496,Table1[#All],8,FALSE)</f>
        <v>Accessories</v>
      </c>
      <c r="J496" t="str" cm="1">
        <f t="array" ref="J496">_xlfn.XLOOKUP(H496,Table1[[#All],[Order ID]],Table1[[#All],[Brand]],0)</f>
        <v>HP</v>
      </c>
      <c r="K496" t="str">
        <f>INDEX(Table1[[#All],[Product Name]],MATCH(Sheet2!H496,Table1[[#All],[Order ID]],0))</f>
        <v>Keyboard</v>
      </c>
    </row>
    <row r="497" spans="1:11" x14ac:dyDescent="0.25">
      <c r="A497" s="6">
        <v>140250</v>
      </c>
      <c r="B497" t="s">
        <v>53</v>
      </c>
      <c r="F497" t="s">
        <v>27</v>
      </c>
      <c r="H497" t="s">
        <v>1268</v>
      </c>
      <c r="I497" t="str">
        <f>VLOOKUP(H497,Table1[#All],8,FALSE)</f>
        <v>Computers</v>
      </c>
      <c r="J497" t="str" cm="1">
        <f t="array" ref="J497">_xlfn.XLOOKUP(H497,Table1[[#All],[Order ID]],Table1[[#All],[Brand]],0)</f>
        <v>Dell</v>
      </c>
      <c r="K497" t="str">
        <f>INDEX(Table1[[#All],[Product Name]],MATCH(Sheet2!H497,Table1[[#All],[Order ID]],0))</f>
        <v>Laptop</v>
      </c>
    </row>
    <row r="498" spans="1:11" x14ac:dyDescent="0.25">
      <c r="A498" s="5">
        <v>720</v>
      </c>
      <c r="B498" t="s">
        <v>26</v>
      </c>
      <c r="F498" t="s">
        <v>27</v>
      </c>
      <c r="H498" t="s">
        <v>1269</v>
      </c>
      <c r="I498" t="str">
        <f>VLOOKUP(H498,Table1[#All],8,FALSE)</f>
        <v>Accessories</v>
      </c>
      <c r="J498" t="str" cm="1">
        <f t="array" ref="J498">_xlfn.XLOOKUP(H498,Table1[[#All],[Order ID]],Table1[[#All],[Brand]],0)</f>
        <v>Logitech</v>
      </c>
      <c r="K498" t="str">
        <f>INDEX(Table1[[#All],[Product Name]],MATCH(Sheet2!H498,Table1[[#All],[Order ID]],0))</f>
        <v>Mouse</v>
      </c>
    </row>
    <row r="499" spans="1:11" x14ac:dyDescent="0.25">
      <c r="A499" s="6">
        <v>4500</v>
      </c>
      <c r="B499" t="s">
        <v>68</v>
      </c>
      <c r="F499" t="s">
        <v>27</v>
      </c>
      <c r="H499" t="s">
        <v>1271</v>
      </c>
      <c r="I499" t="str">
        <f>VLOOKUP(H499,Table1[#All],8,FALSE)</f>
        <v>Accessories</v>
      </c>
      <c r="J499" t="str" cm="1">
        <f t="array" ref="J499">_xlfn.XLOOKUP(H499,Table1[[#All],[Order ID]],Table1[[#All],[Brand]],0)</f>
        <v>HP</v>
      </c>
      <c r="K499" t="str">
        <f>INDEX(Table1[[#All],[Product Name]],MATCH(Sheet2!H499,Table1[[#All],[Order ID]],0))</f>
        <v>Keyboard</v>
      </c>
    </row>
    <row r="500" spans="1:11" x14ac:dyDescent="0.25">
      <c r="A500" s="5">
        <v>6375</v>
      </c>
      <c r="B500" t="s">
        <v>68</v>
      </c>
      <c r="F500" t="s">
        <v>27</v>
      </c>
      <c r="H500" t="s">
        <v>1274</v>
      </c>
      <c r="I500" t="str">
        <f>VLOOKUP(H500,Table1[#All],8,FALSE)</f>
        <v>Accessories</v>
      </c>
      <c r="J500" t="str" cm="1">
        <f t="array" ref="J500">_xlfn.XLOOKUP(H500,Table1[[#All],[Order ID]],Table1[[#All],[Brand]],0)</f>
        <v>HP</v>
      </c>
      <c r="K500" t="str">
        <f>INDEX(Table1[[#All],[Product Name]],MATCH(Sheet2!H500,Table1[[#All],[Order ID]],0))</f>
        <v>Keyboard</v>
      </c>
    </row>
    <row r="501" spans="1:11" x14ac:dyDescent="0.25">
      <c r="A501" s="6">
        <v>2880</v>
      </c>
      <c r="B501" t="s">
        <v>26</v>
      </c>
      <c r="F501" t="s">
        <v>27</v>
      </c>
      <c r="H501" t="s">
        <v>1276</v>
      </c>
      <c r="I501" t="str">
        <f>VLOOKUP(H501,Table1[#All],8,FALSE)</f>
        <v>Accessories</v>
      </c>
      <c r="J501" t="str" cm="1">
        <f t="array" ref="J501">_xlfn.XLOOKUP(H501,Table1[[#All],[Order ID]],Table1[[#All],[Brand]],0)</f>
        <v>Logitech</v>
      </c>
      <c r="K501" t="str">
        <f>INDEX(Table1[[#All],[Product Name]],MATCH(Sheet2!H501,Table1[[#All],[Order ID]],0))</f>
        <v>Mouse</v>
      </c>
    </row>
    <row r="502" spans="1:11" x14ac:dyDescent="0.25">
      <c r="A502" s="5">
        <v>10500</v>
      </c>
      <c r="B502" t="s">
        <v>74</v>
      </c>
      <c r="F502" t="s">
        <v>27</v>
      </c>
      <c r="H502" t="s">
        <v>1277</v>
      </c>
      <c r="I502" t="str">
        <f>VLOOKUP(H502,Table1[#All],8,FALSE)</f>
        <v>Audio</v>
      </c>
      <c r="J502" t="str" cm="1">
        <f t="array" ref="J502">_xlfn.XLOOKUP(H502,Table1[[#All],[Order ID]],Table1[[#All],[Brand]],0)</f>
        <v>Sony</v>
      </c>
      <c r="K502" t="str">
        <f>INDEX(Table1[[#All],[Product Name]],MATCH(Sheet2!H502,Table1[[#All],[Order ID]],0))</f>
        <v>Headphones</v>
      </c>
    </row>
    <row r="503" spans="1:11" x14ac:dyDescent="0.25">
      <c r="A503" s="6">
        <v>6375</v>
      </c>
      <c r="B503" t="s">
        <v>68</v>
      </c>
      <c r="F503" t="s">
        <v>27</v>
      </c>
      <c r="H503" t="s">
        <v>1279</v>
      </c>
      <c r="I503" t="str">
        <f>VLOOKUP(H503,Table1[#All],8,FALSE)</f>
        <v>Accessories</v>
      </c>
      <c r="J503" t="str" cm="1">
        <f t="array" ref="J503">_xlfn.XLOOKUP(H503,Table1[[#All],[Order ID]],Table1[[#All],[Brand]],0)</f>
        <v>HP</v>
      </c>
      <c r="K503" t="str">
        <f>INDEX(Table1[[#All],[Product Name]],MATCH(Sheet2!H503,Table1[[#All],[Order ID]],0))</f>
        <v>Keyboard</v>
      </c>
    </row>
    <row r="504" spans="1:11" x14ac:dyDescent="0.25">
      <c r="A504" s="5">
        <v>2850</v>
      </c>
      <c r="B504" t="s">
        <v>68</v>
      </c>
      <c r="F504" t="s">
        <v>27</v>
      </c>
      <c r="H504" t="s">
        <v>1281</v>
      </c>
      <c r="I504" t="str">
        <f>VLOOKUP(H504,Table1[#All],8,FALSE)</f>
        <v>Accessories</v>
      </c>
      <c r="J504" t="str" cm="1">
        <f t="array" ref="J504">_xlfn.XLOOKUP(H504,Table1[[#All],[Order ID]],Table1[[#All],[Brand]],0)</f>
        <v>HP</v>
      </c>
      <c r="K504" t="str">
        <f>INDEX(Table1[[#All],[Product Name]],MATCH(Sheet2!H504,Table1[[#All],[Order ID]],0))</f>
        <v>Keyboard</v>
      </c>
    </row>
    <row r="505" spans="1:11" x14ac:dyDescent="0.25">
      <c r="A505" s="6">
        <v>16200</v>
      </c>
      <c r="B505" t="s">
        <v>39</v>
      </c>
      <c r="F505" t="s">
        <v>40</v>
      </c>
      <c r="H505" t="s">
        <v>1283</v>
      </c>
      <c r="I505" t="str">
        <f>VLOOKUP(H505,Table1[#All],8,FALSE)</f>
        <v>Office</v>
      </c>
      <c r="J505" t="str" cm="1">
        <f t="array" ref="J505">_xlfn.XLOOKUP(H505,Table1[[#All],[Order ID]],Table1[[#All],[Brand]],0)</f>
        <v>Nilkamal</v>
      </c>
      <c r="K505" t="str">
        <f>INDEX(Table1[[#All],[Product Name]],MATCH(Sheet2!H505,Table1[[#All],[Order ID]],0))</f>
        <v>Chair</v>
      </c>
    </row>
    <row r="506" spans="1:11" x14ac:dyDescent="0.25">
      <c r="A506" s="5">
        <v>104500</v>
      </c>
      <c r="B506" t="s">
        <v>53</v>
      </c>
      <c r="F506" t="s">
        <v>27</v>
      </c>
      <c r="H506" t="s">
        <v>1286</v>
      </c>
      <c r="I506" t="str">
        <f>VLOOKUP(H506,Table1[#All],8,FALSE)</f>
        <v>Computers</v>
      </c>
      <c r="J506" t="str" cm="1">
        <f t="array" ref="J506">_xlfn.XLOOKUP(H506,Table1[[#All],[Order ID]],Table1[[#All],[Brand]],0)</f>
        <v>Dell</v>
      </c>
      <c r="K506" t="str">
        <f>INDEX(Table1[[#All],[Product Name]],MATCH(Sheet2!H506,Table1[[#All],[Order ID]],0))</f>
        <v>Laptop</v>
      </c>
    </row>
    <row r="507" spans="1:11" x14ac:dyDescent="0.25">
      <c r="A507" s="6">
        <v>209000</v>
      </c>
      <c r="B507" t="s">
        <v>53</v>
      </c>
      <c r="F507" t="s">
        <v>27</v>
      </c>
      <c r="H507" t="s">
        <v>1287</v>
      </c>
      <c r="I507" t="str">
        <f>VLOOKUP(H507,Table1[#All],8,FALSE)</f>
        <v>Computers</v>
      </c>
      <c r="J507" t="str" cm="1">
        <f t="array" ref="J507">_xlfn.XLOOKUP(H507,Table1[[#All],[Order ID]],Table1[[#All],[Brand]],0)</f>
        <v>Dell</v>
      </c>
      <c r="K507" t="str">
        <f>INDEX(Table1[[#All],[Product Name]],MATCH(Sheet2!H507,Table1[[#All],[Order ID]],0))</f>
        <v>Laptop</v>
      </c>
    </row>
    <row r="508" spans="1:11" x14ac:dyDescent="0.25">
      <c r="A508" s="5">
        <v>9975</v>
      </c>
      <c r="B508" t="s">
        <v>74</v>
      </c>
      <c r="F508" t="s">
        <v>27</v>
      </c>
      <c r="H508" t="s">
        <v>1289</v>
      </c>
      <c r="I508" t="str">
        <f>VLOOKUP(H508,Table1[#All],8,FALSE)</f>
        <v>Audio</v>
      </c>
      <c r="J508" t="str" cm="1">
        <f t="array" ref="J508">_xlfn.XLOOKUP(H508,Table1[[#All],[Order ID]],Table1[[#All],[Brand]],0)</f>
        <v>Sony</v>
      </c>
      <c r="K508" t="str">
        <f>INDEX(Table1[[#All],[Product Name]],MATCH(Sheet2!H508,Table1[[#All],[Order ID]],0))</f>
        <v>Headphones</v>
      </c>
    </row>
    <row r="509" spans="1:11" x14ac:dyDescent="0.25">
      <c r="A509" s="6">
        <v>760</v>
      </c>
      <c r="B509" t="s">
        <v>26</v>
      </c>
      <c r="F509" t="s">
        <v>27</v>
      </c>
      <c r="H509" t="s">
        <v>1291</v>
      </c>
      <c r="I509" t="str">
        <f>VLOOKUP(H509,Table1[#All],8,FALSE)</f>
        <v>Accessories</v>
      </c>
      <c r="J509" t="str" cm="1">
        <f t="array" ref="J509">_xlfn.XLOOKUP(H509,Table1[[#All],[Order ID]],Table1[[#All],[Brand]],0)</f>
        <v>Logitech</v>
      </c>
      <c r="K509" t="str">
        <f>INDEX(Table1[[#All],[Product Name]],MATCH(Sheet2!H509,Table1[[#All],[Order ID]],0))</f>
        <v>Mouse</v>
      </c>
    </row>
    <row r="510" spans="1:11" x14ac:dyDescent="0.25">
      <c r="A510" s="5">
        <v>3600</v>
      </c>
      <c r="B510" t="s">
        <v>26</v>
      </c>
      <c r="F510" t="s">
        <v>27</v>
      </c>
      <c r="H510" t="s">
        <v>1293</v>
      </c>
      <c r="I510" t="str">
        <f>VLOOKUP(H510,Table1[#All],8,FALSE)</f>
        <v>Accessories</v>
      </c>
      <c r="J510" t="str" cm="1">
        <f t="array" ref="J510">_xlfn.XLOOKUP(H510,Table1[[#All],[Order ID]],Table1[[#All],[Brand]],0)</f>
        <v>Logitech</v>
      </c>
      <c r="K510" t="str">
        <f>INDEX(Table1[[#All],[Product Name]],MATCH(Sheet2!H510,Table1[[#All],[Order ID]],0))</f>
        <v>Mouse</v>
      </c>
    </row>
    <row r="511" spans="1:11" x14ac:dyDescent="0.25">
      <c r="A511" s="6">
        <v>720</v>
      </c>
      <c r="B511" t="s">
        <v>26</v>
      </c>
      <c r="F511" t="s">
        <v>27</v>
      </c>
      <c r="H511" t="s">
        <v>1294</v>
      </c>
      <c r="I511" t="str">
        <f>VLOOKUP(H511,Table1[#All],8,FALSE)</f>
        <v>Accessories</v>
      </c>
      <c r="J511" t="str" cm="1">
        <f t="array" ref="J511">_xlfn.XLOOKUP(H511,Table1[[#All],[Order ID]],Table1[[#All],[Brand]],0)</f>
        <v>Logitech</v>
      </c>
      <c r="K511" t="str">
        <f>INDEX(Table1[[#All],[Product Name]],MATCH(Sheet2!H511,Table1[[#All],[Order ID]],0))</f>
        <v>Mouse</v>
      </c>
    </row>
    <row r="512" spans="1:11" x14ac:dyDescent="0.25">
      <c r="A512" s="5">
        <v>1350</v>
      </c>
      <c r="B512" t="s">
        <v>68</v>
      </c>
      <c r="F512" t="s">
        <v>27</v>
      </c>
      <c r="H512" t="s">
        <v>1297</v>
      </c>
      <c r="I512" t="str">
        <f>VLOOKUP(H512,Table1[#All],8,FALSE)</f>
        <v>Accessories</v>
      </c>
      <c r="J512" t="str" cm="1">
        <f t="array" ref="J512">_xlfn.XLOOKUP(H512,Table1[[#All],[Order ID]],Table1[[#All],[Brand]],0)</f>
        <v>HP</v>
      </c>
      <c r="K512" t="str">
        <f>INDEX(Table1[[#All],[Product Name]],MATCH(Sheet2!H512,Table1[[#All],[Order ID]],0))</f>
        <v>Keyboard</v>
      </c>
    </row>
    <row r="513" spans="1:11" x14ac:dyDescent="0.25">
      <c r="A513" s="6">
        <v>7000</v>
      </c>
      <c r="B513" t="s">
        <v>74</v>
      </c>
      <c r="F513" t="s">
        <v>27</v>
      </c>
      <c r="H513" t="s">
        <v>1300</v>
      </c>
      <c r="I513" t="str">
        <f>VLOOKUP(H513,Table1[#All],8,FALSE)</f>
        <v>Audio</v>
      </c>
      <c r="J513" t="str" cm="1">
        <f t="array" ref="J513">_xlfn.XLOOKUP(H513,Table1[[#All],[Order ID]],Table1[[#All],[Brand]],0)</f>
        <v>Sony</v>
      </c>
      <c r="K513" t="str">
        <f>INDEX(Table1[[#All],[Product Name]],MATCH(Sheet2!H513,Table1[[#All],[Order ID]],0))</f>
        <v>Headphones</v>
      </c>
    </row>
    <row r="514" spans="1:11" x14ac:dyDescent="0.25">
      <c r="A514" s="5">
        <v>4000</v>
      </c>
      <c r="B514" t="s">
        <v>26</v>
      </c>
      <c r="F514" t="s">
        <v>27</v>
      </c>
      <c r="H514" t="s">
        <v>1301</v>
      </c>
      <c r="I514" t="str">
        <f>VLOOKUP(H514,Table1[#All],8,FALSE)</f>
        <v>Accessories</v>
      </c>
      <c r="J514" t="str" cm="1">
        <f t="array" ref="J514">_xlfn.XLOOKUP(H514,Table1[[#All],[Order ID]],Table1[[#All],[Brand]],0)</f>
        <v>Logitech</v>
      </c>
      <c r="K514" t="str">
        <f>INDEX(Table1[[#All],[Product Name]],MATCH(Sheet2!H514,Table1[[#All],[Order ID]],0))</f>
        <v>Mouse</v>
      </c>
    </row>
    <row r="515" spans="1:11" x14ac:dyDescent="0.25">
      <c r="A515" s="6">
        <v>2700</v>
      </c>
      <c r="B515" t="s">
        <v>68</v>
      </c>
      <c r="F515" t="s">
        <v>27</v>
      </c>
      <c r="H515" t="s">
        <v>1303</v>
      </c>
      <c r="I515" t="str">
        <f>VLOOKUP(H515,Table1[#All],8,FALSE)</f>
        <v>Accessories</v>
      </c>
      <c r="J515" t="str" cm="1">
        <f t="array" ref="J515">_xlfn.XLOOKUP(H515,Table1[[#All],[Order ID]],Table1[[#All],[Brand]],0)</f>
        <v>HP</v>
      </c>
      <c r="K515" t="str">
        <f>INDEX(Table1[[#All],[Product Name]],MATCH(Sheet2!H515,Table1[[#All],[Order ID]],0))</f>
        <v>Keyboard</v>
      </c>
    </row>
    <row r="516" spans="1:11" x14ac:dyDescent="0.25">
      <c r="A516" s="5">
        <v>9000</v>
      </c>
      <c r="B516" t="s">
        <v>39</v>
      </c>
      <c r="F516" t="s">
        <v>40</v>
      </c>
      <c r="H516" t="s">
        <v>1306</v>
      </c>
      <c r="I516" t="str">
        <f>VLOOKUP(H516,Table1[#All],8,FALSE)</f>
        <v>Office</v>
      </c>
      <c r="J516" t="str" cm="1">
        <f t="array" ref="J516">_xlfn.XLOOKUP(H516,Table1[[#All],[Order ID]],Table1[[#All],[Brand]],0)</f>
        <v>Nilkamal</v>
      </c>
      <c r="K516" t="str">
        <f>INDEX(Table1[[#All],[Product Name]],MATCH(Sheet2!H516,Table1[[#All],[Order ID]],0))</f>
        <v>Chair</v>
      </c>
    </row>
    <row r="517" spans="1:11" x14ac:dyDescent="0.25">
      <c r="A517" s="6">
        <v>7650</v>
      </c>
      <c r="B517" t="s">
        <v>39</v>
      </c>
      <c r="F517" t="s">
        <v>40</v>
      </c>
      <c r="H517" t="s">
        <v>1309</v>
      </c>
      <c r="I517" t="str">
        <f>VLOOKUP(H517,Table1[#All],8,FALSE)</f>
        <v>Office</v>
      </c>
      <c r="J517" t="str" cm="1">
        <f t="array" ref="J517">_xlfn.XLOOKUP(H517,Table1[[#All],[Order ID]],Table1[[#All],[Brand]],0)</f>
        <v>Nilkamal</v>
      </c>
      <c r="K517" t="str">
        <f>INDEX(Table1[[#All],[Product Name]],MATCH(Sheet2!H517,Table1[[#All],[Order ID]],0))</f>
        <v>Chair</v>
      </c>
    </row>
    <row r="518" spans="1:11" x14ac:dyDescent="0.25">
      <c r="A518" s="5">
        <v>720</v>
      </c>
      <c r="B518" t="s">
        <v>26</v>
      </c>
      <c r="F518" t="s">
        <v>27</v>
      </c>
      <c r="H518" t="s">
        <v>1310</v>
      </c>
      <c r="I518" t="str">
        <f>VLOOKUP(H518,Table1[#All],8,FALSE)</f>
        <v>Accessories</v>
      </c>
      <c r="J518" t="str" cm="1">
        <f t="array" ref="J518">_xlfn.XLOOKUP(H518,Table1[[#All],[Order ID]],Table1[[#All],[Brand]],0)</f>
        <v>Logitech</v>
      </c>
      <c r="K518" t="str">
        <f>INDEX(Table1[[#All],[Product Name]],MATCH(Sheet2!H518,Table1[[#All],[Order ID]],0))</f>
        <v>Mouse</v>
      </c>
    </row>
    <row r="519" spans="1:11" x14ac:dyDescent="0.25">
      <c r="A519" s="6">
        <v>14000</v>
      </c>
      <c r="B519" t="s">
        <v>74</v>
      </c>
      <c r="F519" t="s">
        <v>27</v>
      </c>
      <c r="H519" t="s">
        <v>1312</v>
      </c>
      <c r="I519" t="str">
        <f>VLOOKUP(H519,Table1[#All],8,FALSE)</f>
        <v>Audio</v>
      </c>
      <c r="J519" t="str" cm="1">
        <f t="array" ref="J519">_xlfn.XLOOKUP(H519,Table1[[#All],[Order ID]],Table1[[#All],[Brand]],0)</f>
        <v>Sony</v>
      </c>
      <c r="K519" t="str">
        <f>INDEX(Table1[[#All],[Product Name]],MATCH(Sheet2!H519,Table1[[#All],[Order ID]],0))</f>
        <v>Headphones</v>
      </c>
    </row>
    <row r="520" spans="1:11" x14ac:dyDescent="0.25">
      <c r="A520" s="5">
        <v>2880</v>
      </c>
      <c r="B520" t="s">
        <v>26</v>
      </c>
      <c r="F520" t="s">
        <v>27</v>
      </c>
      <c r="H520" t="s">
        <v>1314</v>
      </c>
      <c r="I520" t="str">
        <f>VLOOKUP(H520,Table1[#All],8,FALSE)</f>
        <v>Accessories</v>
      </c>
      <c r="J520" t="str" cm="1">
        <f t="array" ref="J520">_xlfn.XLOOKUP(H520,Table1[[#All],[Order ID]],Table1[[#All],[Brand]],0)</f>
        <v>Logitech</v>
      </c>
      <c r="K520" t="str">
        <f>INDEX(Table1[[#All],[Product Name]],MATCH(Sheet2!H520,Table1[[#All],[Order ID]],0))</f>
        <v>Mouse</v>
      </c>
    </row>
    <row r="521" spans="1:11" x14ac:dyDescent="0.25">
      <c r="A521" s="6">
        <v>1350</v>
      </c>
      <c r="B521" t="s">
        <v>68</v>
      </c>
      <c r="F521" t="s">
        <v>27</v>
      </c>
      <c r="H521" t="s">
        <v>1316</v>
      </c>
      <c r="I521" t="str">
        <f>VLOOKUP(H521,Table1[#All],8,FALSE)</f>
        <v>Accessories</v>
      </c>
      <c r="J521" t="str" cm="1">
        <f t="array" ref="J521">_xlfn.XLOOKUP(H521,Table1[[#All],[Order ID]],Table1[[#All],[Brand]],0)</f>
        <v>HP</v>
      </c>
      <c r="K521" t="str">
        <f>INDEX(Table1[[#All],[Product Name]],MATCH(Sheet2!H521,Table1[[#All],[Order ID]],0))</f>
        <v>Keyboard</v>
      </c>
    </row>
    <row r="522" spans="1:11" x14ac:dyDescent="0.25">
      <c r="A522" s="5">
        <v>1360</v>
      </c>
      <c r="B522" t="s">
        <v>26</v>
      </c>
      <c r="F522" t="s">
        <v>27</v>
      </c>
      <c r="H522" t="s">
        <v>1317</v>
      </c>
      <c r="I522" t="str">
        <f>VLOOKUP(H522,Table1[#All],8,FALSE)</f>
        <v>Accessories</v>
      </c>
      <c r="J522" t="str" cm="1">
        <f t="array" ref="J522">_xlfn.XLOOKUP(H522,Table1[[#All],[Order ID]],Table1[[#All],[Brand]],0)</f>
        <v>Logitech</v>
      </c>
      <c r="K522" t="str">
        <f>INDEX(Table1[[#All],[Product Name]],MATCH(Sheet2!H522,Table1[[#All],[Order ID]],0))</f>
        <v>Mouse</v>
      </c>
    </row>
    <row r="523" spans="1:11" x14ac:dyDescent="0.25">
      <c r="A523" s="6">
        <v>3150</v>
      </c>
      <c r="B523" t="s">
        <v>74</v>
      </c>
      <c r="F523" t="s">
        <v>27</v>
      </c>
      <c r="H523" t="s">
        <v>1319</v>
      </c>
      <c r="I523" t="str">
        <f>VLOOKUP(H523,Table1[#All],8,FALSE)</f>
        <v>Audio</v>
      </c>
      <c r="J523" t="str" cm="1">
        <f t="array" ref="J523">_xlfn.XLOOKUP(H523,Table1[[#All],[Order ID]],Table1[[#All],[Brand]],0)</f>
        <v>Sony</v>
      </c>
      <c r="K523" t="str">
        <f>INDEX(Table1[[#All],[Product Name]],MATCH(Sheet2!H523,Table1[[#All],[Order ID]],0))</f>
        <v>Headphones</v>
      </c>
    </row>
    <row r="524" spans="1:11" x14ac:dyDescent="0.25">
      <c r="A524" s="5">
        <v>140250</v>
      </c>
      <c r="B524" t="s">
        <v>53</v>
      </c>
      <c r="F524" t="s">
        <v>27</v>
      </c>
      <c r="H524" t="s">
        <v>1322</v>
      </c>
      <c r="I524" t="str">
        <f>VLOOKUP(H524,Table1[#All],8,FALSE)</f>
        <v>Computers</v>
      </c>
      <c r="J524" t="str" cm="1">
        <f t="array" ref="J524">_xlfn.XLOOKUP(H524,Table1[[#All],[Order ID]],Table1[[#All],[Brand]],0)</f>
        <v>Dell</v>
      </c>
      <c r="K524" t="str">
        <f>INDEX(Table1[[#All],[Product Name]],MATCH(Sheet2!H524,Table1[[#All],[Order ID]],0))</f>
        <v>Laptop</v>
      </c>
    </row>
    <row r="525" spans="1:11" x14ac:dyDescent="0.25">
      <c r="A525" s="6">
        <v>1500</v>
      </c>
      <c r="B525" t="s">
        <v>68</v>
      </c>
      <c r="F525" t="s">
        <v>27</v>
      </c>
      <c r="H525" t="s">
        <v>1324</v>
      </c>
      <c r="I525" t="str">
        <f>VLOOKUP(H525,Table1[#All],8,FALSE)</f>
        <v>Accessories</v>
      </c>
      <c r="J525" t="str" cm="1">
        <f t="array" ref="J525">_xlfn.XLOOKUP(H525,Table1[[#All],[Order ID]],Table1[[#All],[Brand]],0)</f>
        <v>HP</v>
      </c>
      <c r="K525" t="str">
        <f>INDEX(Table1[[#All],[Product Name]],MATCH(Sheet2!H525,Table1[[#All],[Order ID]],0))</f>
        <v>Keyboard</v>
      </c>
    </row>
    <row r="526" spans="1:11" x14ac:dyDescent="0.25">
      <c r="A526" s="5">
        <v>3825</v>
      </c>
      <c r="B526" t="s">
        <v>68</v>
      </c>
      <c r="F526" t="s">
        <v>27</v>
      </c>
      <c r="H526" t="s">
        <v>1326</v>
      </c>
      <c r="I526" t="str">
        <f>VLOOKUP(H526,Table1[#All],8,FALSE)</f>
        <v>Accessories</v>
      </c>
      <c r="J526" t="str" cm="1">
        <f t="array" ref="J526">_xlfn.XLOOKUP(H526,Table1[[#All],[Order ID]],Table1[[#All],[Brand]],0)</f>
        <v>HP</v>
      </c>
      <c r="K526" t="str">
        <f>INDEX(Table1[[#All],[Product Name]],MATCH(Sheet2!H526,Table1[[#All],[Order ID]],0))</f>
        <v>Keyboard</v>
      </c>
    </row>
    <row r="527" spans="1:11" x14ac:dyDescent="0.25">
      <c r="A527" s="6">
        <v>7650</v>
      </c>
      <c r="B527" t="s">
        <v>39</v>
      </c>
      <c r="F527" t="s">
        <v>40</v>
      </c>
      <c r="H527" t="s">
        <v>1328</v>
      </c>
      <c r="I527" t="str">
        <f>VLOOKUP(H527,Table1[#All],8,FALSE)</f>
        <v>Office</v>
      </c>
      <c r="J527" t="str" cm="1">
        <f t="array" ref="J527">_xlfn.XLOOKUP(H527,Table1[[#All],[Order ID]],Table1[[#All],[Brand]],0)</f>
        <v>Nilkamal</v>
      </c>
      <c r="K527" t="str">
        <f>INDEX(Table1[[#All],[Product Name]],MATCH(Sheet2!H527,Table1[[#All],[Order ID]],0))</f>
        <v>Chair</v>
      </c>
    </row>
    <row r="528" spans="1:11" x14ac:dyDescent="0.25">
      <c r="A528" s="5">
        <v>3040</v>
      </c>
      <c r="B528" t="s">
        <v>26</v>
      </c>
      <c r="F528" t="s">
        <v>27</v>
      </c>
      <c r="H528" t="s">
        <v>1329</v>
      </c>
      <c r="I528" t="str">
        <f>VLOOKUP(H528,Table1[#All],8,FALSE)</f>
        <v>Accessories</v>
      </c>
      <c r="J528" t="str" cm="1">
        <f t="array" ref="J528">_xlfn.XLOOKUP(H528,Table1[[#All],[Order ID]],Table1[[#All],[Brand]],0)</f>
        <v>Logitech</v>
      </c>
      <c r="K528" t="str">
        <f>INDEX(Table1[[#All],[Product Name]],MATCH(Sheet2!H528,Table1[[#All],[Order ID]],0))</f>
        <v>Mouse</v>
      </c>
    </row>
    <row r="529" spans="1:11" x14ac:dyDescent="0.25">
      <c r="A529" s="6">
        <v>1440</v>
      </c>
      <c r="B529" t="s">
        <v>26</v>
      </c>
      <c r="F529" t="s">
        <v>27</v>
      </c>
      <c r="H529" t="s">
        <v>1331</v>
      </c>
      <c r="I529" t="str">
        <f>VLOOKUP(H529,Table1[#All],8,FALSE)</f>
        <v>Accessories</v>
      </c>
      <c r="J529" t="str" cm="1">
        <f t="array" ref="J529">_xlfn.XLOOKUP(H529,Table1[[#All],[Order ID]],Table1[[#All],[Brand]],0)</f>
        <v>Logitech</v>
      </c>
      <c r="K529" t="str">
        <f>INDEX(Table1[[#All],[Product Name]],MATCH(Sheet2!H529,Table1[[#All],[Order ID]],0))</f>
        <v>Mouse</v>
      </c>
    </row>
    <row r="530" spans="1:11" x14ac:dyDescent="0.25">
      <c r="A530" s="5">
        <v>1360</v>
      </c>
      <c r="B530" t="s">
        <v>26</v>
      </c>
      <c r="F530" t="s">
        <v>27</v>
      </c>
      <c r="H530" t="s">
        <v>1333</v>
      </c>
      <c r="I530" t="str">
        <f>VLOOKUP(H530,Table1[#All],8,FALSE)</f>
        <v>Accessories</v>
      </c>
      <c r="J530" t="str" cm="1">
        <f t="array" ref="J530">_xlfn.XLOOKUP(H530,Table1[[#All],[Order ID]],Table1[[#All],[Brand]],0)</f>
        <v>Logitech</v>
      </c>
      <c r="K530" t="str">
        <f>INDEX(Table1[[#All],[Product Name]],MATCH(Sheet2!H530,Table1[[#All],[Order ID]],0))</f>
        <v>Mouse</v>
      </c>
    </row>
    <row r="531" spans="1:11" x14ac:dyDescent="0.25">
      <c r="A531" s="6">
        <v>3500</v>
      </c>
      <c r="B531" t="s">
        <v>74</v>
      </c>
      <c r="F531" t="s">
        <v>27</v>
      </c>
      <c r="H531" t="s">
        <v>1334</v>
      </c>
      <c r="I531" t="str">
        <f>VLOOKUP(H531,Table1[#All],8,FALSE)</f>
        <v>Audio</v>
      </c>
      <c r="J531" t="str" cm="1">
        <f t="array" ref="J531">_xlfn.XLOOKUP(H531,Table1[[#All],[Order ID]],Table1[[#All],[Brand]],0)</f>
        <v>Sony</v>
      </c>
      <c r="K531" t="str">
        <f>INDEX(Table1[[#All],[Product Name]],MATCH(Sheet2!H531,Table1[[#All],[Order ID]],0))</f>
        <v>Headphones</v>
      </c>
    </row>
    <row r="532" spans="1:11" x14ac:dyDescent="0.25">
      <c r="A532" s="5">
        <v>2720</v>
      </c>
      <c r="B532" t="s">
        <v>26</v>
      </c>
      <c r="F532" t="s">
        <v>27</v>
      </c>
      <c r="H532" t="s">
        <v>1336</v>
      </c>
      <c r="I532" t="str">
        <f>VLOOKUP(H532,Table1[#All],8,FALSE)</f>
        <v>Accessories</v>
      </c>
      <c r="J532" t="str" cm="1">
        <f t="array" ref="J532">_xlfn.XLOOKUP(H532,Table1[[#All],[Order ID]],Table1[[#All],[Brand]],0)</f>
        <v>Logitech</v>
      </c>
      <c r="K532" t="str">
        <f>INDEX(Table1[[#All],[Product Name]],MATCH(Sheet2!H532,Table1[[#All],[Order ID]],0))</f>
        <v>Mouse</v>
      </c>
    </row>
    <row r="533" spans="1:11" x14ac:dyDescent="0.25">
      <c r="A533" s="6">
        <v>93500</v>
      </c>
      <c r="B533" t="s">
        <v>53</v>
      </c>
      <c r="F533" t="s">
        <v>27</v>
      </c>
      <c r="H533" t="s">
        <v>1339</v>
      </c>
      <c r="I533" t="str">
        <f>VLOOKUP(H533,Table1[#All],8,FALSE)</f>
        <v>Computers</v>
      </c>
      <c r="J533" t="str" cm="1">
        <f t="array" ref="J533">_xlfn.XLOOKUP(H533,Table1[[#All],[Order ID]],Table1[[#All],[Brand]],0)</f>
        <v>Dell</v>
      </c>
      <c r="K533" t="str">
        <f>INDEX(Table1[[#All],[Product Name]],MATCH(Sheet2!H533,Table1[[#All],[Order ID]],0))</f>
        <v>Laptop</v>
      </c>
    </row>
    <row r="534" spans="1:11" x14ac:dyDescent="0.25">
      <c r="A534" s="5">
        <v>247500</v>
      </c>
      <c r="B534" t="s">
        <v>53</v>
      </c>
      <c r="F534" t="s">
        <v>27</v>
      </c>
      <c r="H534" t="s">
        <v>1340</v>
      </c>
      <c r="I534" t="str">
        <f>VLOOKUP(H534,Table1[#All],8,FALSE)</f>
        <v>Computers</v>
      </c>
      <c r="J534" t="str" cm="1">
        <f t="array" ref="J534">_xlfn.XLOOKUP(H534,Table1[[#All],[Order ID]],Table1[[#All],[Brand]],0)</f>
        <v>Dell</v>
      </c>
      <c r="K534" t="str">
        <f>INDEX(Table1[[#All],[Product Name]],MATCH(Sheet2!H534,Table1[[#All],[Order ID]],0))</f>
        <v>Laptop</v>
      </c>
    </row>
    <row r="535" spans="1:11" x14ac:dyDescent="0.25">
      <c r="A535" s="6">
        <v>156750</v>
      </c>
      <c r="B535" t="s">
        <v>53</v>
      </c>
      <c r="F535" t="s">
        <v>27</v>
      </c>
      <c r="H535" t="s">
        <v>1341</v>
      </c>
      <c r="I535" t="str">
        <f>VLOOKUP(H535,Table1[#All],8,FALSE)</f>
        <v>Computers</v>
      </c>
      <c r="J535" t="str" cm="1">
        <f t="array" ref="J535">_xlfn.XLOOKUP(H535,Table1[[#All],[Order ID]],Table1[[#All],[Brand]],0)</f>
        <v>Dell</v>
      </c>
      <c r="K535" t="str">
        <f>INDEX(Table1[[#All],[Product Name]],MATCH(Sheet2!H535,Table1[[#All],[Order ID]],0))</f>
        <v>Laptop</v>
      </c>
    </row>
    <row r="536" spans="1:11" x14ac:dyDescent="0.25">
      <c r="A536" s="5">
        <v>2975</v>
      </c>
      <c r="B536" t="s">
        <v>74</v>
      </c>
      <c r="F536" t="s">
        <v>27</v>
      </c>
      <c r="H536" t="s">
        <v>1343</v>
      </c>
      <c r="I536" t="str">
        <f>VLOOKUP(H536,Table1[#All],8,FALSE)</f>
        <v>Audio</v>
      </c>
      <c r="J536" t="str" cm="1">
        <f t="array" ref="J536">_xlfn.XLOOKUP(H536,Table1[[#All],[Order ID]],Table1[[#All],[Brand]],0)</f>
        <v>Sony</v>
      </c>
      <c r="K536" t="str">
        <f>INDEX(Table1[[#All],[Product Name]],MATCH(Sheet2!H536,Table1[[#All],[Order ID]],0))</f>
        <v>Headphones</v>
      </c>
    </row>
    <row r="537" spans="1:11" x14ac:dyDescent="0.25">
      <c r="A537" s="6">
        <v>1520</v>
      </c>
      <c r="B537" t="s">
        <v>26</v>
      </c>
      <c r="F537" t="s">
        <v>27</v>
      </c>
      <c r="H537" t="s">
        <v>1345</v>
      </c>
      <c r="I537" t="str">
        <f>VLOOKUP(H537,Table1[#All],8,FALSE)</f>
        <v>Accessories</v>
      </c>
      <c r="J537" t="str" cm="1">
        <f t="array" ref="J537">_xlfn.XLOOKUP(H537,Table1[[#All],[Order ID]],Table1[[#All],[Brand]],0)</f>
        <v>Logitech</v>
      </c>
      <c r="K537" t="str">
        <f>INDEX(Table1[[#All],[Product Name]],MATCH(Sheet2!H537,Table1[[#All],[Order ID]],0))</f>
        <v>Mouse</v>
      </c>
    </row>
    <row r="538" spans="1:11" x14ac:dyDescent="0.25">
      <c r="A538" s="5">
        <v>17100</v>
      </c>
      <c r="B538" t="s">
        <v>39</v>
      </c>
      <c r="F538" t="s">
        <v>40</v>
      </c>
      <c r="H538" t="s">
        <v>1347</v>
      </c>
      <c r="I538" t="str">
        <f>VLOOKUP(H538,Table1[#All],8,FALSE)</f>
        <v>Office</v>
      </c>
      <c r="J538" t="str" cm="1">
        <f t="array" ref="J538">_xlfn.XLOOKUP(H538,Table1[[#All],[Order ID]],Table1[[#All],[Brand]],0)</f>
        <v>Nilkamal</v>
      </c>
      <c r="K538" t="str">
        <f>INDEX(Table1[[#All],[Product Name]],MATCH(Sheet2!H538,Table1[[#All],[Order ID]],0))</f>
        <v>Chair</v>
      </c>
    </row>
    <row r="539" spans="1:11" x14ac:dyDescent="0.25">
      <c r="A539" s="6">
        <v>99000</v>
      </c>
      <c r="B539" t="s">
        <v>53</v>
      </c>
      <c r="F539" t="s">
        <v>27</v>
      </c>
      <c r="H539" t="s">
        <v>1350</v>
      </c>
      <c r="I539" t="str">
        <f>VLOOKUP(H539,Table1[#All],8,FALSE)</f>
        <v>Computers</v>
      </c>
      <c r="J539" t="str" cm="1">
        <f t="array" ref="J539">_xlfn.XLOOKUP(H539,Table1[[#All],[Order ID]],Table1[[#All],[Brand]],0)</f>
        <v>Dell</v>
      </c>
      <c r="K539" t="str">
        <f>INDEX(Table1[[#All],[Product Name]],MATCH(Sheet2!H539,Table1[[#All],[Order ID]],0))</f>
        <v>Laptop</v>
      </c>
    </row>
    <row r="540" spans="1:11" x14ac:dyDescent="0.25">
      <c r="A540" s="5">
        <v>6750</v>
      </c>
      <c r="B540" t="s">
        <v>68</v>
      </c>
      <c r="F540" t="s">
        <v>27</v>
      </c>
      <c r="H540" t="s">
        <v>1352</v>
      </c>
      <c r="I540" t="str">
        <f>VLOOKUP(H540,Table1[#All],8,FALSE)</f>
        <v>Accessories</v>
      </c>
      <c r="J540" t="str" cm="1">
        <f t="array" ref="J540">_xlfn.XLOOKUP(H540,Table1[[#All],[Order ID]],Table1[[#All],[Brand]],0)</f>
        <v>HP</v>
      </c>
      <c r="K540" t="str">
        <f>INDEX(Table1[[#All],[Product Name]],MATCH(Sheet2!H540,Table1[[#All],[Order ID]],0))</f>
        <v>Keyboard</v>
      </c>
    </row>
    <row r="541" spans="1:11" x14ac:dyDescent="0.25">
      <c r="A541" s="6">
        <v>2400</v>
      </c>
      <c r="B541" t="s">
        <v>26</v>
      </c>
      <c r="F541" t="s">
        <v>27</v>
      </c>
      <c r="H541" t="s">
        <v>1353</v>
      </c>
      <c r="I541" t="str">
        <f>VLOOKUP(H541,Table1[#All],8,FALSE)</f>
        <v>Accessories</v>
      </c>
      <c r="J541" t="str" cm="1">
        <f t="array" ref="J541">_xlfn.XLOOKUP(H541,Table1[[#All],[Order ID]],Table1[[#All],[Brand]],0)</f>
        <v>Logitech</v>
      </c>
      <c r="K541" t="str">
        <f>INDEX(Table1[[#All],[Product Name]],MATCH(Sheet2!H541,Table1[[#All],[Order ID]],0))</f>
        <v>Mouse</v>
      </c>
    </row>
    <row r="542" spans="1:11" x14ac:dyDescent="0.25">
      <c r="A542" s="5">
        <v>99000</v>
      </c>
      <c r="B542" t="s">
        <v>53</v>
      </c>
      <c r="F542" t="s">
        <v>27</v>
      </c>
      <c r="H542" t="s">
        <v>1354</v>
      </c>
      <c r="I542" t="str">
        <f>VLOOKUP(H542,Table1[#All],8,FALSE)</f>
        <v>Computers</v>
      </c>
      <c r="J542" t="str" cm="1">
        <f t="array" ref="J542">_xlfn.XLOOKUP(H542,Table1[[#All],[Order ID]],Table1[[#All],[Brand]],0)</f>
        <v>Dell</v>
      </c>
      <c r="K542" t="str">
        <f>INDEX(Table1[[#All],[Product Name]],MATCH(Sheet2!H542,Table1[[#All],[Order ID]],0))</f>
        <v>Laptop</v>
      </c>
    </row>
    <row r="543" spans="1:11" x14ac:dyDescent="0.25">
      <c r="A543" s="6">
        <v>18000</v>
      </c>
      <c r="B543" t="s">
        <v>39</v>
      </c>
      <c r="F543" t="s">
        <v>40</v>
      </c>
      <c r="H543" t="s">
        <v>1357</v>
      </c>
      <c r="I543" t="str">
        <f>VLOOKUP(H543,Table1[#All],8,FALSE)</f>
        <v>Office</v>
      </c>
      <c r="J543" t="str" cm="1">
        <f t="array" ref="J543">_xlfn.XLOOKUP(H543,Table1[[#All],[Order ID]],Table1[[#All],[Brand]],0)</f>
        <v>Nilkamal</v>
      </c>
      <c r="K543" t="str">
        <f>INDEX(Table1[[#All],[Product Name]],MATCH(Sheet2!H543,Table1[[#All],[Order ID]],0))</f>
        <v>Chair</v>
      </c>
    </row>
    <row r="544" spans="1:11" x14ac:dyDescent="0.25">
      <c r="A544" s="5">
        <v>2700</v>
      </c>
      <c r="B544" t="s">
        <v>68</v>
      </c>
      <c r="F544" t="s">
        <v>27</v>
      </c>
      <c r="H544" t="s">
        <v>1359</v>
      </c>
      <c r="I544" t="str">
        <f>VLOOKUP(H544,Table1[#All],8,FALSE)</f>
        <v>Accessories</v>
      </c>
      <c r="J544" t="str" cm="1">
        <f t="array" ref="J544">_xlfn.XLOOKUP(H544,Table1[[#All],[Order ID]],Table1[[#All],[Brand]],0)</f>
        <v>HP</v>
      </c>
      <c r="K544" t="str">
        <f>INDEX(Table1[[#All],[Product Name]],MATCH(Sheet2!H544,Table1[[#All],[Order ID]],0))</f>
        <v>Keyboard</v>
      </c>
    </row>
    <row r="545" spans="1:11" x14ac:dyDescent="0.25">
      <c r="A545" s="6">
        <v>12600</v>
      </c>
      <c r="B545" t="s">
        <v>74</v>
      </c>
      <c r="F545" t="s">
        <v>27</v>
      </c>
      <c r="H545" t="s">
        <v>1361</v>
      </c>
      <c r="I545" t="str">
        <f>VLOOKUP(H545,Table1[#All],8,FALSE)</f>
        <v>Audio</v>
      </c>
      <c r="J545" t="str" cm="1">
        <f t="array" ref="J545">_xlfn.XLOOKUP(H545,Table1[[#All],[Order ID]],Table1[[#All],[Brand]],0)</f>
        <v>Sony</v>
      </c>
      <c r="K545" t="str">
        <f>INDEX(Table1[[#All],[Product Name]],MATCH(Sheet2!H545,Table1[[#All],[Order ID]],0))</f>
        <v>Headphones</v>
      </c>
    </row>
    <row r="546" spans="1:11" x14ac:dyDescent="0.25">
      <c r="A546" s="5">
        <v>4050</v>
      </c>
      <c r="B546" t="s">
        <v>39</v>
      </c>
      <c r="F546" t="s">
        <v>40</v>
      </c>
      <c r="H546" t="s">
        <v>1363</v>
      </c>
      <c r="I546" t="str">
        <f>VLOOKUP(H546,Table1[#All],8,FALSE)</f>
        <v>Office</v>
      </c>
      <c r="J546" t="str" cm="1">
        <f t="array" ref="J546">_xlfn.XLOOKUP(H546,Table1[[#All],[Order ID]],Table1[[#All],[Brand]],0)</f>
        <v>Nilkamal</v>
      </c>
      <c r="K546" t="str">
        <f>INDEX(Table1[[#All],[Product Name]],MATCH(Sheet2!H546,Table1[[#All],[Order ID]],0))</f>
        <v>Chair</v>
      </c>
    </row>
    <row r="547" spans="1:11" x14ac:dyDescent="0.25">
      <c r="A547" s="6">
        <v>19125</v>
      </c>
      <c r="B547" t="s">
        <v>39</v>
      </c>
      <c r="F547" t="s">
        <v>40</v>
      </c>
      <c r="H547" t="s">
        <v>1365</v>
      </c>
      <c r="I547" t="str">
        <f>VLOOKUP(H547,Table1[#All],8,FALSE)</f>
        <v>Office</v>
      </c>
      <c r="J547" t="str" cm="1">
        <f t="array" ref="J547">_xlfn.XLOOKUP(H547,Table1[[#All],[Order ID]],Table1[[#All],[Brand]],0)</f>
        <v>Nilkamal</v>
      </c>
      <c r="K547" t="str">
        <f>INDEX(Table1[[#All],[Product Name]],MATCH(Sheet2!H547,Table1[[#All],[Order ID]],0))</f>
        <v>Chair</v>
      </c>
    </row>
    <row r="548" spans="1:11" x14ac:dyDescent="0.25">
      <c r="A548" s="5">
        <v>2850</v>
      </c>
      <c r="B548" t="s">
        <v>68</v>
      </c>
      <c r="F548" t="s">
        <v>27</v>
      </c>
      <c r="H548" t="s">
        <v>1367</v>
      </c>
      <c r="I548" t="str">
        <f>VLOOKUP(H548,Table1[#All],8,FALSE)</f>
        <v>Accessories</v>
      </c>
      <c r="J548" t="str" cm="1">
        <f t="array" ref="J548">_xlfn.XLOOKUP(H548,Table1[[#All],[Order ID]],Table1[[#All],[Brand]],0)</f>
        <v>HP</v>
      </c>
      <c r="K548" t="str">
        <f>INDEX(Table1[[#All],[Product Name]],MATCH(Sheet2!H548,Table1[[#All],[Order ID]],0))</f>
        <v>Keyboard</v>
      </c>
    </row>
    <row r="549" spans="1:11" x14ac:dyDescent="0.25">
      <c r="A549" s="6">
        <v>22500</v>
      </c>
      <c r="B549" t="s">
        <v>39</v>
      </c>
      <c r="F549" t="s">
        <v>40</v>
      </c>
      <c r="H549" t="s">
        <v>1370</v>
      </c>
      <c r="I549" t="str">
        <f>VLOOKUP(H549,Table1[#All],8,FALSE)</f>
        <v>Office</v>
      </c>
      <c r="J549" t="str" cm="1">
        <f t="array" ref="J549">_xlfn.XLOOKUP(H549,Table1[[#All],[Order ID]],Table1[[#All],[Brand]],0)</f>
        <v>Nilkamal</v>
      </c>
      <c r="K549" t="str">
        <f>INDEX(Table1[[#All],[Product Name]],MATCH(Sheet2!H549,Table1[[#All],[Order ID]],0))</f>
        <v>Chair</v>
      </c>
    </row>
    <row r="550" spans="1:11" x14ac:dyDescent="0.25">
      <c r="A550" s="5">
        <v>2975</v>
      </c>
      <c r="B550" t="s">
        <v>74</v>
      </c>
      <c r="F550" t="s">
        <v>27</v>
      </c>
      <c r="H550" t="s">
        <v>1373</v>
      </c>
      <c r="I550" t="str">
        <f>VLOOKUP(H550,Table1[#All],8,FALSE)</f>
        <v>Audio</v>
      </c>
      <c r="J550" t="str" cm="1">
        <f t="array" ref="J550">_xlfn.XLOOKUP(H550,Table1[[#All],[Order ID]],Table1[[#All],[Brand]],0)</f>
        <v>Sony</v>
      </c>
      <c r="K550" t="str">
        <f>INDEX(Table1[[#All],[Product Name]],MATCH(Sheet2!H550,Table1[[#All],[Order ID]],0))</f>
        <v>Headphones</v>
      </c>
    </row>
    <row r="551" spans="1:11" x14ac:dyDescent="0.25">
      <c r="A551" s="6">
        <v>4500</v>
      </c>
      <c r="B551" t="s">
        <v>68</v>
      </c>
      <c r="F551" t="s">
        <v>27</v>
      </c>
      <c r="H551" t="s">
        <v>1375</v>
      </c>
      <c r="I551" t="str">
        <f>VLOOKUP(H551,Table1[#All],8,FALSE)</f>
        <v>Accessories</v>
      </c>
      <c r="J551" t="str" cm="1">
        <f t="array" ref="J551">_xlfn.XLOOKUP(H551,Table1[[#All],[Order ID]],Table1[[#All],[Brand]],0)</f>
        <v>HP</v>
      </c>
      <c r="K551" t="str">
        <f>INDEX(Table1[[#All],[Product Name]],MATCH(Sheet2!H551,Table1[[#All],[Order ID]],0))</f>
        <v>Keyboard</v>
      </c>
    </row>
    <row r="552" spans="1:11" x14ac:dyDescent="0.25">
      <c r="A552" s="5">
        <v>17500</v>
      </c>
      <c r="B552" t="s">
        <v>74</v>
      </c>
      <c r="F552" t="s">
        <v>27</v>
      </c>
      <c r="H552" t="s">
        <v>1377</v>
      </c>
      <c r="I552" t="str">
        <f>VLOOKUP(H552,Table1[#All],8,FALSE)</f>
        <v>Audio</v>
      </c>
      <c r="J552" t="str" cm="1">
        <f t="array" ref="J552">_xlfn.XLOOKUP(H552,Table1[[#All],[Order ID]],Table1[[#All],[Brand]],0)</f>
        <v>Sony</v>
      </c>
      <c r="K552" t="str">
        <f>INDEX(Table1[[#All],[Product Name]],MATCH(Sheet2!H552,Table1[[#All],[Order ID]],0))</f>
        <v>Headphones</v>
      </c>
    </row>
    <row r="553" spans="1:11" x14ac:dyDescent="0.25">
      <c r="A553" s="6">
        <v>2850</v>
      </c>
      <c r="B553" t="s">
        <v>68</v>
      </c>
      <c r="F553" t="s">
        <v>27</v>
      </c>
      <c r="H553" t="s">
        <v>1378</v>
      </c>
      <c r="I553" t="str">
        <f>VLOOKUP(H553,Table1[#All],8,FALSE)</f>
        <v>Accessories</v>
      </c>
      <c r="J553" t="str" cm="1">
        <f t="array" ref="J553">_xlfn.XLOOKUP(H553,Table1[[#All],[Order ID]],Table1[[#All],[Brand]],0)</f>
        <v>HP</v>
      </c>
      <c r="K553" t="str">
        <f>INDEX(Table1[[#All],[Product Name]],MATCH(Sheet2!H553,Table1[[#All],[Order ID]],0))</f>
        <v>Keyboard</v>
      </c>
    </row>
    <row r="554" spans="1:11" x14ac:dyDescent="0.25">
      <c r="A554" s="5">
        <v>8925</v>
      </c>
      <c r="B554" t="s">
        <v>74</v>
      </c>
      <c r="F554" t="s">
        <v>27</v>
      </c>
      <c r="H554" t="s">
        <v>1380</v>
      </c>
      <c r="I554" t="str">
        <f>VLOOKUP(H554,Table1[#All],8,FALSE)</f>
        <v>Audio</v>
      </c>
      <c r="J554" t="str" cm="1">
        <f t="array" ref="J554">_xlfn.XLOOKUP(H554,Table1[[#All],[Order ID]],Table1[[#All],[Brand]],0)</f>
        <v>Sony</v>
      </c>
      <c r="K554" t="str">
        <f>INDEX(Table1[[#All],[Product Name]],MATCH(Sheet2!H554,Table1[[#All],[Order ID]],0))</f>
        <v>Headphones</v>
      </c>
    </row>
    <row r="555" spans="1:11" x14ac:dyDescent="0.25">
      <c r="A555" s="6">
        <v>22500</v>
      </c>
      <c r="B555" t="s">
        <v>39</v>
      </c>
      <c r="F555" t="s">
        <v>40</v>
      </c>
      <c r="H555" t="s">
        <v>1382</v>
      </c>
      <c r="I555" t="str">
        <f>VLOOKUP(H555,Table1[#All],8,FALSE)</f>
        <v>Office</v>
      </c>
      <c r="J555" t="str" cm="1">
        <f t="array" ref="J555">_xlfn.XLOOKUP(H555,Table1[[#All],[Order ID]],Table1[[#All],[Brand]],0)</f>
        <v>Nilkamal</v>
      </c>
      <c r="K555" t="str">
        <f>INDEX(Table1[[#All],[Product Name]],MATCH(Sheet2!H555,Table1[[#All],[Order ID]],0))</f>
        <v>Chair</v>
      </c>
    </row>
    <row r="556" spans="1:11" x14ac:dyDescent="0.25">
      <c r="A556" s="5">
        <v>4500</v>
      </c>
      <c r="B556" t="s">
        <v>39</v>
      </c>
      <c r="F556" t="s">
        <v>40</v>
      </c>
      <c r="H556" t="s">
        <v>1384</v>
      </c>
      <c r="I556" t="str">
        <f>VLOOKUP(H556,Table1[#All],8,FALSE)</f>
        <v>Office</v>
      </c>
      <c r="J556" t="str" cm="1">
        <f t="array" ref="J556">_xlfn.XLOOKUP(H556,Table1[[#All],[Order ID]],Table1[[#All],[Brand]],0)</f>
        <v>Nilkamal</v>
      </c>
      <c r="K556" t="str">
        <f>INDEX(Table1[[#All],[Product Name]],MATCH(Sheet2!H556,Table1[[#All],[Order ID]],0))</f>
        <v>Chair</v>
      </c>
    </row>
    <row r="557" spans="1:11" x14ac:dyDescent="0.25">
      <c r="A557" s="6">
        <v>19125</v>
      </c>
      <c r="B557" t="s">
        <v>39</v>
      </c>
      <c r="F557" t="s">
        <v>40</v>
      </c>
      <c r="H557" t="s">
        <v>1386</v>
      </c>
      <c r="I557" t="str">
        <f>VLOOKUP(H557,Table1[#All],8,FALSE)</f>
        <v>Office</v>
      </c>
      <c r="J557" t="str" cm="1">
        <f t="array" ref="J557">_xlfn.XLOOKUP(H557,Table1[[#All],[Order ID]],Table1[[#All],[Brand]],0)</f>
        <v>Nilkamal</v>
      </c>
      <c r="K557" t="str">
        <f>INDEX(Table1[[#All],[Product Name]],MATCH(Sheet2!H557,Table1[[#All],[Order ID]],0))</f>
        <v>Chair</v>
      </c>
    </row>
    <row r="558" spans="1:11" x14ac:dyDescent="0.25">
      <c r="A558" s="5">
        <v>22500</v>
      </c>
      <c r="B558" t="s">
        <v>39</v>
      </c>
      <c r="F558" t="s">
        <v>40</v>
      </c>
      <c r="H558" t="s">
        <v>1388</v>
      </c>
      <c r="I558" t="str">
        <f>VLOOKUP(H558,Table1[#All],8,FALSE)</f>
        <v>Office</v>
      </c>
      <c r="J558" t="str" cm="1">
        <f t="array" ref="J558">_xlfn.XLOOKUP(H558,Table1[[#All],[Order ID]],Table1[[#All],[Brand]],0)</f>
        <v>Nilkamal</v>
      </c>
      <c r="K558" t="str">
        <f>INDEX(Table1[[#All],[Product Name]],MATCH(Sheet2!H558,Table1[[#All],[Order ID]],0))</f>
        <v>Chair</v>
      </c>
    </row>
    <row r="559" spans="1:11" x14ac:dyDescent="0.25">
      <c r="A559" s="6">
        <v>15750</v>
      </c>
      <c r="B559" t="s">
        <v>74</v>
      </c>
      <c r="F559" t="s">
        <v>27</v>
      </c>
      <c r="H559" t="s">
        <v>1390</v>
      </c>
      <c r="I559" t="str">
        <f>VLOOKUP(H559,Table1[#All],8,FALSE)</f>
        <v>Audio</v>
      </c>
      <c r="J559" t="str" cm="1">
        <f t="array" ref="J559">_xlfn.XLOOKUP(H559,Table1[[#All],[Order ID]],Table1[[#All],[Brand]],0)</f>
        <v>Sony</v>
      </c>
      <c r="K559" t="str">
        <f>INDEX(Table1[[#All],[Product Name]],MATCH(Sheet2!H559,Table1[[#All],[Order ID]],0))</f>
        <v>Headphones</v>
      </c>
    </row>
    <row r="560" spans="1:11" x14ac:dyDescent="0.25">
      <c r="A560" s="5">
        <v>6000</v>
      </c>
      <c r="B560" t="s">
        <v>68</v>
      </c>
      <c r="F560" t="s">
        <v>27</v>
      </c>
      <c r="H560" t="s">
        <v>1393</v>
      </c>
      <c r="I560" t="str">
        <f>VLOOKUP(H560,Table1[#All],8,FALSE)</f>
        <v>Accessories</v>
      </c>
      <c r="J560" t="str" cm="1">
        <f t="array" ref="J560">_xlfn.XLOOKUP(H560,Table1[[#All],[Order ID]],Table1[[#All],[Brand]],0)</f>
        <v>HP</v>
      </c>
      <c r="K560" t="str">
        <f>INDEX(Table1[[#All],[Product Name]],MATCH(Sheet2!H560,Table1[[#All],[Order ID]],0))</f>
        <v>Keyboard</v>
      </c>
    </row>
    <row r="561" spans="1:11" x14ac:dyDescent="0.25">
      <c r="A561" s="6">
        <v>1600</v>
      </c>
      <c r="B561" t="s">
        <v>26</v>
      </c>
      <c r="F561" t="s">
        <v>27</v>
      </c>
      <c r="H561" t="s">
        <v>1395</v>
      </c>
      <c r="I561" t="str">
        <f>VLOOKUP(H561,Table1[#All],8,FALSE)</f>
        <v>Accessories</v>
      </c>
      <c r="J561" t="str" cm="1">
        <f t="array" ref="J561">_xlfn.XLOOKUP(H561,Table1[[#All],[Order ID]],Table1[[#All],[Brand]],0)</f>
        <v>Logitech</v>
      </c>
      <c r="K561" t="str">
        <f>INDEX(Table1[[#All],[Product Name]],MATCH(Sheet2!H561,Table1[[#All],[Order ID]],0))</f>
        <v>Mouse</v>
      </c>
    </row>
    <row r="562" spans="1:11" x14ac:dyDescent="0.25">
      <c r="A562" s="5">
        <v>14875</v>
      </c>
      <c r="B562" t="s">
        <v>74</v>
      </c>
      <c r="F562" t="s">
        <v>27</v>
      </c>
      <c r="H562" t="s">
        <v>1397</v>
      </c>
      <c r="I562" t="str">
        <f>VLOOKUP(H562,Table1[#All],8,FALSE)</f>
        <v>Audio</v>
      </c>
      <c r="J562" t="str" cm="1">
        <f t="array" ref="J562">_xlfn.XLOOKUP(H562,Table1[[#All],[Order ID]],Table1[[#All],[Brand]],0)</f>
        <v>Sony</v>
      </c>
      <c r="K562" t="str">
        <f>INDEX(Table1[[#All],[Product Name]],MATCH(Sheet2!H562,Table1[[#All],[Order ID]],0))</f>
        <v>Headphones</v>
      </c>
    </row>
    <row r="563" spans="1:11" x14ac:dyDescent="0.25">
      <c r="A563" s="6">
        <v>18000</v>
      </c>
      <c r="B563" t="s">
        <v>39</v>
      </c>
      <c r="F563" t="s">
        <v>40</v>
      </c>
      <c r="H563" t="s">
        <v>1399</v>
      </c>
      <c r="I563" t="str">
        <f>VLOOKUP(H563,Table1[#All],8,FALSE)</f>
        <v>Office</v>
      </c>
      <c r="J563" t="str" cm="1">
        <f t="array" ref="J563">_xlfn.XLOOKUP(H563,Table1[[#All],[Order ID]],Table1[[#All],[Brand]],0)</f>
        <v>Nilkamal</v>
      </c>
      <c r="K563" t="str">
        <f>INDEX(Table1[[#All],[Product Name]],MATCH(Sheet2!H563,Table1[[#All],[Order ID]],0))</f>
        <v>Chair</v>
      </c>
    </row>
    <row r="564" spans="1:11" x14ac:dyDescent="0.25">
      <c r="A564" s="5">
        <v>3200</v>
      </c>
      <c r="B564" t="s">
        <v>26</v>
      </c>
      <c r="F564" t="s">
        <v>27</v>
      </c>
      <c r="H564" t="s">
        <v>1400</v>
      </c>
      <c r="I564" t="str">
        <f>VLOOKUP(H564,Table1[#All],8,FALSE)</f>
        <v>Accessories</v>
      </c>
      <c r="J564" t="str" cm="1">
        <f t="array" ref="J564">_xlfn.XLOOKUP(H564,Table1[[#All],[Order ID]],Table1[[#All],[Brand]],0)</f>
        <v>Logitech</v>
      </c>
      <c r="K564" t="str">
        <f>INDEX(Table1[[#All],[Product Name]],MATCH(Sheet2!H564,Table1[[#All],[Order ID]],0))</f>
        <v>Mouse</v>
      </c>
    </row>
    <row r="565" spans="1:11" x14ac:dyDescent="0.25">
      <c r="A565" s="6">
        <v>12825</v>
      </c>
      <c r="B565" t="s">
        <v>39</v>
      </c>
      <c r="F565" t="s">
        <v>40</v>
      </c>
      <c r="H565" t="s">
        <v>1401</v>
      </c>
      <c r="I565" t="str">
        <f>VLOOKUP(H565,Table1[#All],8,FALSE)</f>
        <v>Office</v>
      </c>
      <c r="J565" t="str" cm="1">
        <f t="array" ref="J565">_xlfn.XLOOKUP(H565,Table1[[#All],[Order ID]],Table1[[#All],[Brand]],0)</f>
        <v>Nilkamal</v>
      </c>
      <c r="K565" t="str">
        <f>INDEX(Table1[[#All],[Product Name]],MATCH(Sheet2!H565,Table1[[#All],[Order ID]],0))</f>
        <v>Chair</v>
      </c>
    </row>
    <row r="566" spans="1:11" x14ac:dyDescent="0.25">
      <c r="A566" s="5">
        <v>9000</v>
      </c>
      <c r="B566" t="s">
        <v>39</v>
      </c>
      <c r="F566" t="s">
        <v>40</v>
      </c>
      <c r="H566" t="s">
        <v>1402</v>
      </c>
      <c r="I566" t="str">
        <f>VLOOKUP(H566,Table1[#All],8,FALSE)</f>
        <v>Office</v>
      </c>
      <c r="J566" t="str" cm="1">
        <f t="array" ref="J566">_xlfn.XLOOKUP(H566,Table1[[#All],[Order ID]],Table1[[#All],[Brand]],0)</f>
        <v>Nilkamal</v>
      </c>
      <c r="K566" t="str">
        <f>INDEX(Table1[[#All],[Product Name]],MATCH(Sheet2!H566,Table1[[#All],[Order ID]],0))</f>
        <v>Chair</v>
      </c>
    </row>
    <row r="567" spans="1:11" x14ac:dyDescent="0.25">
      <c r="A567" s="6">
        <v>6750</v>
      </c>
      <c r="B567" t="s">
        <v>68</v>
      </c>
      <c r="F567" t="s">
        <v>27</v>
      </c>
      <c r="H567" t="s">
        <v>1404</v>
      </c>
      <c r="I567" t="str">
        <f>VLOOKUP(H567,Table1[#All],8,FALSE)</f>
        <v>Accessories</v>
      </c>
      <c r="J567" t="str" cm="1">
        <f t="array" ref="J567">_xlfn.XLOOKUP(H567,Table1[[#All],[Order ID]],Table1[[#All],[Brand]],0)</f>
        <v>HP</v>
      </c>
      <c r="K567" t="str">
        <f>INDEX(Table1[[#All],[Product Name]],MATCH(Sheet2!H567,Table1[[#All],[Order ID]],0))</f>
        <v>Keyboard</v>
      </c>
    </row>
    <row r="568" spans="1:11" x14ac:dyDescent="0.25">
      <c r="A568" s="5">
        <v>3325</v>
      </c>
      <c r="B568" t="s">
        <v>74</v>
      </c>
      <c r="F568" t="s">
        <v>27</v>
      </c>
      <c r="H568" t="s">
        <v>1405</v>
      </c>
      <c r="I568" t="str">
        <f>VLOOKUP(H568,Table1[#All],8,FALSE)</f>
        <v>Audio</v>
      </c>
      <c r="J568" t="str" cm="1">
        <f t="array" ref="J568">_xlfn.XLOOKUP(H568,Table1[[#All],[Order ID]],Table1[[#All],[Brand]],0)</f>
        <v>Sony</v>
      </c>
      <c r="K568" t="str">
        <f>INDEX(Table1[[#All],[Product Name]],MATCH(Sheet2!H568,Table1[[#All],[Order ID]],0))</f>
        <v>Headphones</v>
      </c>
    </row>
    <row r="569" spans="1:11" x14ac:dyDescent="0.25">
      <c r="A569" s="6">
        <v>2850</v>
      </c>
      <c r="B569" t="s">
        <v>68</v>
      </c>
      <c r="F569" t="s">
        <v>27</v>
      </c>
      <c r="H569" t="s">
        <v>1408</v>
      </c>
      <c r="I569" t="str">
        <f>VLOOKUP(H569,Table1[#All],8,FALSE)</f>
        <v>Accessories</v>
      </c>
      <c r="J569" t="str" cm="1">
        <f t="array" ref="J569">_xlfn.XLOOKUP(H569,Table1[[#All],[Order ID]],Table1[[#All],[Brand]],0)</f>
        <v>HP</v>
      </c>
      <c r="K569" t="str">
        <f>INDEX(Table1[[#All],[Product Name]],MATCH(Sheet2!H569,Table1[[#All],[Order ID]],0))</f>
        <v>Keyboard</v>
      </c>
    </row>
    <row r="570" spans="1:11" x14ac:dyDescent="0.25">
      <c r="A570" s="5">
        <v>2700</v>
      </c>
      <c r="B570" t="s">
        <v>68</v>
      </c>
      <c r="F570" t="s">
        <v>27</v>
      </c>
      <c r="H570" t="s">
        <v>1409</v>
      </c>
      <c r="I570" t="str">
        <f>VLOOKUP(H570,Table1[#All],8,FALSE)</f>
        <v>Accessories</v>
      </c>
      <c r="J570" t="str" cm="1">
        <f t="array" ref="J570">_xlfn.XLOOKUP(H570,Table1[[#All],[Order ID]],Table1[[#All],[Brand]],0)</f>
        <v>HP</v>
      </c>
      <c r="K570" t="str">
        <f>INDEX(Table1[[#All],[Product Name]],MATCH(Sheet2!H570,Table1[[#All],[Order ID]],0))</f>
        <v>Keyboard</v>
      </c>
    </row>
    <row r="571" spans="1:11" x14ac:dyDescent="0.25">
      <c r="A571" s="6">
        <v>18000</v>
      </c>
      <c r="B571" t="s">
        <v>39</v>
      </c>
      <c r="F571" t="s">
        <v>40</v>
      </c>
      <c r="H571" t="s">
        <v>1410</v>
      </c>
      <c r="I571" t="str">
        <f>VLOOKUP(H571,Table1[#All],8,FALSE)</f>
        <v>Office</v>
      </c>
      <c r="J571" t="str" cm="1">
        <f t="array" ref="J571">_xlfn.XLOOKUP(H571,Table1[[#All],[Order ID]],Table1[[#All],[Brand]],0)</f>
        <v>Nilkamal</v>
      </c>
      <c r="K571" t="str">
        <f>INDEX(Table1[[#All],[Product Name]],MATCH(Sheet2!H571,Table1[[#All],[Order ID]],0))</f>
        <v>Chair</v>
      </c>
    </row>
    <row r="572" spans="1:11" x14ac:dyDescent="0.25">
      <c r="A572" s="5">
        <v>4000</v>
      </c>
      <c r="B572" t="s">
        <v>26</v>
      </c>
      <c r="F572" t="s">
        <v>27</v>
      </c>
      <c r="H572" t="s">
        <v>1411</v>
      </c>
      <c r="I572" t="str">
        <f>VLOOKUP(H572,Table1[#All],8,FALSE)</f>
        <v>Accessories</v>
      </c>
      <c r="J572" t="str" cm="1">
        <f t="array" ref="J572">_xlfn.XLOOKUP(H572,Table1[[#All],[Order ID]],Table1[[#All],[Brand]],0)</f>
        <v>Logitech</v>
      </c>
      <c r="K572" t="str">
        <f>INDEX(Table1[[#All],[Product Name]],MATCH(Sheet2!H572,Table1[[#All],[Order ID]],0))</f>
        <v>Mouse</v>
      </c>
    </row>
    <row r="573" spans="1:11" x14ac:dyDescent="0.25">
      <c r="A573" s="6">
        <v>156750</v>
      </c>
      <c r="B573" t="s">
        <v>53</v>
      </c>
      <c r="F573" t="s">
        <v>27</v>
      </c>
      <c r="H573" t="s">
        <v>1412</v>
      </c>
      <c r="I573" t="str">
        <f>VLOOKUP(H573,Table1[#All],8,FALSE)</f>
        <v>Computers</v>
      </c>
      <c r="J573" t="str" cm="1">
        <f t="array" ref="J573">_xlfn.XLOOKUP(H573,Table1[[#All],[Order ID]],Table1[[#All],[Brand]],0)</f>
        <v>Dell</v>
      </c>
      <c r="K573" t="str">
        <f>INDEX(Table1[[#All],[Product Name]],MATCH(Sheet2!H573,Table1[[#All],[Order ID]],0))</f>
        <v>Laptop</v>
      </c>
    </row>
    <row r="574" spans="1:11" x14ac:dyDescent="0.25">
      <c r="A574" s="5">
        <v>104500</v>
      </c>
      <c r="B574" t="s">
        <v>53</v>
      </c>
      <c r="F574" t="s">
        <v>27</v>
      </c>
      <c r="H574" t="s">
        <v>1414</v>
      </c>
      <c r="I574" t="str">
        <f>VLOOKUP(H574,Table1[#All],8,FALSE)</f>
        <v>Computers</v>
      </c>
      <c r="J574" t="str" cm="1">
        <f t="array" ref="J574">_xlfn.XLOOKUP(H574,Table1[[#All],[Order ID]],Table1[[#All],[Brand]],0)</f>
        <v>Dell</v>
      </c>
      <c r="K574" t="str">
        <f>INDEX(Table1[[#All],[Product Name]],MATCH(Sheet2!H574,Table1[[#All],[Order ID]],0))</f>
        <v>Laptop</v>
      </c>
    </row>
    <row r="575" spans="1:11" x14ac:dyDescent="0.25">
      <c r="A575" s="6">
        <v>2550</v>
      </c>
      <c r="B575" t="s">
        <v>68</v>
      </c>
      <c r="F575" t="s">
        <v>27</v>
      </c>
      <c r="H575" t="s">
        <v>1416</v>
      </c>
      <c r="I575" t="str">
        <f>VLOOKUP(H575,Table1[#All],8,FALSE)</f>
        <v>Accessories</v>
      </c>
      <c r="J575" t="str" cm="1">
        <f t="array" ref="J575">_xlfn.XLOOKUP(H575,Table1[[#All],[Order ID]],Table1[[#All],[Brand]],0)</f>
        <v>HP</v>
      </c>
      <c r="K575" t="str">
        <f>INDEX(Table1[[#All],[Product Name]],MATCH(Sheet2!H575,Table1[[#All],[Order ID]],0))</f>
        <v>Keyboard</v>
      </c>
    </row>
    <row r="576" spans="1:11" x14ac:dyDescent="0.25">
      <c r="A576" s="5">
        <v>4050</v>
      </c>
      <c r="B576" t="s">
        <v>68</v>
      </c>
      <c r="F576" t="s">
        <v>27</v>
      </c>
      <c r="H576" t="s">
        <v>1418</v>
      </c>
      <c r="I576" t="str">
        <f>VLOOKUP(H576,Table1[#All],8,FALSE)</f>
        <v>Accessories</v>
      </c>
      <c r="J576" t="str" cm="1">
        <f t="array" ref="J576">_xlfn.XLOOKUP(H576,Table1[[#All],[Order ID]],Table1[[#All],[Brand]],0)</f>
        <v>HP</v>
      </c>
      <c r="K576" t="str">
        <f>INDEX(Table1[[#All],[Product Name]],MATCH(Sheet2!H576,Table1[[#All],[Order ID]],0))</f>
        <v>Keyboard</v>
      </c>
    </row>
    <row r="577" spans="1:11" x14ac:dyDescent="0.25">
      <c r="A577" s="6">
        <v>198000</v>
      </c>
      <c r="B577" t="s">
        <v>53</v>
      </c>
      <c r="F577" t="s">
        <v>27</v>
      </c>
      <c r="H577" t="s">
        <v>1420</v>
      </c>
      <c r="I577" t="str">
        <f>VLOOKUP(H577,Table1[#All],8,FALSE)</f>
        <v>Computers</v>
      </c>
      <c r="J577" t="str" cm="1">
        <f t="array" ref="J577">_xlfn.XLOOKUP(H577,Table1[[#All],[Order ID]],Table1[[#All],[Brand]],0)</f>
        <v>Dell</v>
      </c>
      <c r="K577" t="str">
        <f>INDEX(Table1[[#All],[Product Name]],MATCH(Sheet2!H577,Table1[[#All],[Order ID]],0))</f>
        <v>Laptop</v>
      </c>
    </row>
    <row r="578" spans="1:11" x14ac:dyDescent="0.25">
      <c r="A578" s="5">
        <v>3500</v>
      </c>
      <c r="B578" t="s">
        <v>74</v>
      </c>
      <c r="F578" t="s">
        <v>27</v>
      </c>
      <c r="H578" t="s">
        <v>1422</v>
      </c>
      <c r="I578" t="str">
        <f>VLOOKUP(H578,Table1[#All],8,FALSE)</f>
        <v>Audio</v>
      </c>
      <c r="J578" t="str" cm="1">
        <f t="array" ref="J578">_xlfn.XLOOKUP(H578,Table1[[#All],[Order ID]],Table1[[#All],[Brand]],0)</f>
        <v>Sony</v>
      </c>
      <c r="K578" t="str">
        <f>INDEX(Table1[[#All],[Product Name]],MATCH(Sheet2!H578,Table1[[#All],[Order ID]],0))</f>
        <v>Headphones</v>
      </c>
    </row>
    <row r="579" spans="1:11" x14ac:dyDescent="0.25">
      <c r="A579" s="6">
        <v>16625</v>
      </c>
      <c r="B579" t="s">
        <v>74</v>
      </c>
      <c r="F579" t="s">
        <v>27</v>
      </c>
      <c r="H579" t="s">
        <v>1425</v>
      </c>
      <c r="I579" t="str">
        <f>VLOOKUP(H579,Table1[#All],8,FALSE)</f>
        <v>Audio</v>
      </c>
      <c r="J579" t="str" cm="1">
        <f t="array" ref="J579">_xlfn.XLOOKUP(H579,Table1[[#All],[Order ID]],Table1[[#All],[Brand]],0)</f>
        <v>Sony</v>
      </c>
      <c r="K579" t="str">
        <f>INDEX(Table1[[#All],[Product Name]],MATCH(Sheet2!H579,Table1[[#All],[Order ID]],0))</f>
        <v>Headphones</v>
      </c>
    </row>
    <row r="580" spans="1:11" x14ac:dyDescent="0.25">
      <c r="A580" s="5">
        <v>14875</v>
      </c>
      <c r="B580" t="s">
        <v>74</v>
      </c>
      <c r="F580" t="s">
        <v>27</v>
      </c>
      <c r="H580" t="s">
        <v>1427</v>
      </c>
      <c r="I580" t="str">
        <f>VLOOKUP(H580,Table1[#All],8,FALSE)</f>
        <v>Audio</v>
      </c>
      <c r="J580" t="str" cm="1">
        <f t="array" ref="J580">_xlfn.XLOOKUP(H580,Table1[[#All],[Order ID]],Table1[[#All],[Brand]],0)</f>
        <v>Sony</v>
      </c>
      <c r="K580" t="str">
        <f>INDEX(Table1[[#All],[Product Name]],MATCH(Sheet2!H580,Table1[[#All],[Order ID]],0))</f>
        <v>Headphones</v>
      </c>
    </row>
    <row r="581" spans="1:11" x14ac:dyDescent="0.25">
      <c r="A581" s="6">
        <v>4275</v>
      </c>
      <c r="B581" t="s">
        <v>39</v>
      </c>
      <c r="F581" t="s">
        <v>40</v>
      </c>
      <c r="H581" t="s">
        <v>1429</v>
      </c>
      <c r="I581" t="str">
        <f>VLOOKUP(H581,Table1[#All],8,FALSE)</f>
        <v>Office</v>
      </c>
      <c r="J581" t="str" cm="1">
        <f t="array" ref="J581">_xlfn.XLOOKUP(H581,Table1[[#All],[Order ID]],Table1[[#All],[Brand]],0)</f>
        <v>Nilkamal</v>
      </c>
      <c r="K581" t="str">
        <f>INDEX(Table1[[#All],[Product Name]],MATCH(Sheet2!H581,Table1[[#All],[Order ID]],0))</f>
        <v>Chair</v>
      </c>
    </row>
    <row r="582" spans="1:11" x14ac:dyDescent="0.25">
      <c r="A582" s="5">
        <v>7000</v>
      </c>
      <c r="B582" t="s">
        <v>74</v>
      </c>
      <c r="F582" t="s">
        <v>27</v>
      </c>
      <c r="H582" t="s">
        <v>1431</v>
      </c>
      <c r="I582" t="str">
        <f>VLOOKUP(H582,Table1[#All],8,FALSE)</f>
        <v>Audio</v>
      </c>
      <c r="J582" t="str" cm="1">
        <f t="array" ref="J582">_xlfn.XLOOKUP(H582,Table1[[#All],[Order ID]],Table1[[#All],[Brand]],0)</f>
        <v>Sony</v>
      </c>
      <c r="K582" t="str">
        <f>INDEX(Table1[[#All],[Product Name]],MATCH(Sheet2!H582,Table1[[#All],[Order ID]],0))</f>
        <v>Headphones</v>
      </c>
    </row>
    <row r="583" spans="1:11" x14ac:dyDescent="0.25">
      <c r="A583" s="6">
        <v>16200</v>
      </c>
      <c r="B583" t="s">
        <v>39</v>
      </c>
      <c r="F583" t="s">
        <v>40</v>
      </c>
      <c r="H583" t="s">
        <v>1433</v>
      </c>
      <c r="I583" t="str">
        <f>VLOOKUP(H583,Table1[#All],8,FALSE)</f>
        <v>Office</v>
      </c>
      <c r="J583" t="str" cm="1">
        <f t="array" ref="J583">_xlfn.XLOOKUP(H583,Table1[[#All],[Order ID]],Table1[[#All],[Brand]],0)</f>
        <v>Nilkamal</v>
      </c>
      <c r="K583" t="str">
        <f>INDEX(Table1[[#All],[Product Name]],MATCH(Sheet2!H583,Table1[[#All],[Order ID]],0))</f>
        <v>Chair</v>
      </c>
    </row>
    <row r="584" spans="1:11" x14ac:dyDescent="0.25">
      <c r="A584" s="5">
        <v>7500</v>
      </c>
      <c r="B584" t="s">
        <v>68</v>
      </c>
      <c r="F584" t="s">
        <v>27</v>
      </c>
      <c r="H584" t="s">
        <v>1435</v>
      </c>
      <c r="I584" t="str">
        <f>VLOOKUP(H584,Table1[#All],8,FALSE)</f>
        <v>Accessories</v>
      </c>
      <c r="J584" t="str" cm="1">
        <f t="array" ref="J584">_xlfn.XLOOKUP(H584,Table1[[#All],[Order ID]],Table1[[#All],[Brand]],0)</f>
        <v>HP</v>
      </c>
      <c r="K584" t="str">
        <f>INDEX(Table1[[#All],[Product Name]],MATCH(Sheet2!H584,Table1[[#All],[Order ID]],0))</f>
        <v>Keyboard</v>
      </c>
    </row>
    <row r="585" spans="1:11" x14ac:dyDescent="0.25">
      <c r="A585" s="6">
        <v>187000</v>
      </c>
      <c r="B585" t="s">
        <v>53</v>
      </c>
      <c r="F585" t="s">
        <v>27</v>
      </c>
      <c r="H585" t="s">
        <v>1437</v>
      </c>
      <c r="I585" t="str">
        <f>VLOOKUP(H585,Table1[#All],8,FALSE)</f>
        <v>Computers</v>
      </c>
      <c r="J585" t="str" cm="1">
        <f t="array" ref="J585">_xlfn.XLOOKUP(H585,Table1[[#All],[Order ID]],Table1[[#All],[Brand]],0)</f>
        <v>Dell</v>
      </c>
      <c r="K585" t="str">
        <f>INDEX(Table1[[#All],[Product Name]],MATCH(Sheet2!H585,Table1[[#All],[Order ID]],0))</f>
        <v>Laptop</v>
      </c>
    </row>
    <row r="586" spans="1:11" x14ac:dyDescent="0.25">
      <c r="A586" s="5">
        <v>6650</v>
      </c>
      <c r="B586" t="s">
        <v>74</v>
      </c>
      <c r="F586" t="s">
        <v>27</v>
      </c>
      <c r="H586" t="s">
        <v>1439</v>
      </c>
      <c r="I586" t="str">
        <f>VLOOKUP(H586,Table1[#All],8,FALSE)</f>
        <v>Audio</v>
      </c>
      <c r="J586" t="str" cm="1">
        <f t="array" ref="J586">_xlfn.XLOOKUP(H586,Table1[[#All],[Order ID]],Table1[[#All],[Brand]],0)</f>
        <v>Sony</v>
      </c>
      <c r="K586" t="str">
        <f>INDEX(Table1[[#All],[Product Name]],MATCH(Sheet2!H586,Table1[[#All],[Order ID]],0))</f>
        <v>Headphones</v>
      </c>
    </row>
    <row r="587" spans="1:11" x14ac:dyDescent="0.25">
      <c r="A587" s="6">
        <v>5950</v>
      </c>
      <c r="B587" t="s">
        <v>74</v>
      </c>
      <c r="F587" t="s">
        <v>27</v>
      </c>
      <c r="H587" t="s">
        <v>1441</v>
      </c>
      <c r="I587" t="str">
        <f>VLOOKUP(H587,Table1[#All],8,FALSE)</f>
        <v>Audio</v>
      </c>
      <c r="J587" t="str" cm="1">
        <f t="array" ref="J587">_xlfn.XLOOKUP(H587,Table1[[#All],[Order ID]],Table1[[#All],[Brand]],0)</f>
        <v>Sony</v>
      </c>
      <c r="K587" t="str">
        <f>INDEX(Table1[[#All],[Product Name]],MATCH(Sheet2!H587,Table1[[#All],[Order ID]],0))</f>
        <v>Headphones</v>
      </c>
    </row>
    <row r="588" spans="1:11" x14ac:dyDescent="0.25">
      <c r="A588" s="5">
        <v>233750</v>
      </c>
      <c r="B588" t="s">
        <v>53</v>
      </c>
      <c r="F588" t="s">
        <v>27</v>
      </c>
      <c r="H588" t="s">
        <v>1442</v>
      </c>
      <c r="I588" t="str">
        <f>VLOOKUP(H588,Table1[#All],8,FALSE)</f>
        <v>Computers</v>
      </c>
      <c r="J588" t="str" cm="1">
        <f t="array" ref="J588">_xlfn.XLOOKUP(H588,Table1[[#All],[Order ID]],Table1[[#All],[Brand]],0)</f>
        <v>Dell</v>
      </c>
      <c r="K588" t="str">
        <f>INDEX(Table1[[#All],[Product Name]],MATCH(Sheet2!H588,Table1[[#All],[Order ID]],0))</f>
        <v>Laptop</v>
      </c>
    </row>
    <row r="589" spans="1:11" x14ac:dyDescent="0.25">
      <c r="A589" s="6">
        <v>156750</v>
      </c>
      <c r="B589" t="s">
        <v>53</v>
      </c>
      <c r="F589" t="s">
        <v>27</v>
      </c>
      <c r="H589" t="s">
        <v>1444</v>
      </c>
      <c r="I589" t="str">
        <f>VLOOKUP(H589,Table1[#All],8,FALSE)</f>
        <v>Computers</v>
      </c>
      <c r="J589" t="str" cm="1">
        <f t="array" ref="J589">_xlfn.XLOOKUP(H589,Table1[[#All],[Order ID]],Table1[[#All],[Brand]],0)</f>
        <v>Dell</v>
      </c>
      <c r="K589" t="str">
        <f>INDEX(Table1[[#All],[Product Name]],MATCH(Sheet2!H589,Table1[[#All],[Order ID]],0))</f>
        <v>Laptop</v>
      </c>
    </row>
    <row r="590" spans="1:11" x14ac:dyDescent="0.25">
      <c r="A590" s="5">
        <v>11900</v>
      </c>
      <c r="B590" t="s">
        <v>74</v>
      </c>
      <c r="F590" t="s">
        <v>27</v>
      </c>
      <c r="H590" t="s">
        <v>1447</v>
      </c>
      <c r="I590" t="str">
        <f>VLOOKUP(H590,Table1[#All],8,FALSE)</f>
        <v>Audio</v>
      </c>
      <c r="J590" t="str" cm="1">
        <f t="array" ref="J590">_xlfn.XLOOKUP(H590,Table1[[#All],[Order ID]],Table1[[#All],[Brand]],0)</f>
        <v>Sony</v>
      </c>
      <c r="K590" t="str">
        <f>INDEX(Table1[[#All],[Product Name]],MATCH(Sheet2!H590,Table1[[#All],[Order ID]],0))</f>
        <v>Headphones</v>
      </c>
    </row>
    <row r="591" spans="1:11" x14ac:dyDescent="0.25">
      <c r="A591" s="6">
        <v>14875</v>
      </c>
      <c r="B591" t="s">
        <v>74</v>
      </c>
      <c r="F591" t="s">
        <v>27</v>
      </c>
      <c r="H591" t="s">
        <v>1449</v>
      </c>
      <c r="I591" t="str">
        <f>VLOOKUP(H591,Table1[#All],8,FALSE)</f>
        <v>Audio</v>
      </c>
      <c r="J591" t="str" cm="1">
        <f t="array" ref="J591">_xlfn.XLOOKUP(H591,Table1[[#All],[Order ID]],Table1[[#All],[Brand]],0)</f>
        <v>Sony</v>
      </c>
      <c r="K591" t="str">
        <f>INDEX(Table1[[#All],[Product Name]],MATCH(Sheet2!H591,Table1[[#All],[Order ID]],0))</f>
        <v>Headphones</v>
      </c>
    </row>
    <row r="592" spans="1:11" x14ac:dyDescent="0.25">
      <c r="A592" s="5">
        <v>9450</v>
      </c>
      <c r="B592" t="s">
        <v>74</v>
      </c>
      <c r="F592" t="s">
        <v>27</v>
      </c>
      <c r="H592" t="s">
        <v>1450</v>
      </c>
      <c r="I592" t="str">
        <f>VLOOKUP(H592,Table1[#All],8,FALSE)</f>
        <v>Audio</v>
      </c>
      <c r="J592" t="str" cm="1">
        <f t="array" ref="J592">_xlfn.XLOOKUP(H592,Table1[[#All],[Order ID]],Table1[[#All],[Brand]],0)</f>
        <v>Sony</v>
      </c>
      <c r="K592" t="str">
        <f>INDEX(Table1[[#All],[Product Name]],MATCH(Sheet2!H592,Table1[[#All],[Order ID]],0))</f>
        <v>Headphones</v>
      </c>
    </row>
    <row r="593" spans="1:11" x14ac:dyDescent="0.25">
      <c r="A593" s="6">
        <v>1520</v>
      </c>
      <c r="B593" t="s">
        <v>26</v>
      </c>
      <c r="F593" t="s">
        <v>27</v>
      </c>
      <c r="H593" t="s">
        <v>1452</v>
      </c>
      <c r="I593" t="str">
        <f>VLOOKUP(H593,Table1[#All],8,FALSE)</f>
        <v>Accessories</v>
      </c>
      <c r="J593" t="str" cm="1">
        <f t="array" ref="J593">_xlfn.XLOOKUP(H593,Table1[[#All],[Order ID]],Table1[[#All],[Brand]],0)</f>
        <v>Logitech</v>
      </c>
      <c r="K593" t="str">
        <f>INDEX(Table1[[#All],[Product Name]],MATCH(Sheet2!H593,Table1[[#All],[Order ID]],0))</f>
        <v>Mouse</v>
      </c>
    </row>
    <row r="594" spans="1:11" x14ac:dyDescent="0.25">
      <c r="A594" s="5">
        <v>3200</v>
      </c>
      <c r="B594" t="s">
        <v>26</v>
      </c>
      <c r="F594" t="s">
        <v>27</v>
      </c>
      <c r="H594" t="s">
        <v>1455</v>
      </c>
      <c r="I594" t="str">
        <f>VLOOKUP(H594,Table1[#All],8,FALSE)</f>
        <v>Accessories</v>
      </c>
      <c r="J594" t="str" cm="1">
        <f t="array" ref="J594">_xlfn.XLOOKUP(H594,Table1[[#All],[Order ID]],Table1[[#All],[Brand]],0)</f>
        <v>Logitech</v>
      </c>
      <c r="K594" t="str">
        <f>INDEX(Table1[[#All],[Product Name]],MATCH(Sheet2!H594,Table1[[#All],[Order ID]],0))</f>
        <v>Mouse</v>
      </c>
    </row>
    <row r="595" spans="1:11" x14ac:dyDescent="0.25">
      <c r="A595" s="6">
        <v>2550</v>
      </c>
      <c r="B595" t="s">
        <v>68</v>
      </c>
      <c r="F595" t="s">
        <v>27</v>
      </c>
      <c r="H595" t="s">
        <v>1456</v>
      </c>
      <c r="I595" t="str">
        <f>VLOOKUP(H595,Table1[#All],8,FALSE)</f>
        <v>Accessories</v>
      </c>
      <c r="J595" t="str" cm="1">
        <f t="array" ref="J595">_xlfn.XLOOKUP(H595,Table1[[#All],[Order ID]],Table1[[#All],[Brand]],0)</f>
        <v>HP</v>
      </c>
      <c r="K595" t="str">
        <f>INDEX(Table1[[#All],[Product Name]],MATCH(Sheet2!H595,Table1[[#All],[Order ID]],0))</f>
        <v>Keyboard</v>
      </c>
    </row>
    <row r="596" spans="1:11" x14ac:dyDescent="0.25">
      <c r="A596" s="5">
        <v>3200</v>
      </c>
      <c r="B596" t="s">
        <v>26</v>
      </c>
      <c r="F596" t="s">
        <v>27</v>
      </c>
      <c r="H596" t="s">
        <v>1459</v>
      </c>
      <c r="I596" t="str">
        <f>VLOOKUP(H596,Table1[#All],8,FALSE)</f>
        <v>Accessories</v>
      </c>
      <c r="J596" t="str" cm="1">
        <f t="array" ref="J596">_xlfn.XLOOKUP(H596,Table1[[#All],[Order ID]],Table1[[#All],[Brand]],0)</f>
        <v>Logitech</v>
      </c>
      <c r="K596" t="str">
        <f>INDEX(Table1[[#All],[Product Name]],MATCH(Sheet2!H596,Table1[[#All],[Order ID]],0))</f>
        <v>Mouse</v>
      </c>
    </row>
    <row r="597" spans="1:11" x14ac:dyDescent="0.25">
      <c r="A597" s="6">
        <v>6000</v>
      </c>
      <c r="B597" t="s">
        <v>68</v>
      </c>
      <c r="F597" t="s">
        <v>27</v>
      </c>
      <c r="H597" t="s">
        <v>1460</v>
      </c>
      <c r="I597" t="str">
        <f>VLOOKUP(H597,Table1[#All],8,FALSE)</f>
        <v>Accessories</v>
      </c>
      <c r="J597" t="str" cm="1">
        <f t="array" ref="J597">_xlfn.XLOOKUP(H597,Table1[[#All],[Order ID]],Table1[[#All],[Brand]],0)</f>
        <v>HP</v>
      </c>
      <c r="K597" t="str">
        <f>INDEX(Table1[[#All],[Product Name]],MATCH(Sheet2!H597,Table1[[#All],[Order ID]],0))</f>
        <v>Keyboard</v>
      </c>
    </row>
    <row r="598" spans="1:11" x14ac:dyDescent="0.25">
      <c r="A598" s="5">
        <v>11900</v>
      </c>
      <c r="B598" t="s">
        <v>74</v>
      </c>
      <c r="F598" t="s">
        <v>27</v>
      </c>
      <c r="H598" t="s">
        <v>1461</v>
      </c>
      <c r="I598" t="str">
        <f>VLOOKUP(H598,Table1[#All],8,FALSE)</f>
        <v>Audio</v>
      </c>
      <c r="J598" t="str" cm="1">
        <f t="array" ref="J598">_xlfn.XLOOKUP(H598,Table1[[#All],[Order ID]],Table1[[#All],[Brand]],0)</f>
        <v>Sony</v>
      </c>
      <c r="K598" t="str">
        <f>INDEX(Table1[[#All],[Product Name]],MATCH(Sheet2!H598,Table1[[#All],[Order ID]],0))</f>
        <v>Headphones</v>
      </c>
    </row>
    <row r="599" spans="1:11" x14ac:dyDescent="0.25">
      <c r="A599" s="6">
        <v>21375</v>
      </c>
      <c r="B599" t="s">
        <v>39</v>
      </c>
      <c r="F599" t="s">
        <v>40</v>
      </c>
      <c r="H599" t="s">
        <v>1463</v>
      </c>
      <c r="I599" t="str">
        <f>VLOOKUP(H599,Table1[#All],8,FALSE)</f>
        <v>Office</v>
      </c>
      <c r="J599" t="str" cm="1">
        <f t="array" ref="J599">_xlfn.XLOOKUP(H599,Table1[[#All],[Order ID]],Table1[[#All],[Brand]],0)</f>
        <v>Nilkamal</v>
      </c>
      <c r="K599" t="str">
        <f>INDEX(Table1[[#All],[Product Name]],MATCH(Sheet2!H599,Table1[[#All],[Order ID]],0))</f>
        <v>Chair</v>
      </c>
    </row>
    <row r="600" spans="1:11" x14ac:dyDescent="0.25">
      <c r="A600" s="5">
        <v>2975</v>
      </c>
      <c r="B600" t="s">
        <v>74</v>
      </c>
      <c r="F600" t="s">
        <v>27</v>
      </c>
      <c r="H600" t="s">
        <v>1464</v>
      </c>
      <c r="I600" t="str">
        <f>VLOOKUP(H600,Table1[#All],8,FALSE)</f>
        <v>Audio</v>
      </c>
      <c r="J600" t="str" cm="1">
        <f t="array" ref="J600">_xlfn.XLOOKUP(H600,Table1[[#All],[Order ID]],Table1[[#All],[Brand]],0)</f>
        <v>Sony</v>
      </c>
      <c r="K600" t="str">
        <f>INDEX(Table1[[#All],[Product Name]],MATCH(Sheet2!H600,Table1[[#All],[Order ID]],0))</f>
        <v>Headphones</v>
      </c>
    </row>
    <row r="601" spans="1:11" x14ac:dyDescent="0.25">
      <c r="A601" s="6">
        <v>5950</v>
      </c>
      <c r="B601" t="s">
        <v>74</v>
      </c>
      <c r="F601" t="s">
        <v>27</v>
      </c>
      <c r="H601" t="s">
        <v>1466</v>
      </c>
      <c r="I601" t="str">
        <f>VLOOKUP(H601,Table1[#All],8,FALSE)</f>
        <v>Audio</v>
      </c>
      <c r="J601" t="str" cm="1">
        <f t="array" ref="J601">_xlfn.XLOOKUP(H601,Table1[[#All],[Order ID]],Table1[[#All],[Brand]],0)</f>
        <v>Sony</v>
      </c>
      <c r="K601" t="str">
        <f>INDEX(Table1[[#All],[Product Name]],MATCH(Sheet2!H601,Table1[[#All],[Order ID]],0))</f>
        <v>Headphones</v>
      </c>
    </row>
    <row r="602" spans="1:11" x14ac:dyDescent="0.25">
      <c r="A602" s="5">
        <v>13300</v>
      </c>
      <c r="B602" t="s">
        <v>74</v>
      </c>
      <c r="F602" t="s">
        <v>27</v>
      </c>
      <c r="H602" t="s">
        <v>1468</v>
      </c>
      <c r="I602" t="str">
        <f>VLOOKUP(H602,Table1[#All],8,FALSE)</f>
        <v>Audio</v>
      </c>
      <c r="J602" t="str" cm="1">
        <f t="array" ref="J602">_xlfn.XLOOKUP(H602,Table1[[#All],[Order ID]],Table1[[#All],[Brand]],0)</f>
        <v>Sony</v>
      </c>
      <c r="K602" t="str">
        <f>INDEX(Table1[[#All],[Product Name]],MATCH(Sheet2!H602,Table1[[#All],[Order ID]],0))</f>
        <v>Headphones</v>
      </c>
    </row>
    <row r="603" spans="1:11" x14ac:dyDescent="0.25">
      <c r="A603" s="6">
        <v>9000</v>
      </c>
      <c r="B603" t="s">
        <v>39</v>
      </c>
      <c r="F603" t="s">
        <v>40</v>
      </c>
      <c r="H603" t="s">
        <v>1469</v>
      </c>
      <c r="I603" t="str">
        <f>VLOOKUP(H603,Table1[#All],8,FALSE)</f>
        <v>Office</v>
      </c>
      <c r="J603" t="str" cm="1">
        <f t="array" ref="J603">_xlfn.XLOOKUP(H603,Table1[[#All],[Order ID]],Table1[[#All],[Brand]],0)</f>
        <v>Nilkamal</v>
      </c>
      <c r="K603" t="str">
        <f>INDEX(Table1[[#All],[Product Name]],MATCH(Sheet2!H603,Table1[[#All],[Order ID]],0))</f>
        <v>Chair</v>
      </c>
    </row>
    <row r="604" spans="1:11" x14ac:dyDescent="0.25">
      <c r="A604" s="5">
        <v>12600</v>
      </c>
      <c r="B604" t="s">
        <v>74</v>
      </c>
      <c r="F604" t="s">
        <v>27</v>
      </c>
      <c r="H604" t="s">
        <v>1472</v>
      </c>
      <c r="I604" t="str">
        <f>VLOOKUP(H604,Table1[#All],8,FALSE)</f>
        <v>Audio</v>
      </c>
      <c r="J604" t="str" cm="1">
        <f t="array" ref="J604">_xlfn.XLOOKUP(H604,Table1[[#All],[Order ID]],Table1[[#All],[Brand]],0)</f>
        <v>Sony</v>
      </c>
      <c r="K604" t="str">
        <f>INDEX(Table1[[#All],[Product Name]],MATCH(Sheet2!H604,Table1[[#All],[Order ID]],0))</f>
        <v>Headphones</v>
      </c>
    </row>
    <row r="605" spans="1:11" x14ac:dyDescent="0.25">
      <c r="A605" s="6">
        <v>16200</v>
      </c>
      <c r="B605" t="s">
        <v>39</v>
      </c>
      <c r="F605" t="s">
        <v>40</v>
      </c>
      <c r="H605" t="s">
        <v>1473</v>
      </c>
      <c r="I605" t="str">
        <f>VLOOKUP(H605,Table1[#All],8,FALSE)</f>
        <v>Office</v>
      </c>
      <c r="J605" t="str" cm="1">
        <f t="array" ref="J605">_xlfn.XLOOKUP(H605,Table1[[#All],[Order ID]],Table1[[#All],[Brand]],0)</f>
        <v>Nilkamal</v>
      </c>
      <c r="K605" t="str">
        <f>INDEX(Table1[[#All],[Product Name]],MATCH(Sheet2!H605,Table1[[#All],[Order ID]],0))</f>
        <v>Chair</v>
      </c>
    </row>
    <row r="606" spans="1:11" x14ac:dyDescent="0.25">
      <c r="A606" s="5">
        <v>198000</v>
      </c>
      <c r="B606" t="s">
        <v>53</v>
      </c>
      <c r="F606" t="s">
        <v>27</v>
      </c>
      <c r="H606" t="s">
        <v>1474</v>
      </c>
      <c r="I606" t="str">
        <f>VLOOKUP(H606,Table1[#All],8,FALSE)</f>
        <v>Computers</v>
      </c>
      <c r="J606" t="str" cm="1">
        <f t="array" ref="J606">_xlfn.XLOOKUP(H606,Table1[[#All],[Order ID]],Table1[[#All],[Brand]],0)</f>
        <v>Dell</v>
      </c>
      <c r="K606" t="str">
        <f>INDEX(Table1[[#All],[Product Name]],MATCH(Sheet2!H606,Table1[[#All],[Order ID]],0))</f>
        <v>Laptop</v>
      </c>
    </row>
    <row r="607" spans="1:11" x14ac:dyDescent="0.25">
      <c r="A607" s="6">
        <v>6375</v>
      </c>
      <c r="B607" t="s">
        <v>68</v>
      </c>
      <c r="F607" t="s">
        <v>27</v>
      </c>
      <c r="H607" t="s">
        <v>1476</v>
      </c>
      <c r="I607" t="str">
        <f>VLOOKUP(H607,Table1[#All],8,FALSE)</f>
        <v>Accessories</v>
      </c>
      <c r="J607" t="str" cm="1">
        <f t="array" ref="J607">_xlfn.XLOOKUP(H607,Table1[[#All],[Order ID]],Table1[[#All],[Brand]],0)</f>
        <v>HP</v>
      </c>
      <c r="K607" t="str">
        <f>INDEX(Table1[[#All],[Product Name]],MATCH(Sheet2!H607,Table1[[#All],[Order ID]],0))</f>
        <v>Keyboard</v>
      </c>
    </row>
    <row r="608" spans="1:11" x14ac:dyDescent="0.25">
      <c r="A608" s="5">
        <v>10500</v>
      </c>
      <c r="B608" t="s">
        <v>74</v>
      </c>
      <c r="F608" t="s">
        <v>27</v>
      </c>
      <c r="H608" t="s">
        <v>1479</v>
      </c>
      <c r="I608" t="str">
        <f>VLOOKUP(H608,Table1[#All],8,FALSE)</f>
        <v>Audio</v>
      </c>
      <c r="J608" t="str" cm="1">
        <f t="array" ref="J608">_xlfn.XLOOKUP(H608,Table1[[#All],[Order ID]],Table1[[#All],[Brand]],0)</f>
        <v>Sony</v>
      </c>
      <c r="K608" t="str">
        <f>INDEX(Table1[[#All],[Product Name]],MATCH(Sheet2!H608,Table1[[#All],[Order ID]],0))</f>
        <v>Headphones</v>
      </c>
    </row>
    <row r="609" spans="1:11" x14ac:dyDescent="0.25">
      <c r="A609" s="6">
        <v>5400</v>
      </c>
      <c r="B609" t="s">
        <v>68</v>
      </c>
      <c r="F609" t="s">
        <v>27</v>
      </c>
      <c r="H609" t="s">
        <v>1481</v>
      </c>
      <c r="I609" t="str">
        <f>VLOOKUP(H609,Table1[#All],8,FALSE)</f>
        <v>Accessories</v>
      </c>
      <c r="J609" t="str" cm="1">
        <f t="array" ref="J609">_xlfn.XLOOKUP(H609,Table1[[#All],[Order ID]],Table1[[#All],[Brand]],0)</f>
        <v>HP</v>
      </c>
      <c r="K609" t="str">
        <f>INDEX(Table1[[#All],[Product Name]],MATCH(Sheet2!H609,Table1[[#All],[Order ID]],0))</f>
        <v>Keyboard</v>
      </c>
    </row>
    <row r="610" spans="1:11" x14ac:dyDescent="0.25">
      <c r="A610" s="5">
        <v>2850</v>
      </c>
      <c r="B610" t="s">
        <v>68</v>
      </c>
      <c r="F610" t="s">
        <v>27</v>
      </c>
      <c r="H610" t="s">
        <v>1483</v>
      </c>
      <c r="I610" t="str">
        <f>VLOOKUP(H610,Table1[#All],8,FALSE)</f>
        <v>Accessories</v>
      </c>
      <c r="J610" t="str" cm="1">
        <f t="array" ref="J610">_xlfn.XLOOKUP(H610,Table1[[#All],[Order ID]],Table1[[#All],[Brand]],0)</f>
        <v>HP</v>
      </c>
      <c r="K610" t="str">
        <f>INDEX(Table1[[#All],[Product Name]],MATCH(Sheet2!H610,Table1[[#All],[Order ID]],0))</f>
        <v>Keyboard</v>
      </c>
    </row>
    <row r="611" spans="1:11" x14ac:dyDescent="0.25">
      <c r="A611" s="6">
        <v>4500</v>
      </c>
      <c r="B611" t="s">
        <v>68</v>
      </c>
      <c r="F611" t="s">
        <v>27</v>
      </c>
      <c r="H611" t="s">
        <v>1485</v>
      </c>
      <c r="I611" t="str">
        <f>VLOOKUP(H611,Table1[#All],8,FALSE)</f>
        <v>Accessories</v>
      </c>
      <c r="J611" t="str" cm="1">
        <f t="array" ref="J611">_xlfn.XLOOKUP(H611,Table1[[#All],[Order ID]],Table1[[#All],[Brand]],0)</f>
        <v>HP</v>
      </c>
      <c r="K611" t="str">
        <f>INDEX(Table1[[#All],[Product Name]],MATCH(Sheet2!H611,Table1[[#All],[Order ID]],0))</f>
        <v>Keyboard</v>
      </c>
    </row>
    <row r="612" spans="1:11" x14ac:dyDescent="0.25">
      <c r="A612" s="5">
        <v>2280</v>
      </c>
      <c r="B612" t="s">
        <v>26</v>
      </c>
      <c r="F612" t="s">
        <v>27</v>
      </c>
      <c r="H612" t="s">
        <v>1488</v>
      </c>
      <c r="I612" t="str">
        <f>VLOOKUP(H612,Table1[#All],8,FALSE)</f>
        <v>Accessories</v>
      </c>
      <c r="J612" t="str" cm="1">
        <f t="array" ref="J612">_xlfn.XLOOKUP(H612,Table1[[#All],[Order ID]],Table1[[#All],[Brand]],0)</f>
        <v>Logitech</v>
      </c>
      <c r="K612" t="str">
        <f>INDEX(Table1[[#All],[Product Name]],MATCH(Sheet2!H612,Table1[[#All],[Order ID]],0))</f>
        <v>Mouse</v>
      </c>
    </row>
    <row r="613" spans="1:11" x14ac:dyDescent="0.25">
      <c r="A613" s="6">
        <v>2040</v>
      </c>
      <c r="B613" t="s">
        <v>26</v>
      </c>
      <c r="F613" t="s">
        <v>27</v>
      </c>
      <c r="H613" t="s">
        <v>1490</v>
      </c>
      <c r="I613" t="str">
        <f>VLOOKUP(H613,Table1[#All],8,FALSE)</f>
        <v>Accessories</v>
      </c>
      <c r="J613" t="str" cm="1">
        <f t="array" ref="J613">_xlfn.XLOOKUP(H613,Table1[[#All],[Order ID]],Table1[[#All],[Brand]],0)</f>
        <v>Logitech</v>
      </c>
      <c r="K613" t="str">
        <f>INDEX(Table1[[#All],[Product Name]],MATCH(Sheet2!H613,Table1[[#All],[Order ID]],0))</f>
        <v>Mouse</v>
      </c>
    </row>
    <row r="614" spans="1:11" x14ac:dyDescent="0.25">
      <c r="A614" s="5">
        <v>2280</v>
      </c>
      <c r="B614" t="s">
        <v>26</v>
      </c>
      <c r="F614" t="s">
        <v>27</v>
      </c>
      <c r="H614" t="s">
        <v>1492</v>
      </c>
      <c r="I614" t="str">
        <f>VLOOKUP(H614,Table1[#All],8,FALSE)</f>
        <v>Accessories</v>
      </c>
      <c r="J614" t="str" cm="1">
        <f t="array" ref="J614">_xlfn.XLOOKUP(H614,Table1[[#All],[Order ID]],Table1[[#All],[Brand]],0)</f>
        <v>Logitech</v>
      </c>
      <c r="K614" t="str">
        <f>INDEX(Table1[[#All],[Product Name]],MATCH(Sheet2!H614,Table1[[#All],[Order ID]],0))</f>
        <v>Mouse</v>
      </c>
    </row>
    <row r="615" spans="1:11" x14ac:dyDescent="0.25">
      <c r="A615" s="6">
        <v>2720</v>
      </c>
      <c r="B615" t="s">
        <v>26</v>
      </c>
      <c r="F615" t="s">
        <v>27</v>
      </c>
      <c r="H615" t="s">
        <v>1495</v>
      </c>
      <c r="I615" t="str">
        <f>VLOOKUP(H615,Table1[#All],8,FALSE)</f>
        <v>Accessories</v>
      </c>
      <c r="J615" t="str" cm="1">
        <f t="array" ref="J615">_xlfn.XLOOKUP(H615,Table1[[#All],[Order ID]],Table1[[#All],[Brand]],0)</f>
        <v>Logitech</v>
      </c>
      <c r="K615" t="str">
        <f>INDEX(Table1[[#All],[Product Name]],MATCH(Sheet2!H615,Table1[[#All],[Order ID]],0))</f>
        <v>Mouse</v>
      </c>
    </row>
    <row r="616" spans="1:11" x14ac:dyDescent="0.25">
      <c r="A616" s="5">
        <v>680</v>
      </c>
      <c r="B616" t="s">
        <v>26</v>
      </c>
      <c r="F616" t="s">
        <v>27</v>
      </c>
      <c r="H616" t="s">
        <v>1496</v>
      </c>
      <c r="I616" t="str">
        <f>VLOOKUP(H616,Table1[#All],8,FALSE)</f>
        <v>Accessories</v>
      </c>
      <c r="J616" t="str" cm="1">
        <f t="array" ref="J616">_xlfn.XLOOKUP(H616,Table1[[#All],[Order ID]],Table1[[#All],[Brand]],0)</f>
        <v>Logitech</v>
      </c>
      <c r="K616" t="str">
        <f>INDEX(Table1[[#All],[Product Name]],MATCH(Sheet2!H616,Table1[[#All],[Order ID]],0))</f>
        <v>Mouse</v>
      </c>
    </row>
    <row r="617" spans="1:11" x14ac:dyDescent="0.25">
      <c r="A617" s="6">
        <v>156750</v>
      </c>
      <c r="B617" t="s">
        <v>53</v>
      </c>
      <c r="F617" t="s">
        <v>27</v>
      </c>
      <c r="H617" t="s">
        <v>1498</v>
      </c>
      <c r="I617" t="str">
        <f>VLOOKUP(H617,Table1[#All],8,FALSE)</f>
        <v>Computers</v>
      </c>
      <c r="J617" t="str" cm="1">
        <f t="array" ref="J617">_xlfn.XLOOKUP(H617,Table1[[#All],[Order ID]],Table1[[#All],[Brand]],0)</f>
        <v>Dell</v>
      </c>
      <c r="K617" t="str">
        <f>INDEX(Table1[[#All],[Product Name]],MATCH(Sheet2!H617,Table1[[#All],[Order ID]],0))</f>
        <v>Laptop</v>
      </c>
    </row>
    <row r="618" spans="1:11" x14ac:dyDescent="0.25">
      <c r="A618" s="5">
        <v>16200</v>
      </c>
      <c r="B618" t="s">
        <v>39</v>
      </c>
      <c r="F618" t="s">
        <v>40</v>
      </c>
      <c r="H618" t="s">
        <v>1500</v>
      </c>
      <c r="I618" t="str">
        <f>VLOOKUP(H618,Table1[#All],8,FALSE)</f>
        <v>Office</v>
      </c>
      <c r="J618" t="str" cm="1">
        <f t="array" ref="J618">_xlfn.XLOOKUP(H618,Table1[[#All],[Order ID]],Table1[[#All],[Brand]],0)</f>
        <v>Nilkamal</v>
      </c>
      <c r="K618" t="str">
        <f>INDEX(Table1[[#All],[Product Name]],MATCH(Sheet2!H618,Table1[[#All],[Order ID]],0))</f>
        <v>Chair</v>
      </c>
    </row>
    <row r="619" spans="1:11" x14ac:dyDescent="0.25">
      <c r="A619" s="6">
        <v>165000</v>
      </c>
      <c r="B619" t="s">
        <v>53</v>
      </c>
      <c r="F619" t="s">
        <v>27</v>
      </c>
      <c r="H619" t="s">
        <v>1502</v>
      </c>
      <c r="I619" t="str">
        <f>VLOOKUP(H619,Table1[#All],8,FALSE)</f>
        <v>Computers</v>
      </c>
      <c r="J619" t="str" cm="1">
        <f t="array" ref="J619">_xlfn.XLOOKUP(H619,Table1[[#All],[Order ID]],Table1[[#All],[Brand]],0)</f>
        <v>Dell</v>
      </c>
      <c r="K619" t="str">
        <f>INDEX(Table1[[#All],[Product Name]],MATCH(Sheet2!H619,Table1[[#All],[Order ID]],0))</f>
        <v>Laptop</v>
      </c>
    </row>
    <row r="620" spans="1:11" x14ac:dyDescent="0.25">
      <c r="A620" s="5">
        <v>9450</v>
      </c>
      <c r="B620" t="s">
        <v>74</v>
      </c>
      <c r="F620" t="s">
        <v>27</v>
      </c>
      <c r="H620" t="s">
        <v>1503</v>
      </c>
      <c r="I620" t="str">
        <f>VLOOKUP(H620,Table1[#All],8,FALSE)</f>
        <v>Audio</v>
      </c>
      <c r="J620" t="str" cm="1">
        <f t="array" ref="J620">_xlfn.XLOOKUP(H620,Table1[[#All],[Order ID]],Table1[[#All],[Brand]],0)</f>
        <v>Sony</v>
      </c>
      <c r="K620" t="str">
        <f>INDEX(Table1[[#All],[Product Name]],MATCH(Sheet2!H620,Table1[[#All],[Order ID]],0))</f>
        <v>Headphones</v>
      </c>
    </row>
    <row r="621" spans="1:11" x14ac:dyDescent="0.25">
      <c r="A621" s="6">
        <v>22500</v>
      </c>
      <c r="B621" t="s">
        <v>39</v>
      </c>
      <c r="F621" t="s">
        <v>40</v>
      </c>
      <c r="H621" t="s">
        <v>1505</v>
      </c>
      <c r="I621" t="str">
        <f>VLOOKUP(H621,Table1[#All],8,FALSE)</f>
        <v>Office</v>
      </c>
      <c r="J621" t="str" cm="1">
        <f t="array" ref="J621">_xlfn.XLOOKUP(H621,Table1[[#All],[Order ID]],Table1[[#All],[Brand]],0)</f>
        <v>Nilkamal</v>
      </c>
      <c r="K621" t="str">
        <f>INDEX(Table1[[#All],[Product Name]],MATCH(Sheet2!H621,Table1[[#All],[Order ID]],0))</f>
        <v>Chair</v>
      </c>
    </row>
    <row r="622" spans="1:11" x14ac:dyDescent="0.25">
      <c r="A622" s="5">
        <v>3500</v>
      </c>
      <c r="B622" t="s">
        <v>74</v>
      </c>
      <c r="F622" t="s">
        <v>27</v>
      </c>
      <c r="H622" t="s">
        <v>1507</v>
      </c>
      <c r="I622" t="str">
        <f>VLOOKUP(H622,Table1[#All],8,FALSE)</f>
        <v>Audio</v>
      </c>
      <c r="J622" t="str" cm="1">
        <f t="array" ref="J622">_xlfn.XLOOKUP(H622,Table1[[#All],[Order ID]],Table1[[#All],[Brand]],0)</f>
        <v>Sony</v>
      </c>
      <c r="K622" t="str">
        <f>INDEX(Table1[[#All],[Product Name]],MATCH(Sheet2!H622,Table1[[#All],[Order ID]],0))</f>
        <v>Headphones</v>
      </c>
    </row>
    <row r="623" spans="1:11" x14ac:dyDescent="0.25">
      <c r="A623" s="6">
        <v>9975</v>
      </c>
      <c r="B623" t="s">
        <v>74</v>
      </c>
      <c r="F623" t="s">
        <v>27</v>
      </c>
      <c r="H623" t="s">
        <v>1509</v>
      </c>
      <c r="I623" t="str">
        <f>VLOOKUP(H623,Table1[#All],8,FALSE)</f>
        <v>Audio</v>
      </c>
      <c r="J623" t="str" cm="1">
        <f t="array" ref="J623">_xlfn.XLOOKUP(H623,Table1[[#All],[Order ID]],Table1[[#All],[Brand]],0)</f>
        <v>Sony</v>
      </c>
      <c r="K623" t="str">
        <f>INDEX(Table1[[#All],[Product Name]],MATCH(Sheet2!H623,Table1[[#All],[Order ID]],0))</f>
        <v>Headphones</v>
      </c>
    </row>
    <row r="624" spans="1:11" x14ac:dyDescent="0.25">
      <c r="A624" s="5">
        <v>2975</v>
      </c>
      <c r="B624" t="s">
        <v>74</v>
      </c>
      <c r="F624" t="s">
        <v>27</v>
      </c>
      <c r="H624" t="s">
        <v>1511</v>
      </c>
      <c r="I624" t="str">
        <f>VLOOKUP(H624,Table1[#All],8,FALSE)</f>
        <v>Audio</v>
      </c>
      <c r="J624" t="str" cm="1">
        <f t="array" ref="J624">_xlfn.XLOOKUP(H624,Table1[[#All],[Order ID]],Table1[[#All],[Brand]],0)</f>
        <v>Sony</v>
      </c>
      <c r="K624" t="str">
        <f>INDEX(Table1[[#All],[Product Name]],MATCH(Sheet2!H624,Table1[[#All],[Order ID]],0))</f>
        <v>Headphones</v>
      </c>
    </row>
    <row r="625" spans="1:11" x14ac:dyDescent="0.25">
      <c r="A625" s="6">
        <v>2720</v>
      </c>
      <c r="B625" t="s">
        <v>26</v>
      </c>
      <c r="F625" t="s">
        <v>27</v>
      </c>
      <c r="H625" t="s">
        <v>1512</v>
      </c>
      <c r="I625" t="str">
        <f>VLOOKUP(H625,Table1[#All],8,FALSE)</f>
        <v>Accessories</v>
      </c>
      <c r="J625" t="str" cm="1">
        <f t="array" ref="J625">_xlfn.XLOOKUP(H625,Table1[[#All],[Order ID]],Table1[[#All],[Brand]],0)</f>
        <v>Logitech</v>
      </c>
      <c r="K625" t="str">
        <f>INDEX(Table1[[#All],[Product Name]],MATCH(Sheet2!H625,Table1[[#All],[Order ID]],0))</f>
        <v>Mouse</v>
      </c>
    </row>
    <row r="626" spans="1:11" x14ac:dyDescent="0.25">
      <c r="A626" s="5">
        <v>3825</v>
      </c>
      <c r="B626" t="s">
        <v>39</v>
      </c>
      <c r="F626" t="s">
        <v>40</v>
      </c>
      <c r="H626" t="s">
        <v>1513</v>
      </c>
      <c r="I626" t="str">
        <f>VLOOKUP(H626,Table1[#All],8,FALSE)</f>
        <v>Office</v>
      </c>
      <c r="J626" t="str" cm="1">
        <f t="array" ref="J626">_xlfn.XLOOKUP(H626,Table1[[#All],[Order ID]],Table1[[#All],[Brand]],0)</f>
        <v>Nilkamal</v>
      </c>
      <c r="K626" t="str">
        <f>INDEX(Table1[[#All],[Product Name]],MATCH(Sheet2!H626,Table1[[#All],[Order ID]],0))</f>
        <v>Chair</v>
      </c>
    </row>
    <row r="627" spans="1:11" x14ac:dyDescent="0.25">
      <c r="A627" s="6">
        <v>2160</v>
      </c>
      <c r="B627" t="s">
        <v>26</v>
      </c>
      <c r="F627" t="s">
        <v>27</v>
      </c>
      <c r="H627" t="s">
        <v>1514</v>
      </c>
      <c r="I627" t="str">
        <f>VLOOKUP(H627,Table1[#All],8,FALSE)</f>
        <v>Accessories</v>
      </c>
      <c r="J627" t="str" cm="1">
        <f t="array" ref="J627">_xlfn.XLOOKUP(H627,Table1[[#All],[Order ID]],Table1[[#All],[Brand]],0)</f>
        <v>Logitech</v>
      </c>
      <c r="K627" t="str">
        <f>INDEX(Table1[[#All],[Product Name]],MATCH(Sheet2!H627,Table1[[#All],[Order ID]],0))</f>
        <v>Mouse</v>
      </c>
    </row>
    <row r="628" spans="1:11" x14ac:dyDescent="0.25">
      <c r="A628" s="5">
        <v>11475</v>
      </c>
      <c r="B628" t="s">
        <v>39</v>
      </c>
      <c r="F628" t="s">
        <v>40</v>
      </c>
      <c r="H628" t="s">
        <v>1516</v>
      </c>
      <c r="I628" t="str">
        <f>VLOOKUP(H628,Table1[#All],8,FALSE)</f>
        <v>Office</v>
      </c>
      <c r="J628" t="str" cm="1">
        <f t="array" ref="J628">_xlfn.XLOOKUP(H628,Table1[[#All],[Order ID]],Table1[[#All],[Brand]],0)</f>
        <v>Nilkamal</v>
      </c>
      <c r="K628" t="str">
        <f>INDEX(Table1[[#All],[Product Name]],MATCH(Sheet2!H628,Table1[[#All],[Order ID]],0))</f>
        <v>Chair</v>
      </c>
    </row>
    <row r="629" spans="1:11" x14ac:dyDescent="0.25">
      <c r="A629" s="6">
        <v>3040</v>
      </c>
      <c r="B629" t="s">
        <v>26</v>
      </c>
      <c r="F629" t="s">
        <v>27</v>
      </c>
      <c r="H629" t="s">
        <v>1519</v>
      </c>
      <c r="I629" t="str">
        <f>VLOOKUP(H629,Table1[#All],8,FALSE)</f>
        <v>Accessories</v>
      </c>
      <c r="J629" t="str" cm="1">
        <f t="array" ref="J629">_xlfn.XLOOKUP(H629,Table1[[#All],[Order ID]],Table1[[#All],[Brand]],0)</f>
        <v>Logitech</v>
      </c>
      <c r="K629" t="str">
        <f>INDEX(Table1[[#All],[Product Name]],MATCH(Sheet2!H629,Table1[[#All],[Order ID]],0))</f>
        <v>Mouse</v>
      </c>
    </row>
    <row r="630" spans="1:11" x14ac:dyDescent="0.25">
      <c r="A630" s="5">
        <v>1520</v>
      </c>
      <c r="B630" t="s">
        <v>26</v>
      </c>
      <c r="F630" t="s">
        <v>27</v>
      </c>
      <c r="H630" t="s">
        <v>1520</v>
      </c>
      <c r="I630" t="str">
        <f>VLOOKUP(H630,Table1[#All],8,FALSE)</f>
        <v>Accessories</v>
      </c>
      <c r="J630" t="str" cm="1">
        <f t="array" ref="J630">_xlfn.XLOOKUP(H630,Table1[[#All],[Order ID]],Table1[[#All],[Brand]],0)</f>
        <v>Logitech</v>
      </c>
      <c r="K630" t="str">
        <f>INDEX(Table1[[#All],[Product Name]],MATCH(Sheet2!H630,Table1[[#All],[Order ID]],0))</f>
        <v>Mouse</v>
      </c>
    </row>
    <row r="631" spans="1:11" x14ac:dyDescent="0.25">
      <c r="A631" s="6">
        <v>20250</v>
      </c>
      <c r="B631" t="s">
        <v>39</v>
      </c>
      <c r="F631" t="s">
        <v>40</v>
      </c>
      <c r="H631" t="s">
        <v>1521</v>
      </c>
      <c r="I631" t="str">
        <f>VLOOKUP(H631,Table1[#All],8,FALSE)</f>
        <v>Office</v>
      </c>
      <c r="J631" t="str" cm="1">
        <f t="array" ref="J631">_xlfn.XLOOKUP(H631,Table1[[#All],[Order ID]],Table1[[#All],[Brand]],0)</f>
        <v>Nilkamal</v>
      </c>
      <c r="K631" t="str">
        <f>INDEX(Table1[[#All],[Product Name]],MATCH(Sheet2!H631,Table1[[#All],[Order ID]],0))</f>
        <v>Chair</v>
      </c>
    </row>
    <row r="632" spans="1:11" x14ac:dyDescent="0.25">
      <c r="A632" s="5">
        <v>156750</v>
      </c>
      <c r="B632" t="s">
        <v>53</v>
      </c>
      <c r="F632" t="s">
        <v>27</v>
      </c>
      <c r="H632" t="s">
        <v>1523</v>
      </c>
      <c r="I632" t="str">
        <f>VLOOKUP(H632,Table1[#All],8,FALSE)</f>
        <v>Computers</v>
      </c>
      <c r="J632" t="str" cm="1">
        <f t="array" ref="J632">_xlfn.XLOOKUP(H632,Table1[[#All],[Order ID]],Table1[[#All],[Brand]],0)</f>
        <v>Dell</v>
      </c>
      <c r="K632" t="str">
        <f>INDEX(Table1[[#All],[Product Name]],MATCH(Sheet2!H632,Table1[[#All],[Order ID]],0))</f>
        <v>Laptop</v>
      </c>
    </row>
    <row r="633" spans="1:11" x14ac:dyDescent="0.25">
      <c r="A633" s="6">
        <v>198000</v>
      </c>
      <c r="B633" t="s">
        <v>53</v>
      </c>
      <c r="F633" t="s">
        <v>27</v>
      </c>
      <c r="H633" t="s">
        <v>1524</v>
      </c>
      <c r="I633" t="str">
        <f>VLOOKUP(H633,Table1[#All],8,FALSE)</f>
        <v>Computers</v>
      </c>
      <c r="J633" t="str" cm="1">
        <f t="array" ref="J633">_xlfn.XLOOKUP(H633,Table1[[#All],[Order ID]],Table1[[#All],[Brand]],0)</f>
        <v>Dell</v>
      </c>
      <c r="K633" t="str">
        <f>INDEX(Table1[[#All],[Product Name]],MATCH(Sheet2!H633,Table1[[#All],[Order ID]],0))</f>
        <v>Laptop</v>
      </c>
    </row>
    <row r="634" spans="1:11" x14ac:dyDescent="0.25">
      <c r="A634" s="5">
        <v>6750</v>
      </c>
      <c r="B634" t="s">
        <v>68</v>
      </c>
      <c r="F634" t="s">
        <v>27</v>
      </c>
      <c r="H634" t="s">
        <v>1526</v>
      </c>
      <c r="I634" t="str">
        <f>VLOOKUP(H634,Table1[#All],8,FALSE)</f>
        <v>Accessories</v>
      </c>
      <c r="J634" t="str" cm="1">
        <f t="array" ref="J634">_xlfn.XLOOKUP(H634,Table1[[#All],[Order ID]],Table1[[#All],[Brand]],0)</f>
        <v>HP</v>
      </c>
      <c r="K634" t="str">
        <f>INDEX(Table1[[#All],[Product Name]],MATCH(Sheet2!H634,Table1[[#All],[Order ID]],0))</f>
        <v>Keyboard</v>
      </c>
    </row>
    <row r="635" spans="1:11" x14ac:dyDescent="0.25">
      <c r="A635" s="6">
        <v>4275</v>
      </c>
      <c r="B635" t="s">
        <v>39</v>
      </c>
      <c r="F635" t="s">
        <v>40</v>
      </c>
      <c r="H635" t="s">
        <v>1527</v>
      </c>
      <c r="I635" t="str">
        <f>VLOOKUP(H635,Table1[#All],8,FALSE)</f>
        <v>Office</v>
      </c>
      <c r="J635" t="str" cm="1">
        <f t="array" ref="J635">_xlfn.XLOOKUP(H635,Table1[[#All],[Order ID]],Table1[[#All],[Brand]],0)</f>
        <v>Nilkamal</v>
      </c>
      <c r="K635" t="str">
        <f>INDEX(Table1[[#All],[Product Name]],MATCH(Sheet2!H635,Table1[[#All],[Order ID]],0))</f>
        <v>Chair</v>
      </c>
    </row>
    <row r="636" spans="1:11" x14ac:dyDescent="0.25">
      <c r="A636" s="5">
        <v>1520</v>
      </c>
      <c r="B636" t="s">
        <v>26</v>
      </c>
      <c r="F636" t="s">
        <v>27</v>
      </c>
      <c r="H636" t="s">
        <v>1529</v>
      </c>
      <c r="I636" t="str">
        <f>VLOOKUP(H636,Table1[#All],8,FALSE)</f>
        <v>Accessories</v>
      </c>
      <c r="J636" t="str" cm="1">
        <f t="array" ref="J636">_xlfn.XLOOKUP(H636,Table1[[#All],[Order ID]],Table1[[#All],[Brand]],0)</f>
        <v>Logitech</v>
      </c>
      <c r="K636" t="str">
        <f>INDEX(Table1[[#All],[Product Name]],MATCH(Sheet2!H636,Table1[[#All],[Order ID]],0))</f>
        <v>Mouse</v>
      </c>
    </row>
    <row r="637" spans="1:11" x14ac:dyDescent="0.25">
      <c r="A637" s="6">
        <v>52250</v>
      </c>
      <c r="B637" t="s">
        <v>53</v>
      </c>
      <c r="F637" t="s">
        <v>27</v>
      </c>
      <c r="H637" t="s">
        <v>1531</v>
      </c>
      <c r="I637" t="str">
        <f>VLOOKUP(H637,Table1[#All],8,FALSE)</f>
        <v>Computers</v>
      </c>
      <c r="J637" t="str" cm="1">
        <f t="array" ref="J637">_xlfn.XLOOKUP(H637,Table1[[#All],[Order ID]],Table1[[#All],[Brand]],0)</f>
        <v>Dell</v>
      </c>
      <c r="K637" t="str">
        <f>INDEX(Table1[[#All],[Product Name]],MATCH(Sheet2!H637,Table1[[#All],[Order ID]],0))</f>
        <v>Laptop</v>
      </c>
    </row>
    <row r="638" spans="1:11" x14ac:dyDescent="0.25">
      <c r="A638" s="5">
        <v>233750</v>
      </c>
      <c r="B638" t="s">
        <v>53</v>
      </c>
      <c r="F638" t="s">
        <v>27</v>
      </c>
      <c r="H638" t="s">
        <v>1534</v>
      </c>
      <c r="I638" t="str">
        <f>VLOOKUP(H638,Table1[#All],8,FALSE)</f>
        <v>Computers</v>
      </c>
      <c r="J638" t="str" cm="1">
        <f t="array" ref="J638">_xlfn.XLOOKUP(H638,Table1[[#All],[Order ID]],Table1[[#All],[Brand]],0)</f>
        <v>Dell</v>
      </c>
      <c r="K638" t="str">
        <f>INDEX(Table1[[#All],[Product Name]],MATCH(Sheet2!H638,Table1[[#All],[Order ID]],0))</f>
        <v>Laptop</v>
      </c>
    </row>
    <row r="639" spans="1:11" x14ac:dyDescent="0.25">
      <c r="A639" s="6">
        <v>2160</v>
      </c>
      <c r="B639" t="s">
        <v>26</v>
      </c>
      <c r="F639" t="s">
        <v>27</v>
      </c>
      <c r="H639" t="s">
        <v>1535</v>
      </c>
      <c r="I639" t="str">
        <f>VLOOKUP(H639,Table1[#All],8,FALSE)</f>
        <v>Accessories</v>
      </c>
      <c r="J639" t="str" cm="1">
        <f t="array" ref="J639">_xlfn.XLOOKUP(H639,Table1[[#All],[Order ID]],Table1[[#All],[Brand]],0)</f>
        <v>Logitech</v>
      </c>
      <c r="K639" t="str">
        <f>INDEX(Table1[[#All],[Product Name]],MATCH(Sheet2!H639,Table1[[#All],[Order ID]],0))</f>
        <v>Mouse</v>
      </c>
    </row>
    <row r="640" spans="1:11" x14ac:dyDescent="0.25">
      <c r="A640" s="5">
        <v>8550</v>
      </c>
      <c r="B640" t="s">
        <v>39</v>
      </c>
      <c r="F640" t="s">
        <v>40</v>
      </c>
      <c r="H640" t="s">
        <v>1536</v>
      </c>
      <c r="I640" t="str">
        <f>VLOOKUP(H640,Table1[#All],8,FALSE)</f>
        <v>Office</v>
      </c>
      <c r="J640" t="str" cm="1">
        <f t="array" ref="J640">_xlfn.XLOOKUP(H640,Table1[[#All],[Order ID]],Table1[[#All],[Brand]],0)</f>
        <v>Nilkamal</v>
      </c>
      <c r="K640" t="str">
        <f>INDEX(Table1[[#All],[Product Name]],MATCH(Sheet2!H640,Table1[[#All],[Order ID]],0))</f>
        <v>Chair</v>
      </c>
    </row>
    <row r="641" spans="1:11" x14ac:dyDescent="0.25">
      <c r="A641" s="6">
        <v>8550</v>
      </c>
      <c r="B641" t="s">
        <v>39</v>
      </c>
      <c r="F641" t="s">
        <v>40</v>
      </c>
      <c r="H641" t="s">
        <v>1537</v>
      </c>
      <c r="I641" t="str">
        <f>VLOOKUP(H641,Table1[#All],8,FALSE)</f>
        <v>Office</v>
      </c>
      <c r="J641" t="str" cm="1">
        <f t="array" ref="J641">_xlfn.XLOOKUP(H641,Table1[[#All],[Order ID]],Table1[[#All],[Brand]],0)</f>
        <v>Nilkamal</v>
      </c>
      <c r="K641" t="str">
        <f>INDEX(Table1[[#All],[Product Name]],MATCH(Sheet2!H641,Table1[[#All],[Order ID]],0))</f>
        <v>Chair</v>
      </c>
    </row>
    <row r="642" spans="1:11" x14ac:dyDescent="0.25">
      <c r="A642" s="5">
        <v>6000</v>
      </c>
      <c r="B642" t="s">
        <v>68</v>
      </c>
      <c r="F642" t="s">
        <v>27</v>
      </c>
      <c r="H642" t="s">
        <v>1538</v>
      </c>
      <c r="I642" t="str">
        <f>VLOOKUP(H642,Table1[#All],8,FALSE)</f>
        <v>Accessories</v>
      </c>
      <c r="J642" t="str" cm="1">
        <f t="array" ref="J642">_xlfn.XLOOKUP(H642,Table1[[#All],[Order ID]],Table1[[#All],[Brand]],0)</f>
        <v>HP</v>
      </c>
      <c r="K642" t="str">
        <f>INDEX(Table1[[#All],[Product Name]],MATCH(Sheet2!H642,Table1[[#All],[Order ID]],0))</f>
        <v>Keyboard</v>
      </c>
    </row>
    <row r="643" spans="1:11" x14ac:dyDescent="0.25">
      <c r="A643" s="6">
        <v>1520</v>
      </c>
      <c r="B643" t="s">
        <v>26</v>
      </c>
      <c r="F643" t="s">
        <v>27</v>
      </c>
      <c r="H643" t="s">
        <v>1540</v>
      </c>
      <c r="I643" t="str">
        <f>VLOOKUP(H643,Table1[#All],8,FALSE)</f>
        <v>Accessories</v>
      </c>
      <c r="J643" t="str" cm="1">
        <f t="array" ref="J643">_xlfn.XLOOKUP(H643,Table1[[#All],[Order ID]],Table1[[#All],[Brand]],0)</f>
        <v>Logitech</v>
      </c>
      <c r="K643" t="str">
        <f>INDEX(Table1[[#All],[Product Name]],MATCH(Sheet2!H643,Table1[[#All],[Order ID]],0))</f>
        <v>Mouse</v>
      </c>
    </row>
    <row r="644" spans="1:11" x14ac:dyDescent="0.25">
      <c r="A644" s="5">
        <v>16200</v>
      </c>
      <c r="B644" t="s">
        <v>39</v>
      </c>
      <c r="F644" t="s">
        <v>40</v>
      </c>
      <c r="H644" t="s">
        <v>1541</v>
      </c>
      <c r="I644" t="str">
        <f>VLOOKUP(H644,Table1[#All],8,FALSE)</f>
        <v>Office</v>
      </c>
      <c r="J644" t="str" cm="1">
        <f t="array" ref="J644">_xlfn.XLOOKUP(H644,Table1[[#All],[Order ID]],Table1[[#All],[Brand]],0)</f>
        <v>Nilkamal</v>
      </c>
      <c r="K644" t="str">
        <f>INDEX(Table1[[#All],[Product Name]],MATCH(Sheet2!H644,Table1[[#All],[Order ID]],0))</f>
        <v>Chair</v>
      </c>
    </row>
    <row r="645" spans="1:11" x14ac:dyDescent="0.25">
      <c r="A645" s="6">
        <v>2550</v>
      </c>
      <c r="B645" t="s">
        <v>68</v>
      </c>
      <c r="F645" t="s">
        <v>27</v>
      </c>
      <c r="H645" t="s">
        <v>1542</v>
      </c>
      <c r="I645" t="str">
        <f>VLOOKUP(H645,Table1[#All],8,FALSE)</f>
        <v>Accessories</v>
      </c>
      <c r="J645" t="str" cm="1">
        <f t="array" ref="J645">_xlfn.XLOOKUP(H645,Table1[[#All],[Order ID]],Table1[[#All],[Brand]],0)</f>
        <v>HP</v>
      </c>
      <c r="K645" t="str">
        <f>INDEX(Table1[[#All],[Product Name]],MATCH(Sheet2!H645,Table1[[#All],[Order ID]],0))</f>
        <v>Keyboard</v>
      </c>
    </row>
    <row r="646" spans="1:11" x14ac:dyDescent="0.25">
      <c r="A646" s="5">
        <v>20250</v>
      </c>
      <c r="B646" t="s">
        <v>39</v>
      </c>
      <c r="F646" t="s">
        <v>40</v>
      </c>
      <c r="H646" t="s">
        <v>1543</v>
      </c>
      <c r="I646" t="str">
        <f>VLOOKUP(H646,Table1[#All],8,FALSE)</f>
        <v>Office</v>
      </c>
      <c r="J646" t="str" cm="1">
        <f t="array" ref="J646">_xlfn.XLOOKUP(H646,Table1[[#All],[Order ID]],Table1[[#All],[Brand]],0)</f>
        <v>Nilkamal</v>
      </c>
      <c r="K646" t="str">
        <f>INDEX(Table1[[#All],[Product Name]],MATCH(Sheet2!H646,Table1[[#All],[Order ID]],0))</f>
        <v>Chair</v>
      </c>
    </row>
    <row r="647" spans="1:11" x14ac:dyDescent="0.25">
      <c r="A647" s="6">
        <v>104500</v>
      </c>
      <c r="B647" t="s">
        <v>53</v>
      </c>
      <c r="F647" t="s">
        <v>27</v>
      </c>
      <c r="H647" t="s">
        <v>1545</v>
      </c>
      <c r="I647" t="str">
        <f>VLOOKUP(H647,Table1[#All],8,FALSE)</f>
        <v>Computers</v>
      </c>
      <c r="J647" t="str" cm="1">
        <f t="array" ref="J647">_xlfn.XLOOKUP(H647,Table1[[#All],[Order ID]],Table1[[#All],[Brand]],0)</f>
        <v>Dell</v>
      </c>
      <c r="K647" t="str">
        <f>INDEX(Table1[[#All],[Product Name]],MATCH(Sheet2!H647,Table1[[#All],[Order ID]],0))</f>
        <v>Laptop</v>
      </c>
    </row>
    <row r="648" spans="1:11" x14ac:dyDescent="0.25">
      <c r="A648" s="5">
        <v>8925</v>
      </c>
      <c r="B648" t="s">
        <v>74</v>
      </c>
      <c r="F648" t="s">
        <v>27</v>
      </c>
      <c r="H648" t="s">
        <v>1546</v>
      </c>
      <c r="I648" t="str">
        <f>VLOOKUP(H648,Table1[#All],8,FALSE)</f>
        <v>Audio</v>
      </c>
      <c r="J648" t="str" cm="1">
        <f t="array" ref="J648">_xlfn.XLOOKUP(H648,Table1[[#All],[Order ID]],Table1[[#All],[Brand]],0)</f>
        <v>Sony</v>
      </c>
      <c r="K648" t="str">
        <f>INDEX(Table1[[#All],[Product Name]],MATCH(Sheet2!H648,Table1[[#All],[Order ID]],0))</f>
        <v>Headphones</v>
      </c>
    </row>
    <row r="649" spans="1:11" x14ac:dyDescent="0.25">
      <c r="A649" s="6">
        <v>3040</v>
      </c>
      <c r="B649" t="s">
        <v>26</v>
      </c>
      <c r="F649" t="s">
        <v>27</v>
      </c>
      <c r="H649" t="s">
        <v>1549</v>
      </c>
      <c r="I649" t="str">
        <f>VLOOKUP(H649,Table1[#All],8,FALSE)</f>
        <v>Accessories</v>
      </c>
      <c r="J649" t="str" cm="1">
        <f t="array" ref="J649">_xlfn.XLOOKUP(H649,Table1[[#All],[Order ID]],Table1[[#All],[Brand]],0)</f>
        <v>Logitech</v>
      </c>
      <c r="K649" t="str">
        <f>INDEX(Table1[[#All],[Product Name]],MATCH(Sheet2!H649,Table1[[#All],[Order ID]],0))</f>
        <v>Mouse</v>
      </c>
    </row>
    <row r="650" spans="1:11" x14ac:dyDescent="0.25">
      <c r="A650" s="5">
        <v>110000</v>
      </c>
      <c r="B650" t="s">
        <v>53</v>
      </c>
      <c r="F650" t="s">
        <v>27</v>
      </c>
      <c r="H650" t="s">
        <v>1551</v>
      </c>
      <c r="I650" t="str">
        <f>VLOOKUP(H650,Table1[#All],8,FALSE)</f>
        <v>Computers</v>
      </c>
      <c r="J650" t="str" cm="1">
        <f t="array" ref="J650">_xlfn.XLOOKUP(H650,Table1[[#All],[Order ID]],Table1[[#All],[Brand]],0)</f>
        <v>Dell</v>
      </c>
      <c r="K650" t="str">
        <f>INDEX(Table1[[#All],[Product Name]],MATCH(Sheet2!H650,Table1[[#All],[Order ID]],0))</f>
        <v>Laptop</v>
      </c>
    </row>
    <row r="651" spans="1:11" x14ac:dyDescent="0.25">
      <c r="A651" s="6">
        <v>7000</v>
      </c>
      <c r="B651" t="s">
        <v>74</v>
      </c>
      <c r="F651" t="s">
        <v>27</v>
      </c>
      <c r="H651" t="s">
        <v>1552</v>
      </c>
      <c r="I651" t="str">
        <f>VLOOKUP(H651,Table1[#All],8,FALSE)</f>
        <v>Audio</v>
      </c>
      <c r="J651" t="str" cm="1">
        <f t="array" ref="J651">_xlfn.XLOOKUP(H651,Table1[[#All],[Order ID]],Table1[[#All],[Brand]],0)</f>
        <v>Sony</v>
      </c>
      <c r="K651" t="str">
        <f>INDEX(Table1[[#All],[Product Name]],MATCH(Sheet2!H651,Table1[[#All],[Order ID]],0))</f>
        <v>Headphones</v>
      </c>
    </row>
    <row r="652" spans="1:11" x14ac:dyDescent="0.25">
      <c r="A652" s="5">
        <v>15750</v>
      </c>
      <c r="B652" t="s">
        <v>74</v>
      </c>
      <c r="F652" t="s">
        <v>27</v>
      </c>
      <c r="H652" t="s">
        <v>1553</v>
      </c>
      <c r="I652" t="str">
        <f>VLOOKUP(H652,Table1[#All],8,FALSE)</f>
        <v>Audio</v>
      </c>
      <c r="J652" t="str" cm="1">
        <f t="array" ref="J652">_xlfn.XLOOKUP(H652,Table1[[#All],[Order ID]],Table1[[#All],[Brand]],0)</f>
        <v>Sony</v>
      </c>
      <c r="K652" t="str">
        <f>INDEX(Table1[[#All],[Product Name]],MATCH(Sheet2!H652,Table1[[#All],[Order ID]],0))</f>
        <v>Headphones</v>
      </c>
    </row>
    <row r="653" spans="1:11" x14ac:dyDescent="0.25">
      <c r="A653" s="6">
        <v>9450</v>
      </c>
      <c r="B653" t="s">
        <v>74</v>
      </c>
      <c r="F653" t="s">
        <v>27</v>
      </c>
      <c r="H653" t="s">
        <v>1554</v>
      </c>
      <c r="I653" t="str">
        <f>VLOOKUP(H653,Table1[#All],8,FALSE)</f>
        <v>Audio</v>
      </c>
      <c r="J653" t="str" cm="1">
        <f t="array" ref="J653">_xlfn.XLOOKUP(H653,Table1[[#All],[Order ID]],Table1[[#All],[Brand]],0)</f>
        <v>Sony</v>
      </c>
      <c r="K653" t="str">
        <f>INDEX(Table1[[#All],[Product Name]],MATCH(Sheet2!H653,Table1[[#All],[Order ID]],0))</f>
        <v>Headphones</v>
      </c>
    </row>
    <row r="654" spans="1:11" x14ac:dyDescent="0.25">
      <c r="A654" s="5">
        <v>46750</v>
      </c>
      <c r="B654" t="s">
        <v>53</v>
      </c>
      <c r="F654" t="s">
        <v>27</v>
      </c>
      <c r="H654" t="s">
        <v>1557</v>
      </c>
      <c r="I654" t="str">
        <f>VLOOKUP(H654,Table1[#All],8,FALSE)</f>
        <v>Computers</v>
      </c>
      <c r="J654" t="str" cm="1">
        <f t="array" ref="J654">_xlfn.XLOOKUP(H654,Table1[[#All],[Order ID]],Table1[[#All],[Brand]],0)</f>
        <v>Dell</v>
      </c>
      <c r="K654" t="str">
        <f>INDEX(Table1[[#All],[Product Name]],MATCH(Sheet2!H654,Table1[[#All],[Order ID]],0))</f>
        <v>Laptop</v>
      </c>
    </row>
    <row r="655" spans="1:11" x14ac:dyDescent="0.25">
      <c r="A655" s="6">
        <v>6000</v>
      </c>
      <c r="B655" t="s">
        <v>68</v>
      </c>
      <c r="F655" t="s">
        <v>27</v>
      </c>
      <c r="H655" t="s">
        <v>1560</v>
      </c>
      <c r="I655" t="str">
        <f>VLOOKUP(H655,Table1[#All],8,FALSE)</f>
        <v>Accessories</v>
      </c>
      <c r="J655" t="str" cm="1">
        <f t="array" ref="J655">_xlfn.XLOOKUP(H655,Table1[[#All],[Order ID]],Table1[[#All],[Brand]],0)</f>
        <v>HP</v>
      </c>
      <c r="K655" t="str">
        <f>INDEX(Table1[[#All],[Product Name]],MATCH(Sheet2!H655,Table1[[#All],[Order ID]],0))</f>
        <v>Keyboard</v>
      </c>
    </row>
    <row r="656" spans="1:11" x14ac:dyDescent="0.25">
      <c r="A656" s="5">
        <v>5950</v>
      </c>
      <c r="B656" t="s">
        <v>74</v>
      </c>
      <c r="F656" t="s">
        <v>27</v>
      </c>
      <c r="H656" t="s">
        <v>1563</v>
      </c>
      <c r="I656" t="str">
        <f>VLOOKUP(H656,Table1[#All],8,FALSE)</f>
        <v>Audio</v>
      </c>
      <c r="J656" t="str" cm="1">
        <f t="array" ref="J656">_xlfn.XLOOKUP(H656,Table1[[#All],[Order ID]],Table1[[#All],[Brand]],0)</f>
        <v>Sony</v>
      </c>
      <c r="K656" t="str">
        <f>INDEX(Table1[[#All],[Product Name]],MATCH(Sheet2!H656,Table1[[#All],[Order ID]],0))</f>
        <v>Headphones</v>
      </c>
    </row>
    <row r="657" spans="1:11" x14ac:dyDescent="0.25">
      <c r="A657" s="6">
        <v>275000</v>
      </c>
      <c r="B657" t="s">
        <v>53</v>
      </c>
      <c r="F657" t="s">
        <v>27</v>
      </c>
      <c r="H657" t="s">
        <v>1564</v>
      </c>
      <c r="I657" t="str">
        <f>VLOOKUP(H657,Table1[#All],8,FALSE)</f>
        <v>Computers</v>
      </c>
      <c r="J657" t="str" cm="1">
        <f t="array" ref="J657">_xlfn.XLOOKUP(H657,Table1[[#All],[Order ID]],Table1[[#All],[Brand]],0)</f>
        <v>Dell</v>
      </c>
      <c r="K657" t="str">
        <f>INDEX(Table1[[#All],[Product Name]],MATCH(Sheet2!H657,Table1[[#All],[Order ID]],0))</f>
        <v>Laptop</v>
      </c>
    </row>
    <row r="658" spans="1:11" x14ac:dyDescent="0.25">
      <c r="A658" s="5">
        <v>8925</v>
      </c>
      <c r="B658" t="s">
        <v>74</v>
      </c>
      <c r="F658" t="s">
        <v>27</v>
      </c>
      <c r="H658" t="s">
        <v>1566</v>
      </c>
      <c r="I658" t="str">
        <f>VLOOKUP(H658,Table1[#All],8,FALSE)</f>
        <v>Audio</v>
      </c>
      <c r="J658" t="str" cm="1">
        <f t="array" ref="J658">_xlfn.XLOOKUP(H658,Table1[[#All],[Order ID]],Table1[[#All],[Brand]],0)</f>
        <v>Sony</v>
      </c>
      <c r="K658" t="str">
        <f>INDEX(Table1[[#All],[Product Name]],MATCH(Sheet2!H658,Table1[[#All],[Order ID]],0))</f>
        <v>Headphones</v>
      </c>
    </row>
    <row r="659" spans="1:11" x14ac:dyDescent="0.25">
      <c r="A659" s="6">
        <v>9450</v>
      </c>
      <c r="B659" t="s">
        <v>74</v>
      </c>
      <c r="F659" t="s">
        <v>27</v>
      </c>
      <c r="H659" t="s">
        <v>1569</v>
      </c>
      <c r="I659" t="str">
        <f>VLOOKUP(H659,Table1[#All],8,FALSE)</f>
        <v>Audio</v>
      </c>
      <c r="J659" t="str" cm="1">
        <f t="array" ref="J659">_xlfn.XLOOKUP(H659,Table1[[#All],[Order ID]],Table1[[#All],[Brand]],0)</f>
        <v>Sony</v>
      </c>
      <c r="K659" t="str">
        <f>INDEX(Table1[[#All],[Product Name]],MATCH(Sheet2!H659,Table1[[#All],[Order ID]],0))</f>
        <v>Headphones</v>
      </c>
    </row>
    <row r="660" spans="1:11" x14ac:dyDescent="0.25">
      <c r="A660" s="5">
        <v>148500</v>
      </c>
      <c r="B660" t="s">
        <v>53</v>
      </c>
      <c r="F660" t="s">
        <v>27</v>
      </c>
      <c r="H660" t="s">
        <v>1570</v>
      </c>
      <c r="I660" t="str">
        <f>VLOOKUP(H660,Table1[#All],8,FALSE)</f>
        <v>Computers</v>
      </c>
      <c r="J660" t="str" cm="1">
        <f t="array" ref="J660">_xlfn.XLOOKUP(H660,Table1[[#All],[Order ID]],Table1[[#All],[Brand]],0)</f>
        <v>Dell</v>
      </c>
      <c r="K660" t="str">
        <f>INDEX(Table1[[#All],[Product Name]],MATCH(Sheet2!H660,Table1[[#All],[Order ID]],0))</f>
        <v>Laptop</v>
      </c>
    </row>
    <row r="661" spans="1:11" x14ac:dyDescent="0.25">
      <c r="A661" s="6">
        <v>2280</v>
      </c>
      <c r="B661" t="s">
        <v>26</v>
      </c>
      <c r="F661" t="s">
        <v>27</v>
      </c>
      <c r="H661" t="s">
        <v>1572</v>
      </c>
      <c r="I661" t="str">
        <f>VLOOKUP(H661,Table1[#All],8,FALSE)</f>
        <v>Accessories</v>
      </c>
      <c r="J661" t="str" cm="1">
        <f t="array" ref="J661">_xlfn.XLOOKUP(H661,Table1[[#All],[Order ID]],Table1[[#All],[Brand]],0)</f>
        <v>Logitech</v>
      </c>
      <c r="K661" t="str">
        <f>INDEX(Table1[[#All],[Product Name]],MATCH(Sheet2!H661,Table1[[#All],[Order ID]],0))</f>
        <v>Mouse</v>
      </c>
    </row>
    <row r="662" spans="1:11" x14ac:dyDescent="0.25">
      <c r="A662" s="5">
        <v>6300</v>
      </c>
      <c r="B662" t="s">
        <v>74</v>
      </c>
      <c r="F662" t="s">
        <v>27</v>
      </c>
      <c r="H662" t="s">
        <v>1574</v>
      </c>
      <c r="I662" t="str">
        <f>VLOOKUP(H662,Table1[#All],8,FALSE)</f>
        <v>Audio</v>
      </c>
      <c r="J662" t="str" cm="1">
        <f t="array" ref="J662">_xlfn.XLOOKUP(H662,Table1[[#All],[Order ID]],Table1[[#All],[Brand]],0)</f>
        <v>Sony</v>
      </c>
      <c r="K662" t="str">
        <f>INDEX(Table1[[#All],[Product Name]],MATCH(Sheet2!H662,Table1[[#All],[Order ID]],0))</f>
        <v>Headphones</v>
      </c>
    </row>
    <row r="663" spans="1:11" x14ac:dyDescent="0.25">
      <c r="A663" s="6">
        <v>12600</v>
      </c>
      <c r="B663" t="s">
        <v>74</v>
      </c>
      <c r="F663" t="s">
        <v>27</v>
      </c>
      <c r="H663" t="s">
        <v>1576</v>
      </c>
      <c r="I663" t="str">
        <f>VLOOKUP(H663,Table1[#All],8,FALSE)</f>
        <v>Audio</v>
      </c>
      <c r="J663" t="str" cm="1">
        <f t="array" ref="J663">_xlfn.XLOOKUP(H663,Table1[[#All],[Order ID]],Table1[[#All],[Brand]],0)</f>
        <v>Sony</v>
      </c>
      <c r="K663" t="str">
        <f>INDEX(Table1[[#All],[Product Name]],MATCH(Sheet2!H663,Table1[[#All],[Order ID]],0))</f>
        <v>Headphones</v>
      </c>
    </row>
    <row r="664" spans="1:11" x14ac:dyDescent="0.25">
      <c r="A664" s="5">
        <v>4275</v>
      </c>
      <c r="B664" t="s">
        <v>68</v>
      </c>
      <c r="F664" t="s">
        <v>27</v>
      </c>
      <c r="H664" t="s">
        <v>1577</v>
      </c>
      <c r="I664" t="str">
        <f>VLOOKUP(H664,Table1[#All],8,FALSE)</f>
        <v>Accessories</v>
      </c>
      <c r="J664" t="str" cm="1">
        <f t="array" ref="J664">_xlfn.XLOOKUP(H664,Table1[[#All],[Order ID]],Table1[[#All],[Brand]],0)</f>
        <v>HP</v>
      </c>
      <c r="K664" t="str">
        <f>INDEX(Table1[[#All],[Product Name]],MATCH(Sheet2!H664,Table1[[#All],[Order ID]],0))</f>
        <v>Keyboard</v>
      </c>
    </row>
    <row r="665" spans="1:11" x14ac:dyDescent="0.25">
      <c r="A665" s="6">
        <v>233750</v>
      </c>
      <c r="B665" t="s">
        <v>53</v>
      </c>
      <c r="F665" t="s">
        <v>27</v>
      </c>
      <c r="H665" t="s">
        <v>1580</v>
      </c>
      <c r="I665" t="str">
        <f>VLOOKUP(H665,Table1[#All],8,FALSE)</f>
        <v>Computers</v>
      </c>
      <c r="J665" t="str" cm="1">
        <f t="array" ref="J665">_xlfn.XLOOKUP(H665,Table1[[#All],[Order ID]],Table1[[#All],[Brand]],0)</f>
        <v>Dell</v>
      </c>
      <c r="K665" t="str">
        <f>INDEX(Table1[[#All],[Product Name]],MATCH(Sheet2!H665,Table1[[#All],[Order ID]],0))</f>
        <v>Laptop</v>
      </c>
    </row>
    <row r="666" spans="1:11" x14ac:dyDescent="0.25">
      <c r="A666" s="5">
        <v>680</v>
      </c>
      <c r="B666" t="s">
        <v>26</v>
      </c>
      <c r="F666" t="s">
        <v>27</v>
      </c>
      <c r="H666" t="s">
        <v>1581</v>
      </c>
      <c r="I666" t="str">
        <f>VLOOKUP(H666,Table1[#All],8,FALSE)</f>
        <v>Accessories</v>
      </c>
      <c r="J666" t="str" cm="1">
        <f t="array" ref="J666">_xlfn.XLOOKUP(H666,Table1[[#All],[Order ID]],Table1[[#All],[Brand]],0)</f>
        <v>Logitech</v>
      </c>
      <c r="K666" t="str">
        <f>INDEX(Table1[[#All],[Product Name]],MATCH(Sheet2!H666,Table1[[#All],[Order ID]],0))</f>
        <v>Mouse</v>
      </c>
    </row>
    <row r="667" spans="1:11" x14ac:dyDescent="0.25">
      <c r="A667" s="6">
        <v>3825</v>
      </c>
      <c r="B667" t="s">
        <v>68</v>
      </c>
      <c r="F667" t="s">
        <v>27</v>
      </c>
      <c r="H667" t="s">
        <v>1583</v>
      </c>
      <c r="I667" t="str">
        <f>VLOOKUP(H667,Table1[#All],8,FALSE)</f>
        <v>Accessories</v>
      </c>
      <c r="J667" t="str" cm="1">
        <f t="array" ref="J667">_xlfn.XLOOKUP(H667,Table1[[#All],[Order ID]],Table1[[#All],[Brand]],0)</f>
        <v>HP</v>
      </c>
      <c r="K667" t="str">
        <f>INDEX(Table1[[#All],[Product Name]],MATCH(Sheet2!H667,Table1[[#All],[Order ID]],0))</f>
        <v>Keyboard</v>
      </c>
    </row>
    <row r="668" spans="1:11" x14ac:dyDescent="0.25">
      <c r="A668" s="5">
        <v>104500</v>
      </c>
      <c r="B668" t="s">
        <v>53</v>
      </c>
      <c r="F668" t="s">
        <v>27</v>
      </c>
      <c r="H668" t="s">
        <v>1584</v>
      </c>
      <c r="I668" t="str">
        <f>VLOOKUP(H668,Table1[#All],8,FALSE)</f>
        <v>Computers</v>
      </c>
      <c r="J668" t="str" cm="1">
        <f t="array" ref="J668">_xlfn.XLOOKUP(H668,Table1[[#All],[Order ID]],Table1[[#All],[Brand]],0)</f>
        <v>Dell</v>
      </c>
      <c r="K668" t="str">
        <f>INDEX(Table1[[#All],[Product Name]],MATCH(Sheet2!H668,Table1[[#All],[Order ID]],0))</f>
        <v>Laptop</v>
      </c>
    </row>
    <row r="669" spans="1:11" x14ac:dyDescent="0.25">
      <c r="A669" s="6">
        <v>275000</v>
      </c>
      <c r="B669" t="s">
        <v>53</v>
      </c>
      <c r="F669" t="s">
        <v>27</v>
      </c>
      <c r="H669" t="s">
        <v>1586</v>
      </c>
      <c r="I669" t="str">
        <f>VLOOKUP(H669,Table1[#All],8,FALSE)</f>
        <v>Computers</v>
      </c>
      <c r="J669" t="str" cm="1">
        <f t="array" ref="J669">_xlfn.XLOOKUP(H669,Table1[[#All],[Order ID]],Table1[[#All],[Brand]],0)</f>
        <v>Dell</v>
      </c>
      <c r="K669" t="str">
        <f>INDEX(Table1[[#All],[Product Name]],MATCH(Sheet2!H669,Table1[[#All],[Order ID]],0))</f>
        <v>Laptop</v>
      </c>
    </row>
    <row r="670" spans="1:11" x14ac:dyDescent="0.25">
      <c r="A670" s="5">
        <v>15300</v>
      </c>
      <c r="B670" t="s">
        <v>39</v>
      </c>
      <c r="F670" t="s">
        <v>40</v>
      </c>
      <c r="H670" t="s">
        <v>1589</v>
      </c>
      <c r="I670" t="str">
        <f>VLOOKUP(H670,Table1[#All],8,FALSE)</f>
        <v>Office</v>
      </c>
      <c r="J670" t="str" cm="1">
        <f t="array" ref="J670">_xlfn.XLOOKUP(H670,Table1[[#All],[Order ID]],Table1[[#All],[Brand]],0)</f>
        <v>Nilkamal</v>
      </c>
      <c r="K670" t="str">
        <f>INDEX(Table1[[#All],[Product Name]],MATCH(Sheet2!H670,Table1[[#All],[Order ID]],0))</f>
        <v>Chair</v>
      </c>
    </row>
    <row r="671" spans="1:11" x14ac:dyDescent="0.25">
      <c r="A671" s="6">
        <v>3400</v>
      </c>
      <c r="B671" t="s">
        <v>26</v>
      </c>
      <c r="F671" t="s">
        <v>27</v>
      </c>
      <c r="H671" t="s">
        <v>1591</v>
      </c>
      <c r="I671" t="str">
        <f>VLOOKUP(H671,Table1[#All],8,FALSE)</f>
        <v>Accessories</v>
      </c>
      <c r="J671" t="str" cm="1">
        <f t="array" ref="J671">_xlfn.XLOOKUP(H671,Table1[[#All],[Order ID]],Table1[[#All],[Brand]],0)</f>
        <v>Logitech</v>
      </c>
      <c r="K671" t="str">
        <f>INDEX(Table1[[#All],[Product Name]],MATCH(Sheet2!H671,Table1[[#All],[Order ID]],0))</f>
        <v>Mouse</v>
      </c>
    </row>
    <row r="672" spans="1:11" x14ac:dyDescent="0.25">
      <c r="A672" s="5">
        <v>7000</v>
      </c>
      <c r="B672" t="s">
        <v>74</v>
      </c>
      <c r="F672" t="s">
        <v>27</v>
      </c>
      <c r="H672" t="s">
        <v>1592</v>
      </c>
      <c r="I672" t="str">
        <f>VLOOKUP(H672,Table1[#All],8,FALSE)</f>
        <v>Audio</v>
      </c>
      <c r="J672" t="str" cm="1">
        <f t="array" ref="J672">_xlfn.XLOOKUP(H672,Table1[[#All],[Order ID]],Table1[[#All],[Brand]],0)</f>
        <v>Sony</v>
      </c>
      <c r="K672" t="str">
        <f>INDEX(Table1[[#All],[Product Name]],MATCH(Sheet2!H672,Table1[[#All],[Order ID]],0))</f>
        <v>Headphones</v>
      </c>
    </row>
    <row r="673" spans="1:11" x14ac:dyDescent="0.25">
      <c r="A673" s="6">
        <v>220000</v>
      </c>
      <c r="B673" t="s">
        <v>53</v>
      </c>
      <c r="F673" t="s">
        <v>27</v>
      </c>
      <c r="H673" t="s">
        <v>1593</v>
      </c>
      <c r="I673" t="str">
        <f>VLOOKUP(H673,Table1[#All],8,FALSE)</f>
        <v>Computers</v>
      </c>
      <c r="J673" t="str" cm="1">
        <f t="array" ref="J673">_xlfn.XLOOKUP(H673,Table1[[#All],[Order ID]],Table1[[#All],[Brand]],0)</f>
        <v>Dell</v>
      </c>
      <c r="K673" t="str">
        <f>INDEX(Table1[[#All],[Product Name]],MATCH(Sheet2!H673,Table1[[#All],[Order ID]],0))</f>
        <v>Laptop</v>
      </c>
    </row>
    <row r="674" spans="1:11" x14ac:dyDescent="0.25">
      <c r="A674" s="5">
        <v>15300</v>
      </c>
      <c r="B674" t="s">
        <v>39</v>
      </c>
      <c r="F674" t="s">
        <v>40</v>
      </c>
      <c r="H674" t="s">
        <v>1595</v>
      </c>
      <c r="I674" t="str">
        <f>VLOOKUP(H674,Table1[#All],8,FALSE)</f>
        <v>Office</v>
      </c>
      <c r="J674" t="str" cm="1">
        <f t="array" ref="J674">_xlfn.XLOOKUP(H674,Table1[[#All],[Order ID]],Table1[[#All],[Brand]],0)</f>
        <v>Nilkamal</v>
      </c>
      <c r="K674" t="str">
        <f>INDEX(Table1[[#All],[Product Name]],MATCH(Sheet2!H674,Table1[[#All],[Order ID]],0))</f>
        <v>Chair</v>
      </c>
    </row>
    <row r="675" spans="1:11" x14ac:dyDescent="0.25">
      <c r="A675" s="6">
        <v>8925</v>
      </c>
      <c r="B675" t="s">
        <v>74</v>
      </c>
      <c r="F675" t="s">
        <v>27</v>
      </c>
      <c r="H675" t="s">
        <v>1596</v>
      </c>
      <c r="I675" t="str">
        <f>VLOOKUP(H675,Table1[#All],8,FALSE)</f>
        <v>Audio</v>
      </c>
      <c r="J675" t="str" cm="1">
        <f t="array" ref="J675">_xlfn.XLOOKUP(H675,Table1[[#All],[Order ID]],Table1[[#All],[Brand]],0)</f>
        <v>Sony</v>
      </c>
      <c r="K675" t="str">
        <f>INDEX(Table1[[#All],[Product Name]],MATCH(Sheet2!H675,Table1[[#All],[Order ID]],0))</f>
        <v>Headphones</v>
      </c>
    </row>
    <row r="676" spans="1:11" x14ac:dyDescent="0.25">
      <c r="A676" s="5">
        <v>12600</v>
      </c>
      <c r="B676" t="s">
        <v>74</v>
      </c>
      <c r="F676" t="s">
        <v>27</v>
      </c>
      <c r="H676" t="s">
        <v>1597</v>
      </c>
      <c r="I676" t="str">
        <f>VLOOKUP(H676,Table1[#All],8,FALSE)</f>
        <v>Audio</v>
      </c>
      <c r="J676" t="str" cm="1">
        <f t="array" ref="J676">_xlfn.XLOOKUP(H676,Table1[[#All],[Order ID]],Table1[[#All],[Brand]],0)</f>
        <v>Sony</v>
      </c>
      <c r="K676" t="str">
        <f>INDEX(Table1[[#All],[Product Name]],MATCH(Sheet2!H676,Table1[[#All],[Order ID]],0))</f>
        <v>Headphones</v>
      </c>
    </row>
    <row r="677" spans="1:11" x14ac:dyDescent="0.25">
      <c r="A677" s="6">
        <v>140250</v>
      </c>
      <c r="B677" t="s">
        <v>53</v>
      </c>
      <c r="F677" t="s">
        <v>27</v>
      </c>
      <c r="H677" t="s">
        <v>1599</v>
      </c>
      <c r="I677" t="str">
        <f>VLOOKUP(H677,Table1[#All],8,FALSE)</f>
        <v>Computers</v>
      </c>
      <c r="J677" t="str" cm="1">
        <f t="array" ref="J677">_xlfn.XLOOKUP(H677,Table1[[#All],[Order ID]],Table1[[#All],[Brand]],0)</f>
        <v>Dell</v>
      </c>
      <c r="K677" t="str">
        <f>INDEX(Table1[[#All],[Product Name]],MATCH(Sheet2!H677,Table1[[#All],[Order ID]],0))</f>
        <v>Laptop</v>
      </c>
    </row>
    <row r="678" spans="1:11" x14ac:dyDescent="0.25">
      <c r="A678" s="5">
        <v>104500</v>
      </c>
      <c r="B678" t="s">
        <v>53</v>
      </c>
      <c r="F678" t="s">
        <v>27</v>
      </c>
      <c r="H678" t="s">
        <v>1601</v>
      </c>
      <c r="I678" t="str">
        <f>VLOOKUP(H678,Table1[#All],8,FALSE)</f>
        <v>Computers</v>
      </c>
      <c r="J678" t="str" cm="1">
        <f t="array" ref="J678">_xlfn.XLOOKUP(H678,Table1[[#All],[Order ID]],Table1[[#All],[Brand]],0)</f>
        <v>Dell</v>
      </c>
      <c r="K678" t="str">
        <f>INDEX(Table1[[#All],[Product Name]],MATCH(Sheet2!H678,Table1[[#All],[Order ID]],0))</f>
        <v>Laptop</v>
      </c>
    </row>
    <row r="679" spans="1:11" x14ac:dyDescent="0.25">
      <c r="A679" s="6">
        <v>5700</v>
      </c>
      <c r="B679" t="s">
        <v>68</v>
      </c>
      <c r="F679" t="s">
        <v>27</v>
      </c>
      <c r="H679" t="s">
        <v>1602</v>
      </c>
      <c r="I679" t="str">
        <f>VLOOKUP(H679,Table1[#All],8,FALSE)</f>
        <v>Accessories</v>
      </c>
      <c r="J679" t="str" cm="1">
        <f t="array" ref="J679">_xlfn.XLOOKUP(H679,Table1[[#All],[Order ID]],Table1[[#All],[Brand]],0)</f>
        <v>HP</v>
      </c>
      <c r="K679" t="str">
        <f>INDEX(Table1[[#All],[Product Name]],MATCH(Sheet2!H679,Table1[[#All],[Order ID]],0))</f>
        <v>Keyboard</v>
      </c>
    </row>
    <row r="680" spans="1:11" x14ac:dyDescent="0.25">
      <c r="A680" s="5">
        <v>55000</v>
      </c>
      <c r="B680" t="s">
        <v>53</v>
      </c>
      <c r="F680" t="s">
        <v>27</v>
      </c>
      <c r="H680" t="s">
        <v>1604</v>
      </c>
      <c r="I680" t="str">
        <f>VLOOKUP(H680,Table1[#All],8,FALSE)</f>
        <v>Computers</v>
      </c>
      <c r="J680" t="str" cm="1">
        <f t="array" ref="J680">_xlfn.XLOOKUP(H680,Table1[[#All],[Order ID]],Table1[[#All],[Brand]],0)</f>
        <v>Dell</v>
      </c>
      <c r="K680" t="str">
        <f>INDEX(Table1[[#All],[Product Name]],MATCH(Sheet2!H680,Table1[[#All],[Order ID]],0))</f>
        <v>Laptop</v>
      </c>
    </row>
    <row r="681" spans="1:11" x14ac:dyDescent="0.25">
      <c r="A681" s="6">
        <v>46750</v>
      </c>
      <c r="B681" t="s">
        <v>53</v>
      </c>
      <c r="F681" t="s">
        <v>27</v>
      </c>
      <c r="H681" t="s">
        <v>1606</v>
      </c>
      <c r="I681" t="str">
        <f>VLOOKUP(H681,Table1[#All],8,FALSE)</f>
        <v>Computers</v>
      </c>
      <c r="J681" t="str" cm="1">
        <f t="array" ref="J681">_xlfn.XLOOKUP(H681,Table1[[#All],[Order ID]],Table1[[#All],[Brand]],0)</f>
        <v>Dell</v>
      </c>
      <c r="K681" t="str">
        <f>INDEX(Table1[[#All],[Product Name]],MATCH(Sheet2!H681,Table1[[#All],[Order ID]],0))</f>
        <v>Laptop</v>
      </c>
    </row>
    <row r="682" spans="1:11" x14ac:dyDescent="0.25">
      <c r="A682" s="5">
        <v>800</v>
      </c>
      <c r="B682" t="s">
        <v>26</v>
      </c>
      <c r="F682" t="s">
        <v>27</v>
      </c>
      <c r="H682" t="s">
        <v>1607</v>
      </c>
      <c r="I682" t="str">
        <f>VLOOKUP(H682,Table1[#All],8,FALSE)</f>
        <v>Accessories</v>
      </c>
      <c r="J682" t="str" cm="1">
        <f t="array" ref="J682">_xlfn.XLOOKUP(H682,Table1[[#All],[Order ID]],Table1[[#All],[Brand]],0)</f>
        <v>Logitech</v>
      </c>
      <c r="K682" t="str">
        <f>INDEX(Table1[[#All],[Product Name]],MATCH(Sheet2!H682,Table1[[#All],[Order ID]],0))</f>
        <v>Mouse</v>
      </c>
    </row>
    <row r="683" spans="1:11" x14ac:dyDescent="0.25">
      <c r="A683" s="6">
        <v>3325</v>
      </c>
      <c r="B683" t="s">
        <v>74</v>
      </c>
      <c r="F683" t="s">
        <v>27</v>
      </c>
      <c r="H683" t="s">
        <v>1609</v>
      </c>
      <c r="I683" t="str">
        <f>VLOOKUP(H683,Table1[#All],8,FALSE)</f>
        <v>Audio</v>
      </c>
      <c r="J683" t="str" cm="1">
        <f t="array" ref="J683">_xlfn.XLOOKUP(H683,Table1[[#All],[Order ID]],Table1[[#All],[Brand]],0)</f>
        <v>Sony</v>
      </c>
      <c r="K683" t="str">
        <f>INDEX(Table1[[#All],[Product Name]],MATCH(Sheet2!H683,Table1[[#All],[Order ID]],0))</f>
        <v>Headphones</v>
      </c>
    </row>
    <row r="684" spans="1:11" x14ac:dyDescent="0.25">
      <c r="A684" s="5">
        <v>5700</v>
      </c>
      <c r="B684" t="s">
        <v>68</v>
      </c>
      <c r="F684" t="s">
        <v>27</v>
      </c>
      <c r="H684" t="s">
        <v>1610</v>
      </c>
      <c r="I684" t="str">
        <f>VLOOKUP(H684,Table1[#All],8,FALSE)</f>
        <v>Accessories</v>
      </c>
      <c r="J684" t="str" cm="1">
        <f t="array" ref="J684">_xlfn.XLOOKUP(H684,Table1[[#All],[Order ID]],Table1[[#All],[Brand]],0)</f>
        <v>HP</v>
      </c>
      <c r="K684" t="str">
        <f>INDEX(Table1[[#All],[Product Name]],MATCH(Sheet2!H684,Table1[[#All],[Order ID]],0))</f>
        <v>Keyboard</v>
      </c>
    </row>
    <row r="685" spans="1:11" x14ac:dyDescent="0.25">
      <c r="A685" s="6">
        <v>2975</v>
      </c>
      <c r="B685" t="s">
        <v>74</v>
      </c>
      <c r="F685" t="s">
        <v>27</v>
      </c>
      <c r="H685" t="s">
        <v>1612</v>
      </c>
      <c r="I685" t="str">
        <f>VLOOKUP(H685,Table1[#All],8,FALSE)</f>
        <v>Audio</v>
      </c>
      <c r="J685" t="str" cm="1">
        <f t="array" ref="J685">_xlfn.XLOOKUP(H685,Table1[[#All],[Order ID]],Table1[[#All],[Brand]],0)</f>
        <v>Sony</v>
      </c>
      <c r="K685" t="str">
        <f>INDEX(Table1[[#All],[Product Name]],MATCH(Sheet2!H685,Table1[[#All],[Order ID]],0))</f>
        <v>Headphones</v>
      </c>
    </row>
    <row r="686" spans="1:11" x14ac:dyDescent="0.25">
      <c r="A686" s="5">
        <v>99000</v>
      </c>
      <c r="B686" t="s">
        <v>53</v>
      </c>
      <c r="F686" t="s">
        <v>27</v>
      </c>
      <c r="H686" t="s">
        <v>1614</v>
      </c>
      <c r="I686" t="str">
        <f>VLOOKUP(H686,Table1[#All],8,FALSE)</f>
        <v>Computers</v>
      </c>
      <c r="J686" t="str" cm="1">
        <f t="array" ref="J686">_xlfn.XLOOKUP(H686,Table1[[#All],[Order ID]],Table1[[#All],[Brand]],0)</f>
        <v>Dell</v>
      </c>
      <c r="K686" t="str">
        <f>INDEX(Table1[[#All],[Product Name]],MATCH(Sheet2!H686,Table1[[#All],[Order ID]],0))</f>
        <v>Laptop</v>
      </c>
    </row>
    <row r="687" spans="1:11" x14ac:dyDescent="0.25">
      <c r="A687" s="6">
        <v>1520</v>
      </c>
      <c r="B687" t="s">
        <v>26</v>
      </c>
      <c r="F687" t="s">
        <v>27</v>
      </c>
      <c r="H687" t="s">
        <v>1616</v>
      </c>
      <c r="I687" t="str">
        <f>VLOOKUP(H687,Table1[#All],8,FALSE)</f>
        <v>Accessories</v>
      </c>
      <c r="J687" t="str" cm="1">
        <f t="array" ref="J687">_xlfn.XLOOKUP(H687,Table1[[#All],[Order ID]],Table1[[#All],[Brand]],0)</f>
        <v>Logitech</v>
      </c>
      <c r="K687" t="str">
        <f>INDEX(Table1[[#All],[Product Name]],MATCH(Sheet2!H687,Table1[[#All],[Order ID]],0))</f>
        <v>Mouse</v>
      </c>
    </row>
    <row r="688" spans="1:11" x14ac:dyDescent="0.25">
      <c r="A688" s="5">
        <v>2280</v>
      </c>
      <c r="B688" t="s">
        <v>26</v>
      </c>
      <c r="F688" t="s">
        <v>27</v>
      </c>
      <c r="H688" t="s">
        <v>1618</v>
      </c>
      <c r="I688" t="str">
        <f>VLOOKUP(H688,Table1[#All],8,FALSE)</f>
        <v>Accessories</v>
      </c>
      <c r="J688" t="str" cm="1">
        <f t="array" ref="J688">_xlfn.XLOOKUP(H688,Table1[[#All],[Order ID]],Table1[[#All],[Brand]],0)</f>
        <v>Logitech</v>
      </c>
      <c r="K688" t="str">
        <f>INDEX(Table1[[#All],[Product Name]],MATCH(Sheet2!H688,Table1[[#All],[Order ID]],0))</f>
        <v>Mouse</v>
      </c>
    </row>
    <row r="689" spans="1:11" x14ac:dyDescent="0.25">
      <c r="A689" s="6">
        <v>17500</v>
      </c>
      <c r="B689" t="s">
        <v>74</v>
      </c>
      <c r="F689" t="s">
        <v>27</v>
      </c>
      <c r="H689" t="s">
        <v>1619</v>
      </c>
      <c r="I689" t="str">
        <f>VLOOKUP(H689,Table1[#All],8,FALSE)</f>
        <v>Audio</v>
      </c>
      <c r="J689" t="str" cm="1">
        <f t="array" ref="J689">_xlfn.XLOOKUP(H689,Table1[[#All],[Order ID]],Table1[[#All],[Brand]],0)</f>
        <v>Sony</v>
      </c>
      <c r="K689" t="str">
        <f>INDEX(Table1[[#All],[Product Name]],MATCH(Sheet2!H689,Table1[[#All],[Order ID]],0))</f>
        <v>Headphones</v>
      </c>
    </row>
    <row r="690" spans="1:11" x14ac:dyDescent="0.25">
      <c r="A690" s="5">
        <v>46750</v>
      </c>
      <c r="B690" t="s">
        <v>53</v>
      </c>
      <c r="F690" t="s">
        <v>27</v>
      </c>
      <c r="H690" t="s">
        <v>1621</v>
      </c>
      <c r="I690" t="str">
        <f>VLOOKUP(H690,Table1[#All],8,FALSE)</f>
        <v>Computers</v>
      </c>
      <c r="J690" t="str" cm="1">
        <f t="array" ref="J690">_xlfn.XLOOKUP(H690,Table1[[#All],[Order ID]],Table1[[#All],[Brand]],0)</f>
        <v>Dell</v>
      </c>
      <c r="K690" t="str">
        <f>INDEX(Table1[[#All],[Product Name]],MATCH(Sheet2!H690,Table1[[#All],[Order ID]],0))</f>
        <v>Laptop</v>
      </c>
    </row>
    <row r="691" spans="1:11" x14ac:dyDescent="0.25">
      <c r="A691" s="6">
        <v>3825</v>
      </c>
      <c r="B691" t="s">
        <v>39</v>
      </c>
      <c r="F691" t="s">
        <v>40</v>
      </c>
      <c r="H691" t="s">
        <v>1623</v>
      </c>
      <c r="I691" t="str">
        <f>VLOOKUP(H691,Table1[#All],8,FALSE)</f>
        <v>Office</v>
      </c>
      <c r="J691" t="str" cm="1">
        <f t="array" ref="J691">_xlfn.XLOOKUP(H691,Table1[[#All],[Order ID]],Table1[[#All],[Brand]],0)</f>
        <v>Nilkamal</v>
      </c>
      <c r="K691" t="str">
        <f>INDEX(Table1[[#All],[Product Name]],MATCH(Sheet2!H691,Table1[[#All],[Order ID]],0))</f>
        <v>Chair</v>
      </c>
    </row>
    <row r="692" spans="1:11" x14ac:dyDescent="0.25">
      <c r="A692" s="5">
        <v>1500</v>
      </c>
      <c r="B692" t="s">
        <v>68</v>
      </c>
      <c r="F692" t="s">
        <v>27</v>
      </c>
      <c r="H692" t="s">
        <v>1625</v>
      </c>
      <c r="I692" t="str">
        <f>VLOOKUP(H692,Table1[#All],8,FALSE)</f>
        <v>Accessories</v>
      </c>
      <c r="J692" t="str" cm="1">
        <f t="array" ref="J692">_xlfn.XLOOKUP(H692,Table1[[#All],[Order ID]],Table1[[#All],[Brand]],0)</f>
        <v>HP</v>
      </c>
      <c r="K692" t="str">
        <f>INDEX(Table1[[#All],[Product Name]],MATCH(Sheet2!H692,Table1[[#All],[Order ID]],0))</f>
        <v>Keyboard</v>
      </c>
    </row>
    <row r="693" spans="1:11" x14ac:dyDescent="0.25">
      <c r="A693" s="6">
        <v>4275</v>
      </c>
      <c r="B693" t="s">
        <v>68</v>
      </c>
      <c r="F693" t="s">
        <v>27</v>
      </c>
      <c r="H693" t="s">
        <v>1626</v>
      </c>
      <c r="I693" t="str">
        <f>VLOOKUP(H693,Table1[#All],8,FALSE)</f>
        <v>Accessories</v>
      </c>
      <c r="J693" t="str" cm="1">
        <f t="array" ref="J693">_xlfn.XLOOKUP(H693,Table1[[#All],[Order ID]],Table1[[#All],[Brand]],0)</f>
        <v>HP</v>
      </c>
      <c r="K693" t="str">
        <f>INDEX(Table1[[#All],[Product Name]],MATCH(Sheet2!H693,Table1[[#All],[Order ID]],0))</f>
        <v>Keyboard</v>
      </c>
    </row>
    <row r="694" spans="1:11" x14ac:dyDescent="0.25">
      <c r="A694" s="5">
        <v>1440</v>
      </c>
      <c r="B694" t="s">
        <v>26</v>
      </c>
      <c r="F694" t="s">
        <v>27</v>
      </c>
      <c r="H694" t="s">
        <v>1627</v>
      </c>
      <c r="I694" t="str">
        <f>VLOOKUP(H694,Table1[#All],8,FALSE)</f>
        <v>Accessories</v>
      </c>
      <c r="J694" t="str" cm="1">
        <f t="array" ref="J694">_xlfn.XLOOKUP(H694,Table1[[#All],[Order ID]],Table1[[#All],[Brand]],0)</f>
        <v>Logitech</v>
      </c>
      <c r="K694" t="str">
        <f>INDEX(Table1[[#All],[Product Name]],MATCH(Sheet2!H694,Table1[[#All],[Order ID]],0))</f>
        <v>Mouse</v>
      </c>
    </row>
    <row r="695" spans="1:11" x14ac:dyDescent="0.25">
      <c r="A695" s="6">
        <v>4500</v>
      </c>
      <c r="B695" t="s">
        <v>68</v>
      </c>
      <c r="F695" t="s">
        <v>27</v>
      </c>
      <c r="H695" t="s">
        <v>1629</v>
      </c>
      <c r="I695" t="str">
        <f>VLOOKUP(H695,Table1[#All],8,FALSE)</f>
        <v>Accessories</v>
      </c>
      <c r="J695" t="str" cm="1">
        <f t="array" ref="J695">_xlfn.XLOOKUP(H695,Table1[[#All],[Order ID]],Table1[[#All],[Brand]],0)</f>
        <v>HP</v>
      </c>
      <c r="K695" t="str">
        <f>INDEX(Table1[[#All],[Product Name]],MATCH(Sheet2!H695,Table1[[#All],[Order ID]],0))</f>
        <v>Keyboard</v>
      </c>
    </row>
    <row r="696" spans="1:11" x14ac:dyDescent="0.25">
      <c r="A696" s="5">
        <v>1500</v>
      </c>
      <c r="B696" t="s">
        <v>68</v>
      </c>
      <c r="F696" t="s">
        <v>27</v>
      </c>
      <c r="H696" t="s">
        <v>1631</v>
      </c>
      <c r="I696" t="str">
        <f>VLOOKUP(H696,Table1[#All],8,FALSE)</f>
        <v>Accessories</v>
      </c>
      <c r="J696" t="str" cm="1">
        <f t="array" ref="J696">_xlfn.XLOOKUP(H696,Table1[[#All],[Order ID]],Table1[[#All],[Brand]],0)</f>
        <v>HP</v>
      </c>
      <c r="K696" t="str">
        <f>INDEX(Table1[[#All],[Product Name]],MATCH(Sheet2!H696,Table1[[#All],[Order ID]],0))</f>
        <v>Keyboard</v>
      </c>
    </row>
    <row r="697" spans="1:11" x14ac:dyDescent="0.25">
      <c r="A697" s="6">
        <v>13500</v>
      </c>
      <c r="B697" t="s">
        <v>39</v>
      </c>
      <c r="F697" t="s">
        <v>40</v>
      </c>
      <c r="H697" t="s">
        <v>1633</v>
      </c>
      <c r="I697" t="str">
        <f>VLOOKUP(H697,Table1[#All],8,FALSE)</f>
        <v>Office</v>
      </c>
      <c r="J697" t="str" cm="1">
        <f t="array" ref="J697">_xlfn.XLOOKUP(H697,Table1[[#All],[Order ID]],Table1[[#All],[Brand]],0)</f>
        <v>Nilkamal</v>
      </c>
      <c r="K697" t="str">
        <f>INDEX(Table1[[#All],[Product Name]],MATCH(Sheet2!H697,Table1[[#All],[Order ID]],0))</f>
        <v>Chair</v>
      </c>
    </row>
    <row r="698" spans="1:11" x14ac:dyDescent="0.25">
      <c r="A698" s="5">
        <v>11475</v>
      </c>
      <c r="B698" t="s">
        <v>39</v>
      </c>
      <c r="F698" t="s">
        <v>40</v>
      </c>
      <c r="H698" t="s">
        <v>1635</v>
      </c>
      <c r="I698" t="str">
        <f>VLOOKUP(H698,Table1[#All],8,FALSE)</f>
        <v>Office</v>
      </c>
      <c r="J698" t="str" cm="1">
        <f t="array" ref="J698">_xlfn.XLOOKUP(H698,Table1[[#All],[Order ID]],Table1[[#All],[Brand]],0)</f>
        <v>Nilkamal</v>
      </c>
      <c r="K698" t="str">
        <f>INDEX(Table1[[#All],[Product Name]],MATCH(Sheet2!H698,Table1[[#All],[Order ID]],0))</f>
        <v>Chair</v>
      </c>
    </row>
    <row r="699" spans="1:11" x14ac:dyDescent="0.25">
      <c r="A699" s="6">
        <v>2720</v>
      </c>
      <c r="B699" t="s">
        <v>26</v>
      </c>
      <c r="F699" t="s">
        <v>27</v>
      </c>
      <c r="H699" t="s">
        <v>1637</v>
      </c>
      <c r="I699" t="str">
        <f>VLOOKUP(H699,Table1[#All],8,FALSE)</f>
        <v>Accessories</v>
      </c>
      <c r="J699" t="str" cm="1">
        <f t="array" ref="J699">_xlfn.XLOOKUP(H699,Table1[[#All],[Order ID]],Table1[[#All],[Brand]],0)</f>
        <v>Logitech</v>
      </c>
      <c r="K699" t="str">
        <f>INDEX(Table1[[#All],[Product Name]],MATCH(Sheet2!H699,Table1[[#All],[Order ID]],0))</f>
        <v>Mouse</v>
      </c>
    </row>
    <row r="700" spans="1:11" x14ac:dyDescent="0.25">
      <c r="A700" s="5">
        <v>3825</v>
      </c>
      <c r="B700" t="s">
        <v>39</v>
      </c>
      <c r="F700" t="s">
        <v>40</v>
      </c>
      <c r="H700" t="s">
        <v>1639</v>
      </c>
      <c r="I700" t="str">
        <f>VLOOKUP(H700,Table1[#All],8,FALSE)</f>
        <v>Office</v>
      </c>
      <c r="J700" t="str" cm="1">
        <f t="array" ref="J700">_xlfn.XLOOKUP(H700,Table1[[#All],[Order ID]],Table1[[#All],[Brand]],0)</f>
        <v>Nilkamal</v>
      </c>
      <c r="K700" t="str">
        <f>INDEX(Table1[[#All],[Product Name]],MATCH(Sheet2!H700,Table1[[#All],[Order ID]],0))</f>
        <v>Chair</v>
      </c>
    </row>
    <row r="701" spans="1:11" x14ac:dyDescent="0.25">
      <c r="A701" s="6">
        <v>680</v>
      </c>
      <c r="B701" t="s">
        <v>26</v>
      </c>
      <c r="F701" t="s">
        <v>27</v>
      </c>
      <c r="H701" t="s">
        <v>1641</v>
      </c>
      <c r="I701" t="str">
        <f>VLOOKUP(H701,Table1[#All],8,FALSE)</f>
        <v>Accessories</v>
      </c>
      <c r="J701" t="str" cm="1">
        <f t="array" ref="J701">_xlfn.XLOOKUP(H701,Table1[[#All],[Order ID]],Table1[[#All],[Brand]],0)</f>
        <v>Logitech</v>
      </c>
      <c r="K701" t="str">
        <f>INDEX(Table1[[#All],[Product Name]],MATCH(Sheet2!H701,Table1[[#All],[Order ID]],0))</f>
        <v>Mouse</v>
      </c>
    </row>
    <row r="702" spans="1:11" x14ac:dyDescent="0.25">
      <c r="A702" s="5">
        <v>5950</v>
      </c>
      <c r="B702" t="s">
        <v>74</v>
      </c>
      <c r="F702" t="s">
        <v>27</v>
      </c>
      <c r="H702" t="s">
        <v>1642</v>
      </c>
      <c r="I702" t="str">
        <f>VLOOKUP(H702,Table1[#All],8,FALSE)</f>
        <v>Audio</v>
      </c>
      <c r="J702" t="str" cm="1">
        <f t="array" ref="J702">_xlfn.XLOOKUP(H702,Table1[[#All],[Order ID]],Table1[[#All],[Brand]],0)</f>
        <v>Sony</v>
      </c>
      <c r="K702" t="str">
        <f>INDEX(Table1[[#All],[Product Name]],MATCH(Sheet2!H702,Table1[[#All],[Order ID]],0))</f>
        <v>Headphones</v>
      </c>
    </row>
    <row r="703" spans="1:11" x14ac:dyDescent="0.25">
      <c r="A703" s="6">
        <v>247500</v>
      </c>
      <c r="B703" t="s">
        <v>53</v>
      </c>
      <c r="F703" t="s">
        <v>27</v>
      </c>
      <c r="H703" t="s">
        <v>1643</v>
      </c>
      <c r="I703" t="str">
        <f>VLOOKUP(H703,Table1[#All],8,FALSE)</f>
        <v>Computers</v>
      </c>
      <c r="J703" t="str" cm="1">
        <f t="array" ref="J703">_xlfn.XLOOKUP(H703,Table1[[#All],[Order ID]],Table1[[#All],[Brand]],0)</f>
        <v>Dell</v>
      </c>
      <c r="K703" t="str">
        <f>INDEX(Table1[[#All],[Product Name]],MATCH(Sheet2!H703,Table1[[#All],[Order ID]],0))</f>
        <v>Laptop</v>
      </c>
    </row>
    <row r="704" spans="1:11" x14ac:dyDescent="0.25">
      <c r="A704" s="5">
        <v>49500</v>
      </c>
      <c r="B704" t="s">
        <v>53</v>
      </c>
      <c r="F704" t="s">
        <v>27</v>
      </c>
      <c r="H704" t="s">
        <v>1646</v>
      </c>
      <c r="I704" t="str">
        <f>VLOOKUP(H704,Table1[#All],8,FALSE)</f>
        <v>Computers</v>
      </c>
      <c r="J704" t="str" cm="1">
        <f t="array" ref="J704">_xlfn.XLOOKUP(H704,Table1[[#All],[Order ID]],Table1[[#All],[Brand]],0)</f>
        <v>Dell</v>
      </c>
      <c r="K704" t="str">
        <f>INDEX(Table1[[#All],[Product Name]],MATCH(Sheet2!H704,Table1[[#All],[Order ID]],0))</f>
        <v>Laptop</v>
      </c>
    </row>
    <row r="705" spans="1:11" x14ac:dyDescent="0.25">
      <c r="A705" s="6">
        <v>165000</v>
      </c>
      <c r="B705" t="s">
        <v>53</v>
      </c>
      <c r="F705" t="s">
        <v>27</v>
      </c>
      <c r="H705" t="s">
        <v>1648</v>
      </c>
      <c r="I705" t="str">
        <f>VLOOKUP(H705,Table1[#All],8,FALSE)</f>
        <v>Computers</v>
      </c>
      <c r="J705" t="str" cm="1">
        <f t="array" ref="J705">_xlfn.XLOOKUP(H705,Table1[[#All],[Order ID]],Table1[[#All],[Brand]],0)</f>
        <v>Dell</v>
      </c>
      <c r="K705" t="str">
        <f>INDEX(Table1[[#All],[Product Name]],MATCH(Sheet2!H705,Table1[[#All],[Order ID]],0))</f>
        <v>Laptop</v>
      </c>
    </row>
    <row r="706" spans="1:11" x14ac:dyDescent="0.25">
      <c r="A706" s="5">
        <v>3825</v>
      </c>
      <c r="B706" t="s">
        <v>68</v>
      </c>
      <c r="F706" t="s">
        <v>27</v>
      </c>
      <c r="H706" t="s">
        <v>1651</v>
      </c>
      <c r="I706" t="str">
        <f>VLOOKUP(H706,Table1[#All],8,FALSE)</f>
        <v>Accessories</v>
      </c>
      <c r="J706" t="str" cm="1">
        <f t="array" ref="J706">_xlfn.XLOOKUP(H706,Table1[[#All],[Order ID]],Table1[[#All],[Brand]],0)</f>
        <v>HP</v>
      </c>
      <c r="K706" t="str">
        <f>INDEX(Table1[[#All],[Product Name]],MATCH(Sheet2!H706,Table1[[#All],[Order ID]],0))</f>
        <v>Keyboard</v>
      </c>
    </row>
    <row r="707" spans="1:11" x14ac:dyDescent="0.25">
      <c r="A707" s="6">
        <v>3600</v>
      </c>
      <c r="B707" t="s">
        <v>26</v>
      </c>
      <c r="F707" t="s">
        <v>27</v>
      </c>
      <c r="H707" t="s">
        <v>1654</v>
      </c>
      <c r="I707" t="str">
        <f>VLOOKUP(H707,Table1[#All],8,FALSE)</f>
        <v>Accessories</v>
      </c>
      <c r="J707" t="str" cm="1">
        <f t="array" ref="J707">_xlfn.XLOOKUP(H707,Table1[[#All],[Order ID]],Table1[[#All],[Brand]],0)</f>
        <v>Logitech</v>
      </c>
      <c r="K707" t="str">
        <f>INDEX(Table1[[#All],[Product Name]],MATCH(Sheet2!H707,Table1[[#All],[Order ID]],0))</f>
        <v>Mouse</v>
      </c>
    </row>
    <row r="708" spans="1:11" x14ac:dyDescent="0.25">
      <c r="A708" s="5">
        <v>2280</v>
      </c>
      <c r="B708" t="s">
        <v>26</v>
      </c>
      <c r="F708" t="s">
        <v>27</v>
      </c>
      <c r="H708" t="s">
        <v>1655</v>
      </c>
      <c r="I708" t="str">
        <f>VLOOKUP(H708,Table1[#All],8,FALSE)</f>
        <v>Accessories</v>
      </c>
      <c r="J708" t="str" cm="1">
        <f t="array" ref="J708">_xlfn.XLOOKUP(H708,Table1[[#All],[Order ID]],Table1[[#All],[Brand]],0)</f>
        <v>Logitech</v>
      </c>
      <c r="K708" t="str">
        <f>INDEX(Table1[[#All],[Product Name]],MATCH(Sheet2!H708,Table1[[#All],[Order ID]],0))</f>
        <v>Mouse</v>
      </c>
    </row>
    <row r="709" spans="1:11" x14ac:dyDescent="0.25">
      <c r="A709" s="6">
        <v>2550</v>
      </c>
      <c r="B709" t="s">
        <v>68</v>
      </c>
      <c r="F709" t="s">
        <v>27</v>
      </c>
      <c r="H709" t="s">
        <v>1658</v>
      </c>
      <c r="I709" t="str">
        <f>VLOOKUP(H709,Table1[#All],8,FALSE)</f>
        <v>Accessories</v>
      </c>
      <c r="J709" t="str" cm="1">
        <f t="array" ref="J709">_xlfn.XLOOKUP(H709,Table1[[#All],[Order ID]],Table1[[#All],[Brand]],0)</f>
        <v>HP</v>
      </c>
      <c r="K709" t="str">
        <f>INDEX(Table1[[#All],[Product Name]],MATCH(Sheet2!H709,Table1[[#All],[Order ID]],0))</f>
        <v>Keyboard</v>
      </c>
    </row>
    <row r="710" spans="1:11" x14ac:dyDescent="0.25">
      <c r="A710" s="5">
        <v>1360</v>
      </c>
      <c r="B710" t="s">
        <v>26</v>
      </c>
      <c r="F710" t="s">
        <v>27</v>
      </c>
      <c r="H710" t="s">
        <v>1661</v>
      </c>
      <c r="I710" t="str">
        <f>VLOOKUP(H710,Table1[#All],8,FALSE)</f>
        <v>Accessories</v>
      </c>
      <c r="J710" t="str" cm="1">
        <f t="array" ref="J710">_xlfn.XLOOKUP(H710,Table1[[#All],[Order ID]],Table1[[#All],[Brand]],0)</f>
        <v>Logitech</v>
      </c>
      <c r="K710" t="str">
        <f>INDEX(Table1[[#All],[Product Name]],MATCH(Sheet2!H710,Table1[[#All],[Order ID]],0))</f>
        <v>Mouse</v>
      </c>
    </row>
    <row r="711" spans="1:11" x14ac:dyDescent="0.25">
      <c r="A711" s="6">
        <v>12150</v>
      </c>
      <c r="B711" t="s">
        <v>39</v>
      </c>
      <c r="F711" t="s">
        <v>40</v>
      </c>
      <c r="H711" t="s">
        <v>1663</v>
      </c>
      <c r="I711" t="str">
        <f>VLOOKUP(H711,Table1[#All],8,FALSE)</f>
        <v>Office</v>
      </c>
      <c r="J711" t="str" cm="1">
        <f t="array" ref="J711">_xlfn.XLOOKUP(H711,Table1[[#All],[Order ID]],Table1[[#All],[Brand]],0)</f>
        <v>Nilkamal</v>
      </c>
      <c r="K711" t="str">
        <f>INDEX(Table1[[#All],[Product Name]],MATCH(Sheet2!H711,Table1[[#All],[Order ID]],0))</f>
        <v>Chair</v>
      </c>
    </row>
    <row r="712" spans="1:11" x14ac:dyDescent="0.25">
      <c r="A712" s="5">
        <v>55000</v>
      </c>
      <c r="B712" t="s">
        <v>53</v>
      </c>
      <c r="F712" t="s">
        <v>27</v>
      </c>
      <c r="H712" t="s">
        <v>1665</v>
      </c>
      <c r="I712" t="str">
        <f>VLOOKUP(H712,Table1[#All],8,FALSE)</f>
        <v>Computers</v>
      </c>
      <c r="J712" t="str" cm="1">
        <f t="array" ref="J712">_xlfn.XLOOKUP(H712,Table1[[#All],[Order ID]],Table1[[#All],[Brand]],0)</f>
        <v>Dell</v>
      </c>
      <c r="K712" t="str">
        <f>INDEX(Table1[[#All],[Product Name]],MATCH(Sheet2!H712,Table1[[#All],[Order ID]],0))</f>
        <v>Laptop</v>
      </c>
    </row>
    <row r="713" spans="1:11" x14ac:dyDescent="0.25">
      <c r="A713" s="6">
        <v>16200</v>
      </c>
      <c r="B713" t="s">
        <v>39</v>
      </c>
      <c r="F713" t="s">
        <v>40</v>
      </c>
      <c r="H713" t="s">
        <v>1666</v>
      </c>
      <c r="I713" t="str">
        <f>VLOOKUP(H713,Table1[#All],8,FALSE)</f>
        <v>Office</v>
      </c>
      <c r="J713" t="str" cm="1">
        <f t="array" ref="J713">_xlfn.XLOOKUP(H713,Table1[[#All],[Order ID]],Table1[[#All],[Brand]],0)</f>
        <v>Nilkamal</v>
      </c>
      <c r="K713" t="str">
        <f>INDEX(Table1[[#All],[Product Name]],MATCH(Sheet2!H713,Table1[[#All],[Order ID]],0))</f>
        <v>Chair</v>
      </c>
    </row>
    <row r="714" spans="1:11" x14ac:dyDescent="0.25">
      <c r="A714" s="5">
        <v>7125</v>
      </c>
      <c r="B714" t="s">
        <v>68</v>
      </c>
      <c r="F714" t="s">
        <v>27</v>
      </c>
      <c r="H714" t="s">
        <v>1668</v>
      </c>
      <c r="I714" t="str">
        <f>VLOOKUP(H714,Table1[#All],8,FALSE)</f>
        <v>Accessories</v>
      </c>
      <c r="J714" t="str" cm="1">
        <f t="array" ref="J714">_xlfn.XLOOKUP(H714,Table1[[#All],[Order ID]],Table1[[#All],[Brand]],0)</f>
        <v>HP</v>
      </c>
      <c r="K714" t="str">
        <f>INDEX(Table1[[#All],[Product Name]],MATCH(Sheet2!H714,Table1[[#All],[Order ID]],0))</f>
        <v>Keyboard</v>
      </c>
    </row>
    <row r="715" spans="1:11" x14ac:dyDescent="0.25">
      <c r="A715" s="6">
        <v>3040</v>
      </c>
      <c r="B715" t="s">
        <v>26</v>
      </c>
      <c r="F715" t="s">
        <v>27</v>
      </c>
      <c r="H715" t="s">
        <v>1669</v>
      </c>
      <c r="I715" t="str">
        <f>VLOOKUP(H715,Table1[#All],8,FALSE)</f>
        <v>Accessories</v>
      </c>
      <c r="J715" t="str" cm="1">
        <f t="array" ref="J715">_xlfn.XLOOKUP(H715,Table1[[#All],[Order ID]],Table1[[#All],[Brand]],0)</f>
        <v>Logitech</v>
      </c>
      <c r="K715" t="str">
        <f>INDEX(Table1[[#All],[Product Name]],MATCH(Sheet2!H715,Table1[[#All],[Order ID]],0))</f>
        <v>Mouse</v>
      </c>
    </row>
    <row r="716" spans="1:11" x14ac:dyDescent="0.25">
      <c r="A716" s="5">
        <v>13300</v>
      </c>
      <c r="B716" t="s">
        <v>74</v>
      </c>
      <c r="F716" t="s">
        <v>27</v>
      </c>
      <c r="H716" t="s">
        <v>1670</v>
      </c>
      <c r="I716" t="str">
        <f>VLOOKUP(H716,Table1[#All],8,FALSE)</f>
        <v>Audio</v>
      </c>
      <c r="J716" t="str" cm="1">
        <f t="array" ref="J716">_xlfn.XLOOKUP(H716,Table1[[#All],[Order ID]],Table1[[#All],[Brand]],0)</f>
        <v>Sony</v>
      </c>
      <c r="K716" t="str">
        <f>INDEX(Table1[[#All],[Product Name]],MATCH(Sheet2!H716,Table1[[#All],[Order ID]],0))</f>
        <v>Headphones</v>
      </c>
    </row>
    <row r="717" spans="1:11" x14ac:dyDescent="0.25">
      <c r="A717" s="6">
        <v>3825</v>
      </c>
      <c r="B717" t="s">
        <v>68</v>
      </c>
      <c r="F717" t="s">
        <v>27</v>
      </c>
      <c r="H717" t="s">
        <v>1671</v>
      </c>
      <c r="I717" t="str">
        <f>VLOOKUP(H717,Table1[#All],8,FALSE)</f>
        <v>Accessories</v>
      </c>
      <c r="J717" t="str" cm="1">
        <f t="array" ref="J717">_xlfn.XLOOKUP(H717,Table1[[#All],[Order ID]],Table1[[#All],[Brand]],0)</f>
        <v>HP</v>
      </c>
      <c r="K717" t="str">
        <f>INDEX(Table1[[#All],[Product Name]],MATCH(Sheet2!H717,Table1[[#All],[Order ID]],0))</f>
        <v>Keyboard</v>
      </c>
    </row>
    <row r="718" spans="1:11" x14ac:dyDescent="0.25">
      <c r="A718" s="5">
        <v>6650</v>
      </c>
      <c r="B718" t="s">
        <v>74</v>
      </c>
      <c r="F718" t="s">
        <v>27</v>
      </c>
      <c r="H718" t="s">
        <v>1673</v>
      </c>
      <c r="I718" t="str">
        <f>VLOOKUP(H718,Table1[#All],8,FALSE)</f>
        <v>Audio</v>
      </c>
      <c r="J718" t="str" cm="1">
        <f t="array" ref="J718">_xlfn.XLOOKUP(H718,Table1[[#All],[Order ID]],Table1[[#All],[Brand]],0)</f>
        <v>Sony</v>
      </c>
      <c r="K718" t="str">
        <f>INDEX(Table1[[#All],[Product Name]],MATCH(Sheet2!H718,Table1[[#All],[Order ID]],0))</f>
        <v>Headphones</v>
      </c>
    </row>
    <row r="719" spans="1:11" x14ac:dyDescent="0.25">
      <c r="A719" s="6">
        <v>20250</v>
      </c>
      <c r="B719" t="s">
        <v>39</v>
      </c>
      <c r="F719" t="s">
        <v>40</v>
      </c>
      <c r="H719" t="s">
        <v>1675</v>
      </c>
      <c r="I719" t="str">
        <f>VLOOKUP(H719,Table1[#All],8,FALSE)</f>
        <v>Office</v>
      </c>
      <c r="J719" t="str" cm="1">
        <f t="array" ref="J719">_xlfn.XLOOKUP(H719,Table1[[#All],[Order ID]],Table1[[#All],[Brand]],0)</f>
        <v>Nilkamal</v>
      </c>
      <c r="K719" t="str">
        <f>INDEX(Table1[[#All],[Product Name]],MATCH(Sheet2!H719,Table1[[#All],[Order ID]],0))</f>
        <v>Chair</v>
      </c>
    </row>
    <row r="720" spans="1:11" x14ac:dyDescent="0.25">
      <c r="A720" s="5">
        <v>17100</v>
      </c>
      <c r="B720" t="s">
        <v>39</v>
      </c>
      <c r="F720" t="s">
        <v>40</v>
      </c>
      <c r="H720" t="s">
        <v>1677</v>
      </c>
      <c r="I720" t="str">
        <f>VLOOKUP(H720,Table1[#All],8,FALSE)</f>
        <v>Office</v>
      </c>
      <c r="J720" t="str" cm="1">
        <f t="array" ref="J720">_xlfn.XLOOKUP(H720,Table1[[#All],[Order ID]],Table1[[#All],[Brand]],0)</f>
        <v>Nilkamal</v>
      </c>
      <c r="K720" t="str">
        <f>INDEX(Table1[[#All],[Product Name]],MATCH(Sheet2!H720,Table1[[#All],[Order ID]],0))</f>
        <v>Chair</v>
      </c>
    </row>
    <row r="721" spans="1:11" x14ac:dyDescent="0.25">
      <c r="A721" s="6">
        <v>12150</v>
      </c>
      <c r="B721" t="s">
        <v>39</v>
      </c>
      <c r="F721" t="s">
        <v>40</v>
      </c>
      <c r="H721" t="s">
        <v>1679</v>
      </c>
      <c r="I721" t="str">
        <f>VLOOKUP(H721,Table1[#All],8,FALSE)</f>
        <v>Office</v>
      </c>
      <c r="J721" t="str" cm="1">
        <f t="array" ref="J721">_xlfn.XLOOKUP(H721,Table1[[#All],[Order ID]],Table1[[#All],[Brand]],0)</f>
        <v>Nilkamal</v>
      </c>
      <c r="K721" t="str">
        <f>INDEX(Table1[[#All],[Product Name]],MATCH(Sheet2!H721,Table1[[#All],[Order ID]],0))</f>
        <v>Chair</v>
      </c>
    </row>
    <row r="722" spans="1:11" x14ac:dyDescent="0.25">
      <c r="A722" s="5">
        <v>247500</v>
      </c>
      <c r="B722" t="s">
        <v>53</v>
      </c>
      <c r="F722" t="s">
        <v>27</v>
      </c>
      <c r="H722" t="s">
        <v>1681</v>
      </c>
      <c r="I722" t="str">
        <f>VLOOKUP(H722,Table1[#All],8,FALSE)</f>
        <v>Computers</v>
      </c>
      <c r="J722" t="str" cm="1">
        <f t="array" ref="J722">_xlfn.XLOOKUP(H722,Table1[[#All],[Order ID]],Table1[[#All],[Brand]],0)</f>
        <v>Dell</v>
      </c>
      <c r="K722" t="str">
        <f>INDEX(Table1[[#All],[Product Name]],MATCH(Sheet2!H722,Table1[[#All],[Order ID]],0))</f>
        <v>Laptop</v>
      </c>
    </row>
    <row r="723" spans="1:11" x14ac:dyDescent="0.25">
      <c r="A723" s="6">
        <v>9450</v>
      </c>
      <c r="B723" t="s">
        <v>74</v>
      </c>
      <c r="F723" t="s">
        <v>27</v>
      </c>
      <c r="H723" t="s">
        <v>1683</v>
      </c>
      <c r="I723" t="str">
        <f>VLOOKUP(H723,Table1[#All],8,FALSE)</f>
        <v>Audio</v>
      </c>
      <c r="J723" t="str" cm="1">
        <f t="array" ref="J723">_xlfn.XLOOKUP(H723,Table1[[#All],[Order ID]],Table1[[#All],[Brand]],0)</f>
        <v>Sony</v>
      </c>
      <c r="K723" t="str">
        <f>INDEX(Table1[[#All],[Product Name]],MATCH(Sheet2!H723,Table1[[#All],[Order ID]],0))</f>
        <v>Headphones</v>
      </c>
    </row>
    <row r="724" spans="1:11" x14ac:dyDescent="0.25">
      <c r="A724" s="5">
        <v>7125</v>
      </c>
      <c r="B724" t="s">
        <v>68</v>
      </c>
      <c r="F724" t="s">
        <v>27</v>
      </c>
      <c r="H724" t="s">
        <v>1685</v>
      </c>
      <c r="I724" t="str">
        <f>VLOOKUP(H724,Table1[#All],8,FALSE)</f>
        <v>Accessories</v>
      </c>
      <c r="J724" t="str" cm="1">
        <f t="array" ref="J724">_xlfn.XLOOKUP(H724,Table1[[#All],[Order ID]],Table1[[#All],[Brand]],0)</f>
        <v>HP</v>
      </c>
      <c r="K724" t="str">
        <f>INDEX(Table1[[#All],[Product Name]],MATCH(Sheet2!H724,Table1[[#All],[Order ID]],0))</f>
        <v>Keyboard</v>
      </c>
    </row>
    <row r="725" spans="1:11" x14ac:dyDescent="0.25">
      <c r="A725" s="6">
        <v>13300</v>
      </c>
      <c r="B725" t="s">
        <v>74</v>
      </c>
      <c r="F725" t="s">
        <v>27</v>
      </c>
      <c r="H725" t="s">
        <v>1686</v>
      </c>
      <c r="I725" t="str">
        <f>VLOOKUP(H725,Table1[#All],8,FALSE)</f>
        <v>Audio</v>
      </c>
      <c r="J725" t="str" cm="1">
        <f t="array" ref="J725">_xlfn.XLOOKUP(H725,Table1[[#All],[Order ID]],Table1[[#All],[Brand]],0)</f>
        <v>Sony</v>
      </c>
      <c r="K725" t="str">
        <f>INDEX(Table1[[#All],[Product Name]],MATCH(Sheet2!H725,Table1[[#All],[Order ID]],0))</f>
        <v>Headphones</v>
      </c>
    </row>
    <row r="726" spans="1:11" x14ac:dyDescent="0.25">
      <c r="A726" s="5">
        <v>3150</v>
      </c>
      <c r="B726" t="s">
        <v>74</v>
      </c>
      <c r="F726" t="s">
        <v>27</v>
      </c>
      <c r="H726" t="s">
        <v>1688</v>
      </c>
      <c r="I726" t="str">
        <f>VLOOKUP(H726,Table1[#All],8,FALSE)</f>
        <v>Audio</v>
      </c>
      <c r="J726" t="str" cm="1">
        <f t="array" ref="J726">_xlfn.XLOOKUP(H726,Table1[[#All],[Order ID]],Table1[[#All],[Brand]],0)</f>
        <v>Sony</v>
      </c>
      <c r="K726" t="str">
        <f>INDEX(Table1[[#All],[Product Name]],MATCH(Sheet2!H726,Table1[[#All],[Order ID]],0))</f>
        <v>Headphones</v>
      </c>
    </row>
    <row r="727" spans="1:11" x14ac:dyDescent="0.25">
      <c r="A727" s="6">
        <v>3800</v>
      </c>
      <c r="B727" t="s">
        <v>26</v>
      </c>
      <c r="F727" t="s">
        <v>27</v>
      </c>
      <c r="H727" t="s">
        <v>1689</v>
      </c>
      <c r="I727" t="str">
        <f>VLOOKUP(H727,Table1[#All],8,FALSE)</f>
        <v>Accessories</v>
      </c>
      <c r="J727" t="str" cm="1">
        <f t="array" ref="J727">_xlfn.XLOOKUP(H727,Table1[[#All],[Order ID]],Table1[[#All],[Brand]],0)</f>
        <v>Logitech</v>
      </c>
      <c r="K727" t="str">
        <f>INDEX(Table1[[#All],[Product Name]],MATCH(Sheet2!H727,Table1[[#All],[Order ID]],0))</f>
        <v>Mouse</v>
      </c>
    </row>
    <row r="728" spans="1:11" x14ac:dyDescent="0.25">
      <c r="A728" s="5">
        <v>8925</v>
      </c>
      <c r="B728" t="s">
        <v>74</v>
      </c>
      <c r="F728" t="s">
        <v>27</v>
      </c>
      <c r="H728" t="s">
        <v>1690</v>
      </c>
      <c r="I728" t="str">
        <f>VLOOKUP(H728,Table1[#All],8,FALSE)</f>
        <v>Audio</v>
      </c>
      <c r="J728" t="str" cm="1">
        <f t="array" ref="J728">_xlfn.XLOOKUP(H728,Table1[[#All],[Order ID]],Table1[[#All],[Brand]],0)</f>
        <v>Sony</v>
      </c>
      <c r="K728" t="str">
        <f>INDEX(Table1[[#All],[Product Name]],MATCH(Sheet2!H728,Table1[[#All],[Order ID]],0))</f>
        <v>Headphones</v>
      </c>
    </row>
    <row r="729" spans="1:11" x14ac:dyDescent="0.25">
      <c r="A729" s="6">
        <v>4050</v>
      </c>
      <c r="B729" t="s">
        <v>39</v>
      </c>
      <c r="F729" t="s">
        <v>40</v>
      </c>
      <c r="H729" t="s">
        <v>1693</v>
      </c>
      <c r="I729" t="str">
        <f>VLOOKUP(H729,Table1[#All],8,FALSE)</f>
        <v>Office</v>
      </c>
      <c r="J729" t="str" cm="1">
        <f t="array" ref="J729">_xlfn.XLOOKUP(H729,Table1[[#All],[Order ID]],Table1[[#All],[Brand]],0)</f>
        <v>Nilkamal</v>
      </c>
      <c r="K729" t="str">
        <f>INDEX(Table1[[#All],[Product Name]],MATCH(Sheet2!H729,Table1[[#All],[Order ID]],0))</f>
        <v>Chair</v>
      </c>
    </row>
    <row r="730" spans="1:11" x14ac:dyDescent="0.25">
      <c r="A730" s="5">
        <v>800</v>
      </c>
      <c r="B730" t="s">
        <v>26</v>
      </c>
      <c r="F730" t="s">
        <v>27</v>
      </c>
      <c r="H730" t="s">
        <v>1695</v>
      </c>
      <c r="I730" t="str">
        <f>VLOOKUP(H730,Table1[#All],8,FALSE)</f>
        <v>Accessories</v>
      </c>
      <c r="J730" t="str" cm="1">
        <f t="array" ref="J730">_xlfn.XLOOKUP(H730,Table1[[#All],[Order ID]],Table1[[#All],[Brand]],0)</f>
        <v>Logitech</v>
      </c>
      <c r="K730" t="str">
        <f>INDEX(Table1[[#All],[Product Name]],MATCH(Sheet2!H730,Table1[[#All],[Order ID]],0))</f>
        <v>Mouse</v>
      </c>
    </row>
    <row r="731" spans="1:11" x14ac:dyDescent="0.25">
      <c r="A731" s="6">
        <v>233750</v>
      </c>
      <c r="B731" t="s">
        <v>53</v>
      </c>
      <c r="F731" t="s">
        <v>27</v>
      </c>
      <c r="H731" t="s">
        <v>1697</v>
      </c>
      <c r="I731" t="str">
        <f>VLOOKUP(H731,Table1[#All],8,FALSE)</f>
        <v>Computers</v>
      </c>
      <c r="J731" t="str" cm="1">
        <f t="array" ref="J731">_xlfn.XLOOKUP(H731,Table1[[#All],[Order ID]],Table1[[#All],[Brand]],0)</f>
        <v>Dell</v>
      </c>
      <c r="K731" t="str">
        <f>INDEX(Table1[[#All],[Product Name]],MATCH(Sheet2!H731,Table1[[#All],[Order ID]],0))</f>
        <v>Laptop</v>
      </c>
    </row>
    <row r="732" spans="1:11" x14ac:dyDescent="0.25">
      <c r="A732" s="5">
        <v>4275</v>
      </c>
      <c r="B732" t="s">
        <v>68</v>
      </c>
      <c r="F732" t="s">
        <v>27</v>
      </c>
      <c r="H732" t="s">
        <v>1698</v>
      </c>
      <c r="I732" t="str">
        <f>VLOOKUP(H732,Table1[#All],8,FALSE)</f>
        <v>Accessories</v>
      </c>
      <c r="J732" t="str" cm="1">
        <f t="array" ref="J732">_xlfn.XLOOKUP(H732,Table1[[#All],[Order ID]],Table1[[#All],[Brand]],0)</f>
        <v>HP</v>
      </c>
      <c r="K732" t="str">
        <f>INDEX(Table1[[#All],[Product Name]],MATCH(Sheet2!H732,Table1[[#All],[Order ID]],0))</f>
        <v>Keyboard</v>
      </c>
    </row>
    <row r="733" spans="1:11" x14ac:dyDescent="0.25">
      <c r="A733" s="6">
        <v>6375</v>
      </c>
      <c r="B733" t="s">
        <v>68</v>
      </c>
      <c r="F733" t="s">
        <v>27</v>
      </c>
      <c r="H733" t="s">
        <v>1700</v>
      </c>
      <c r="I733" t="str">
        <f>VLOOKUP(H733,Table1[#All],8,FALSE)</f>
        <v>Accessories</v>
      </c>
      <c r="J733" t="str" cm="1">
        <f t="array" ref="J733">_xlfn.XLOOKUP(H733,Table1[[#All],[Order ID]],Table1[[#All],[Brand]],0)</f>
        <v>HP</v>
      </c>
      <c r="K733" t="str">
        <f>INDEX(Table1[[#All],[Product Name]],MATCH(Sheet2!H733,Table1[[#All],[Order ID]],0))</f>
        <v>Keyboard</v>
      </c>
    </row>
    <row r="734" spans="1:11" x14ac:dyDescent="0.25">
      <c r="A734" s="5">
        <v>140250</v>
      </c>
      <c r="B734" t="s">
        <v>53</v>
      </c>
      <c r="F734" t="s">
        <v>27</v>
      </c>
      <c r="H734" t="s">
        <v>1702</v>
      </c>
      <c r="I734" t="str">
        <f>VLOOKUP(H734,Table1[#All],8,FALSE)</f>
        <v>Computers</v>
      </c>
      <c r="J734" t="str" cm="1">
        <f t="array" ref="J734">_xlfn.XLOOKUP(H734,Table1[[#All],[Order ID]],Table1[[#All],[Brand]],0)</f>
        <v>Dell</v>
      </c>
      <c r="K734" t="str">
        <f>INDEX(Table1[[#All],[Product Name]],MATCH(Sheet2!H734,Table1[[#All],[Order ID]],0))</f>
        <v>Laptop</v>
      </c>
    </row>
    <row r="735" spans="1:11" x14ac:dyDescent="0.25">
      <c r="A735" s="6">
        <v>1350</v>
      </c>
      <c r="B735" t="s">
        <v>68</v>
      </c>
      <c r="F735" t="s">
        <v>27</v>
      </c>
      <c r="H735" t="s">
        <v>1705</v>
      </c>
      <c r="I735" t="str">
        <f>VLOOKUP(H735,Table1[#All],8,FALSE)</f>
        <v>Accessories</v>
      </c>
      <c r="J735" t="str" cm="1">
        <f t="array" ref="J735">_xlfn.XLOOKUP(H735,Table1[[#All],[Order ID]],Table1[[#All],[Brand]],0)</f>
        <v>HP</v>
      </c>
      <c r="K735" t="str">
        <f>INDEX(Table1[[#All],[Product Name]],MATCH(Sheet2!H735,Table1[[#All],[Order ID]],0))</f>
        <v>Keyboard</v>
      </c>
    </row>
    <row r="736" spans="1:11" x14ac:dyDescent="0.25">
      <c r="A736" s="5">
        <v>4050</v>
      </c>
      <c r="B736" t="s">
        <v>68</v>
      </c>
      <c r="F736" t="s">
        <v>27</v>
      </c>
      <c r="H736" t="s">
        <v>1708</v>
      </c>
      <c r="I736" t="str">
        <f>VLOOKUP(H736,Table1[#All],8,FALSE)</f>
        <v>Accessories</v>
      </c>
      <c r="J736" t="str" cm="1">
        <f t="array" ref="J736">_xlfn.XLOOKUP(H736,Table1[[#All],[Order ID]],Table1[[#All],[Brand]],0)</f>
        <v>HP</v>
      </c>
      <c r="K736" t="str">
        <f>INDEX(Table1[[#All],[Product Name]],MATCH(Sheet2!H736,Table1[[#All],[Order ID]],0))</f>
        <v>Keyboard</v>
      </c>
    </row>
    <row r="737" spans="1:11" x14ac:dyDescent="0.25">
      <c r="A737" s="6">
        <v>8550</v>
      </c>
      <c r="B737" t="s">
        <v>39</v>
      </c>
      <c r="F737" t="s">
        <v>40</v>
      </c>
      <c r="H737" t="s">
        <v>1710</v>
      </c>
      <c r="I737" t="str">
        <f>VLOOKUP(H737,Table1[#All],8,FALSE)</f>
        <v>Office</v>
      </c>
      <c r="J737" t="str" cm="1">
        <f t="array" ref="J737">_xlfn.XLOOKUP(H737,Table1[[#All],[Order ID]],Table1[[#All],[Brand]],0)</f>
        <v>Nilkamal</v>
      </c>
      <c r="K737" t="str">
        <f>INDEX(Table1[[#All],[Product Name]],MATCH(Sheet2!H737,Table1[[#All],[Order ID]],0))</f>
        <v>Chair</v>
      </c>
    </row>
    <row r="738" spans="1:11" x14ac:dyDescent="0.25">
      <c r="A738" s="5">
        <v>6000</v>
      </c>
      <c r="B738" t="s">
        <v>68</v>
      </c>
      <c r="F738" t="s">
        <v>27</v>
      </c>
      <c r="H738" t="s">
        <v>1711</v>
      </c>
      <c r="I738" t="str">
        <f>VLOOKUP(H738,Table1[#All],8,FALSE)</f>
        <v>Accessories</v>
      </c>
      <c r="J738" t="str" cm="1">
        <f t="array" ref="J738">_xlfn.XLOOKUP(H738,Table1[[#All],[Order ID]],Table1[[#All],[Brand]],0)</f>
        <v>HP</v>
      </c>
      <c r="K738" t="str">
        <f>INDEX(Table1[[#All],[Product Name]],MATCH(Sheet2!H738,Table1[[#All],[Order ID]],0))</f>
        <v>Keyboard</v>
      </c>
    </row>
    <row r="739" spans="1:11" x14ac:dyDescent="0.25">
      <c r="A739" s="6">
        <v>15300</v>
      </c>
      <c r="B739" t="s">
        <v>39</v>
      </c>
      <c r="F739" t="s">
        <v>40</v>
      </c>
      <c r="H739" t="s">
        <v>1712</v>
      </c>
      <c r="I739" t="str">
        <f>VLOOKUP(H739,Table1[#All],8,FALSE)</f>
        <v>Office</v>
      </c>
      <c r="J739" t="str" cm="1">
        <f t="array" ref="J739">_xlfn.XLOOKUP(H739,Table1[[#All],[Order ID]],Table1[[#All],[Brand]],0)</f>
        <v>Nilkamal</v>
      </c>
      <c r="K739" t="str">
        <f>INDEX(Table1[[#All],[Product Name]],MATCH(Sheet2!H739,Table1[[#All],[Order ID]],0))</f>
        <v>Chair</v>
      </c>
    </row>
    <row r="740" spans="1:11" x14ac:dyDescent="0.25">
      <c r="A740" s="5">
        <v>3000</v>
      </c>
      <c r="B740" t="s">
        <v>68</v>
      </c>
      <c r="F740" t="s">
        <v>27</v>
      </c>
      <c r="H740" t="s">
        <v>1714</v>
      </c>
      <c r="I740" t="str">
        <f>VLOOKUP(H740,Table1[#All],8,FALSE)</f>
        <v>Accessories</v>
      </c>
      <c r="J740" t="str" cm="1">
        <f t="array" ref="J740">_xlfn.XLOOKUP(H740,Table1[[#All],[Order ID]],Table1[[#All],[Brand]],0)</f>
        <v>HP</v>
      </c>
      <c r="K740" t="str">
        <f>INDEX(Table1[[#All],[Product Name]],MATCH(Sheet2!H740,Table1[[#All],[Order ID]],0))</f>
        <v>Keyboard</v>
      </c>
    </row>
    <row r="741" spans="1:11" x14ac:dyDescent="0.25">
      <c r="A741" s="6">
        <v>6375</v>
      </c>
      <c r="B741" t="s">
        <v>68</v>
      </c>
      <c r="F741" t="s">
        <v>27</v>
      </c>
      <c r="H741" t="s">
        <v>1716</v>
      </c>
      <c r="I741" t="str">
        <f>VLOOKUP(H741,Table1[#All],8,FALSE)</f>
        <v>Accessories</v>
      </c>
      <c r="J741" t="str" cm="1">
        <f t="array" ref="J741">_xlfn.XLOOKUP(H741,Table1[[#All],[Order ID]],Table1[[#All],[Brand]],0)</f>
        <v>HP</v>
      </c>
      <c r="K741" t="str">
        <f>INDEX(Table1[[#All],[Product Name]],MATCH(Sheet2!H741,Table1[[#All],[Order ID]],0))</f>
        <v>Keyboard</v>
      </c>
    </row>
    <row r="742" spans="1:11" x14ac:dyDescent="0.25">
      <c r="A742" s="5">
        <v>4275</v>
      </c>
      <c r="B742" t="s">
        <v>39</v>
      </c>
      <c r="F742" t="s">
        <v>40</v>
      </c>
      <c r="H742" t="s">
        <v>1717</v>
      </c>
      <c r="I742" t="str">
        <f>VLOOKUP(H742,Table1[#All],8,FALSE)</f>
        <v>Office</v>
      </c>
      <c r="J742" t="str" cm="1">
        <f t="array" ref="J742">_xlfn.XLOOKUP(H742,Table1[[#All],[Order ID]],Table1[[#All],[Brand]],0)</f>
        <v>Nilkamal</v>
      </c>
      <c r="K742" t="str">
        <f>INDEX(Table1[[#All],[Product Name]],MATCH(Sheet2!H742,Table1[[#All],[Order ID]],0))</f>
        <v>Chair</v>
      </c>
    </row>
    <row r="743" spans="1:11" x14ac:dyDescent="0.25">
      <c r="A743" s="6">
        <v>680</v>
      </c>
      <c r="B743" t="s">
        <v>26</v>
      </c>
      <c r="F743" t="s">
        <v>27</v>
      </c>
      <c r="H743" t="s">
        <v>1718</v>
      </c>
      <c r="I743" t="str">
        <f>VLOOKUP(H743,Table1[#All],8,FALSE)</f>
        <v>Accessories</v>
      </c>
      <c r="J743" t="str" cm="1">
        <f t="array" ref="J743">_xlfn.XLOOKUP(H743,Table1[[#All],[Order ID]],Table1[[#All],[Brand]],0)</f>
        <v>Logitech</v>
      </c>
      <c r="K743" t="str">
        <f>INDEX(Table1[[#All],[Product Name]],MATCH(Sheet2!H743,Table1[[#All],[Order ID]],0))</f>
        <v>Mouse</v>
      </c>
    </row>
    <row r="744" spans="1:11" x14ac:dyDescent="0.25">
      <c r="A744" s="5">
        <v>5700</v>
      </c>
      <c r="B744" t="s">
        <v>68</v>
      </c>
      <c r="F744" t="s">
        <v>27</v>
      </c>
      <c r="H744" t="s">
        <v>1720</v>
      </c>
      <c r="I744" t="str">
        <f>VLOOKUP(H744,Table1[#All],8,FALSE)</f>
        <v>Accessories</v>
      </c>
      <c r="J744" t="str" cm="1">
        <f t="array" ref="J744">_xlfn.XLOOKUP(H744,Table1[[#All],[Order ID]],Table1[[#All],[Brand]],0)</f>
        <v>HP</v>
      </c>
      <c r="K744" t="str">
        <f>INDEX(Table1[[#All],[Product Name]],MATCH(Sheet2!H744,Table1[[#All],[Order ID]],0))</f>
        <v>Keyboard</v>
      </c>
    </row>
    <row r="745" spans="1:11" x14ac:dyDescent="0.25">
      <c r="A745" s="6">
        <v>4050</v>
      </c>
      <c r="B745" t="s">
        <v>39</v>
      </c>
      <c r="F745" t="s">
        <v>40</v>
      </c>
      <c r="H745" t="s">
        <v>1721</v>
      </c>
      <c r="I745" t="str">
        <f>VLOOKUP(H745,Table1[#All],8,FALSE)</f>
        <v>Office</v>
      </c>
      <c r="J745" t="str" cm="1">
        <f t="array" ref="J745">_xlfn.XLOOKUP(H745,Table1[[#All],[Order ID]],Table1[[#All],[Brand]],0)</f>
        <v>Nilkamal</v>
      </c>
      <c r="K745" t="str">
        <f>INDEX(Table1[[#All],[Product Name]],MATCH(Sheet2!H745,Table1[[#All],[Order ID]],0))</f>
        <v>Chair</v>
      </c>
    </row>
    <row r="746" spans="1:11" x14ac:dyDescent="0.25">
      <c r="A746" s="5">
        <v>12150</v>
      </c>
      <c r="B746" t="s">
        <v>39</v>
      </c>
      <c r="F746" t="s">
        <v>40</v>
      </c>
      <c r="H746" t="s">
        <v>1722</v>
      </c>
      <c r="I746" t="str">
        <f>VLOOKUP(H746,Table1[#All],8,FALSE)</f>
        <v>Office</v>
      </c>
      <c r="J746" t="str" cm="1">
        <f t="array" ref="J746">_xlfn.XLOOKUP(H746,Table1[[#All],[Order ID]],Table1[[#All],[Brand]],0)</f>
        <v>Nilkamal</v>
      </c>
      <c r="K746" t="str">
        <f>INDEX(Table1[[#All],[Product Name]],MATCH(Sheet2!H746,Table1[[#All],[Order ID]],0))</f>
        <v>Chair</v>
      </c>
    </row>
    <row r="747" spans="1:11" x14ac:dyDescent="0.25">
      <c r="A747" s="6">
        <v>3400</v>
      </c>
      <c r="B747" t="s">
        <v>26</v>
      </c>
      <c r="F747" t="s">
        <v>27</v>
      </c>
      <c r="H747" t="s">
        <v>1723</v>
      </c>
      <c r="I747" t="str">
        <f>VLOOKUP(H747,Table1[#All],8,FALSE)</f>
        <v>Accessories</v>
      </c>
      <c r="J747" t="str" cm="1">
        <f t="array" ref="J747">_xlfn.XLOOKUP(H747,Table1[[#All],[Order ID]],Table1[[#All],[Brand]],0)</f>
        <v>Logitech</v>
      </c>
      <c r="K747" t="str">
        <f>INDEX(Table1[[#All],[Product Name]],MATCH(Sheet2!H747,Table1[[#All],[Order ID]],0))</f>
        <v>Mouse</v>
      </c>
    </row>
    <row r="748" spans="1:11" x14ac:dyDescent="0.25">
      <c r="A748" s="5">
        <v>8100</v>
      </c>
      <c r="B748" t="s">
        <v>39</v>
      </c>
      <c r="F748" t="s">
        <v>40</v>
      </c>
      <c r="H748" t="s">
        <v>1724</v>
      </c>
      <c r="I748" t="str">
        <f>VLOOKUP(H748,Table1[#All],8,FALSE)</f>
        <v>Office</v>
      </c>
      <c r="J748" t="str" cm="1">
        <f t="array" ref="J748">_xlfn.XLOOKUP(H748,Table1[[#All],[Order ID]],Table1[[#All],[Brand]],0)</f>
        <v>Nilkamal</v>
      </c>
      <c r="K748" t="str">
        <f>INDEX(Table1[[#All],[Product Name]],MATCH(Sheet2!H748,Table1[[#All],[Order ID]],0))</f>
        <v>Chair</v>
      </c>
    </row>
    <row r="749" spans="1:11" x14ac:dyDescent="0.25">
      <c r="A749" s="6">
        <v>14000</v>
      </c>
      <c r="B749" t="s">
        <v>74</v>
      </c>
      <c r="F749" t="s">
        <v>27</v>
      </c>
      <c r="H749" t="s">
        <v>1726</v>
      </c>
      <c r="I749" t="str">
        <f>VLOOKUP(H749,Table1[#All],8,FALSE)</f>
        <v>Audio</v>
      </c>
      <c r="J749" t="str" cm="1">
        <f t="array" ref="J749">_xlfn.XLOOKUP(H749,Table1[[#All],[Order ID]],Table1[[#All],[Brand]],0)</f>
        <v>Sony</v>
      </c>
      <c r="K749" t="str">
        <f>INDEX(Table1[[#All],[Product Name]],MATCH(Sheet2!H749,Table1[[#All],[Order ID]],0))</f>
        <v>Headphones</v>
      </c>
    </row>
    <row r="750" spans="1:11" x14ac:dyDescent="0.25">
      <c r="A750" s="5">
        <v>7650</v>
      </c>
      <c r="B750" t="s">
        <v>39</v>
      </c>
      <c r="F750" t="s">
        <v>40</v>
      </c>
      <c r="H750" t="s">
        <v>1728</v>
      </c>
      <c r="I750" t="str">
        <f>VLOOKUP(H750,Table1[#All],8,FALSE)</f>
        <v>Office</v>
      </c>
      <c r="J750" t="str" cm="1">
        <f t="array" ref="J750">_xlfn.XLOOKUP(H750,Table1[[#All],[Order ID]],Table1[[#All],[Brand]],0)</f>
        <v>Nilkamal</v>
      </c>
      <c r="K750" t="str">
        <f>INDEX(Table1[[#All],[Product Name]],MATCH(Sheet2!H750,Table1[[#All],[Order ID]],0))</f>
        <v>Chair</v>
      </c>
    </row>
    <row r="751" spans="1:11" x14ac:dyDescent="0.25">
      <c r="A751" s="6">
        <v>12600</v>
      </c>
      <c r="B751" t="s">
        <v>74</v>
      </c>
      <c r="F751" t="s">
        <v>27</v>
      </c>
      <c r="H751" t="s">
        <v>1730</v>
      </c>
      <c r="I751" t="str">
        <f>VLOOKUP(H751,Table1[#All],8,FALSE)</f>
        <v>Audio</v>
      </c>
      <c r="J751" t="str" cm="1">
        <f t="array" ref="J751">_xlfn.XLOOKUP(H751,Table1[[#All],[Order ID]],Table1[[#All],[Brand]],0)</f>
        <v>Sony</v>
      </c>
      <c r="K751" t="str">
        <f>INDEX(Table1[[#All],[Product Name]],MATCH(Sheet2!H751,Table1[[#All],[Order ID]],0))</f>
        <v>Headphones</v>
      </c>
    </row>
    <row r="752" spans="1:11" x14ac:dyDescent="0.25">
      <c r="A752" s="5">
        <v>17100</v>
      </c>
      <c r="B752" t="s">
        <v>39</v>
      </c>
      <c r="F752" t="s">
        <v>40</v>
      </c>
      <c r="H752" t="s">
        <v>1732</v>
      </c>
      <c r="I752" t="str">
        <f>VLOOKUP(H752,Table1[#All],8,FALSE)</f>
        <v>Office</v>
      </c>
      <c r="J752" t="str" cm="1">
        <f t="array" ref="J752">_xlfn.XLOOKUP(H752,Table1[[#All],[Order ID]],Table1[[#All],[Brand]],0)</f>
        <v>Nilkamal</v>
      </c>
      <c r="K752" t="str">
        <f>INDEX(Table1[[#All],[Product Name]],MATCH(Sheet2!H752,Table1[[#All],[Order ID]],0))</f>
        <v>Chair</v>
      </c>
    </row>
    <row r="753" spans="1:11" x14ac:dyDescent="0.25">
      <c r="A753" s="6">
        <v>8100</v>
      </c>
      <c r="B753" t="s">
        <v>39</v>
      </c>
      <c r="F753" t="s">
        <v>40</v>
      </c>
      <c r="H753" t="s">
        <v>1735</v>
      </c>
      <c r="I753" t="str">
        <f>VLOOKUP(H753,Table1[#All],8,FALSE)</f>
        <v>Office</v>
      </c>
      <c r="J753" t="str" cm="1">
        <f t="array" ref="J753">_xlfn.XLOOKUP(H753,Table1[[#All],[Order ID]],Table1[[#All],[Brand]],0)</f>
        <v>Nilkamal</v>
      </c>
      <c r="K753" t="str">
        <f>INDEX(Table1[[#All],[Product Name]],MATCH(Sheet2!H753,Table1[[#All],[Order ID]],0))</f>
        <v>Chair</v>
      </c>
    </row>
    <row r="754" spans="1:11" x14ac:dyDescent="0.25">
      <c r="A754" s="5">
        <v>1520</v>
      </c>
      <c r="B754" t="s">
        <v>26</v>
      </c>
      <c r="F754" t="s">
        <v>27</v>
      </c>
      <c r="H754" t="s">
        <v>1736</v>
      </c>
      <c r="I754" t="str">
        <f>VLOOKUP(H754,Table1[#All],8,FALSE)</f>
        <v>Accessories</v>
      </c>
      <c r="J754" t="str" cm="1">
        <f t="array" ref="J754">_xlfn.XLOOKUP(H754,Table1[[#All],[Order ID]],Table1[[#All],[Brand]],0)</f>
        <v>Logitech</v>
      </c>
      <c r="K754" t="str">
        <f>INDEX(Table1[[#All],[Product Name]],MATCH(Sheet2!H754,Table1[[#All],[Order ID]],0))</f>
        <v>Mouse</v>
      </c>
    </row>
    <row r="755" spans="1:11" x14ac:dyDescent="0.25">
      <c r="A755" s="6">
        <v>1360</v>
      </c>
      <c r="B755" t="s">
        <v>26</v>
      </c>
      <c r="F755" t="s">
        <v>27</v>
      </c>
      <c r="H755" t="s">
        <v>1737</v>
      </c>
      <c r="I755" t="str">
        <f>VLOOKUP(H755,Table1[#All],8,FALSE)</f>
        <v>Accessories</v>
      </c>
      <c r="J755" t="str" cm="1">
        <f t="array" ref="J755">_xlfn.XLOOKUP(H755,Table1[[#All],[Order ID]],Table1[[#All],[Brand]],0)</f>
        <v>Logitech</v>
      </c>
      <c r="K755" t="str">
        <f>INDEX(Table1[[#All],[Product Name]],MATCH(Sheet2!H755,Table1[[#All],[Order ID]],0))</f>
        <v>Mouse</v>
      </c>
    </row>
    <row r="756" spans="1:11" x14ac:dyDescent="0.25">
      <c r="A756" s="5">
        <v>2975</v>
      </c>
      <c r="B756" t="s">
        <v>74</v>
      </c>
      <c r="F756" t="s">
        <v>27</v>
      </c>
      <c r="H756" t="s">
        <v>1739</v>
      </c>
      <c r="I756" t="str">
        <f>VLOOKUP(H756,Table1[#All],8,FALSE)</f>
        <v>Audio</v>
      </c>
      <c r="J756" t="str" cm="1">
        <f t="array" ref="J756">_xlfn.XLOOKUP(H756,Table1[[#All],[Order ID]],Table1[[#All],[Brand]],0)</f>
        <v>Sony</v>
      </c>
      <c r="K756" t="str">
        <f>INDEX(Table1[[#All],[Product Name]],MATCH(Sheet2!H756,Table1[[#All],[Order ID]],0))</f>
        <v>Headphones</v>
      </c>
    </row>
    <row r="757" spans="1:11" x14ac:dyDescent="0.25">
      <c r="A757" s="6">
        <v>104500</v>
      </c>
      <c r="B757" t="s">
        <v>53</v>
      </c>
      <c r="F757" t="s">
        <v>27</v>
      </c>
      <c r="H757" t="s">
        <v>1741</v>
      </c>
      <c r="I757" t="str">
        <f>VLOOKUP(H757,Table1[#All],8,FALSE)</f>
        <v>Computers</v>
      </c>
      <c r="J757" t="str" cm="1">
        <f t="array" ref="J757">_xlfn.XLOOKUP(H757,Table1[[#All],[Order ID]],Table1[[#All],[Brand]],0)</f>
        <v>Dell</v>
      </c>
      <c r="K757" t="str">
        <f>INDEX(Table1[[#All],[Product Name]],MATCH(Sheet2!H757,Table1[[#All],[Order ID]],0))</f>
        <v>Laptop</v>
      </c>
    </row>
    <row r="758" spans="1:11" x14ac:dyDescent="0.25">
      <c r="A758" s="5">
        <v>1440</v>
      </c>
      <c r="B758" t="s">
        <v>26</v>
      </c>
      <c r="F758" t="s">
        <v>27</v>
      </c>
      <c r="H758" t="s">
        <v>1742</v>
      </c>
      <c r="I758" t="str">
        <f>VLOOKUP(H758,Table1[#All],8,FALSE)</f>
        <v>Accessories</v>
      </c>
      <c r="J758" t="str" cm="1">
        <f t="array" ref="J758">_xlfn.XLOOKUP(H758,Table1[[#All],[Order ID]],Table1[[#All],[Brand]],0)</f>
        <v>Logitech</v>
      </c>
      <c r="K758" t="str">
        <f>INDEX(Table1[[#All],[Product Name]],MATCH(Sheet2!H758,Table1[[#All],[Order ID]],0))</f>
        <v>Mouse</v>
      </c>
    </row>
    <row r="759" spans="1:11" x14ac:dyDescent="0.25">
      <c r="A759" s="6">
        <v>46750</v>
      </c>
      <c r="B759" t="s">
        <v>53</v>
      </c>
      <c r="F759" t="s">
        <v>27</v>
      </c>
      <c r="H759" t="s">
        <v>1745</v>
      </c>
      <c r="I759" t="str">
        <f>VLOOKUP(H759,Table1[#All],8,FALSE)</f>
        <v>Computers</v>
      </c>
      <c r="J759" t="str" cm="1">
        <f t="array" ref="J759">_xlfn.XLOOKUP(H759,Table1[[#All],[Order ID]],Table1[[#All],[Brand]],0)</f>
        <v>Dell</v>
      </c>
      <c r="K759" t="str">
        <f>INDEX(Table1[[#All],[Product Name]],MATCH(Sheet2!H759,Table1[[#All],[Order ID]],0))</f>
        <v>Laptop</v>
      </c>
    </row>
    <row r="760" spans="1:11" x14ac:dyDescent="0.25">
      <c r="A760" s="5">
        <v>6375</v>
      </c>
      <c r="B760" t="s">
        <v>68</v>
      </c>
      <c r="F760" t="s">
        <v>27</v>
      </c>
      <c r="H760" t="s">
        <v>1746</v>
      </c>
      <c r="I760" t="str">
        <f>VLOOKUP(H760,Table1[#All],8,FALSE)</f>
        <v>Accessories</v>
      </c>
      <c r="J760" t="str" cm="1">
        <f t="array" ref="J760">_xlfn.XLOOKUP(H760,Table1[[#All],[Order ID]],Table1[[#All],[Brand]],0)</f>
        <v>HP</v>
      </c>
      <c r="K760" t="str">
        <f>INDEX(Table1[[#All],[Product Name]],MATCH(Sheet2!H760,Table1[[#All],[Order ID]],0))</f>
        <v>Keyboard</v>
      </c>
    </row>
    <row r="761" spans="1:11" x14ac:dyDescent="0.25">
      <c r="A761" s="6">
        <v>198000</v>
      </c>
      <c r="B761" t="s">
        <v>53</v>
      </c>
      <c r="F761" t="s">
        <v>27</v>
      </c>
      <c r="H761" t="s">
        <v>1747</v>
      </c>
      <c r="I761" t="str">
        <f>VLOOKUP(H761,Table1[#All],8,FALSE)</f>
        <v>Computers</v>
      </c>
      <c r="J761" t="str" cm="1">
        <f t="array" ref="J761">_xlfn.XLOOKUP(H761,Table1[[#All],[Order ID]],Table1[[#All],[Brand]],0)</f>
        <v>Dell</v>
      </c>
      <c r="K761" t="str">
        <f>INDEX(Table1[[#All],[Product Name]],MATCH(Sheet2!H761,Table1[[#All],[Order ID]],0))</f>
        <v>Laptop</v>
      </c>
    </row>
    <row r="762" spans="1:11" x14ac:dyDescent="0.25">
      <c r="A762" s="5">
        <v>1360</v>
      </c>
      <c r="B762" t="s">
        <v>26</v>
      </c>
      <c r="F762" t="s">
        <v>27</v>
      </c>
      <c r="H762" t="s">
        <v>1749</v>
      </c>
      <c r="I762" t="str">
        <f>VLOOKUP(H762,Table1[#All],8,FALSE)</f>
        <v>Accessories</v>
      </c>
      <c r="J762" t="str" cm="1">
        <f t="array" ref="J762">_xlfn.XLOOKUP(H762,Table1[[#All],[Order ID]],Table1[[#All],[Brand]],0)</f>
        <v>Logitech</v>
      </c>
      <c r="K762" t="str">
        <f>INDEX(Table1[[#All],[Product Name]],MATCH(Sheet2!H762,Table1[[#All],[Order ID]],0))</f>
        <v>Mouse</v>
      </c>
    </row>
    <row r="763" spans="1:11" x14ac:dyDescent="0.25">
      <c r="A763" s="6">
        <v>20250</v>
      </c>
      <c r="B763" t="s">
        <v>39</v>
      </c>
      <c r="F763" t="s">
        <v>40</v>
      </c>
      <c r="H763" t="s">
        <v>1751</v>
      </c>
      <c r="I763" t="str">
        <f>VLOOKUP(H763,Table1[#All],8,FALSE)</f>
        <v>Office</v>
      </c>
      <c r="J763" t="str" cm="1">
        <f t="array" ref="J763">_xlfn.XLOOKUP(H763,Table1[[#All],[Order ID]],Table1[[#All],[Brand]],0)</f>
        <v>Nilkamal</v>
      </c>
      <c r="K763" t="str">
        <f>INDEX(Table1[[#All],[Product Name]],MATCH(Sheet2!H763,Table1[[#All],[Order ID]],0))</f>
        <v>Chair</v>
      </c>
    </row>
    <row r="764" spans="1:11" x14ac:dyDescent="0.25">
      <c r="A764" s="5">
        <v>148500</v>
      </c>
      <c r="B764" t="s">
        <v>53</v>
      </c>
      <c r="F764" t="s">
        <v>27</v>
      </c>
      <c r="H764" t="s">
        <v>1753</v>
      </c>
      <c r="I764" t="str">
        <f>VLOOKUP(H764,Table1[#All],8,FALSE)</f>
        <v>Computers</v>
      </c>
      <c r="J764" t="str" cm="1">
        <f t="array" ref="J764">_xlfn.XLOOKUP(H764,Table1[[#All],[Order ID]],Table1[[#All],[Brand]],0)</f>
        <v>Dell</v>
      </c>
      <c r="K764" t="str">
        <f>INDEX(Table1[[#All],[Product Name]],MATCH(Sheet2!H764,Table1[[#All],[Order ID]],0))</f>
        <v>Laptop</v>
      </c>
    </row>
    <row r="765" spans="1:11" x14ac:dyDescent="0.25">
      <c r="A765" s="6">
        <v>55000</v>
      </c>
      <c r="B765" t="s">
        <v>53</v>
      </c>
      <c r="F765" t="s">
        <v>27</v>
      </c>
      <c r="H765" t="s">
        <v>1754</v>
      </c>
      <c r="I765" t="str">
        <f>VLOOKUP(H765,Table1[#All],8,FALSE)</f>
        <v>Computers</v>
      </c>
      <c r="J765" t="str" cm="1">
        <f t="array" ref="J765">_xlfn.XLOOKUP(H765,Table1[[#All],[Order ID]],Table1[[#All],[Brand]],0)</f>
        <v>Dell</v>
      </c>
      <c r="K765" t="str">
        <f>INDEX(Table1[[#All],[Product Name]],MATCH(Sheet2!H765,Table1[[#All],[Order ID]],0))</f>
        <v>Laptop</v>
      </c>
    </row>
    <row r="766" spans="1:11" x14ac:dyDescent="0.25">
      <c r="A766" s="5">
        <v>18000</v>
      </c>
      <c r="B766" t="s">
        <v>39</v>
      </c>
      <c r="F766" t="s">
        <v>40</v>
      </c>
      <c r="H766" t="s">
        <v>1755</v>
      </c>
      <c r="I766" t="str">
        <f>VLOOKUP(H766,Table1[#All],8,FALSE)</f>
        <v>Office</v>
      </c>
      <c r="J766" t="str" cm="1">
        <f t="array" ref="J766">_xlfn.XLOOKUP(H766,Table1[[#All],[Order ID]],Table1[[#All],[Brand]],0)</f>
        <v>Nilkamal</v>
      </c>
      <c r="K766" t="str">
        <f>INDEX(Table1[[#All],[Product Name]],MATCH(Sheet2!H766,Table1[[#All],[Order ID]],0))</f>
        <v>Chair</v>
      </c>
    </row>
    <row r="767" spans="1:11" x14ac:dyDescent="0.25">
      <c r="A767" s="6">
        <v>4050</v>
      </c>
      <c r="B767" t="s">
        <v>68</v>
      </c>
      <c r="F767" t="s">
        <v>27</v>
      </c>
      <c r="H767" t="s">
        <v>1757</v>
      </c>
      <c r="I767" t="str">
        <f>VLOOKUP(H767,Table1[#All],8,FALSE)</f>
        <v>Accessories</v>
      </c>
      <c r="J767" t="str" cm="1">
        <f t="array" ref="J767">_xlfn.XLOOKUP(H767,Table1[[#All],[Order ID]],Table1[[#All],[Brand]],0)</f>
        <v>HP</v>
      </c>
      <c r="K767" t="str">
        <f>INDEX(Table1[[#All],[Product Name]],MATCH(Sheet2!H767,Table1[[#All],[Order ID]],0))</f>
        <v>Keyboard</v>
      </c>
    </row>
    <row r="768" spans="1:11" x14ac:dyDescent="0.25">
      <c r="A768" s="5">
        <v>20250</v>
      </c>
      <c r="B768" t="s">
        <v>39</v>
      </c>
      <c r="F768" t="s">
        <v>40</v>
      </c>
      <c r="H768" t="s">
        <v>1758</v>
      </c>
      <c r="I768" t="str">
        <f>VLOOKUP(H768,Table1[#All],8,FALSE)</f>
        <v>Office</v>
      </c>
      <c r="J768" t="str" cm="1">
        <f t="array" ref="J768">_xlfn.XLOOKUP(H768,Table1[[#All],[Order ID]],Table1[[#All],[Brand]],0)</f>
        <v>Nilkamal</v>
      </c>
      <c r="K768" t="str">
        <f>INDEX(Table1[[#All],[Product Name]],MATCH(Sheet2!H768,Table1[[#All],[Order ID]],0))</f>
        <v>Chair</v>
      </c>
    </row>
    <row r="769" spans="1:11" x14ac:dyDescent="0.25">
      <c r="A769" s="6">
        <v>3400</v>
      </c>
      <c r="B769" t="s">
        <v>26</v>
      </c>
      <c r="F769" t="s">
        <v>27</v>
      </c>
      <c r="H769" t="s">
        <v>1759</v>
      </c>
      <c r="I769" t="str">
        <f>VLOOKUP(H769,Table1[#All],8,FALSE)</f>
        <v>Accessories</v>
      </c>
      <c r="J769" t="str" cm="1">
        <f t="array" ref="J769">_xlfn.XLOOKUP(H769,Table1[[#All],[Order ID]],Table1[[#All],[Brand]],0)</f>
        <v>Logitech</v>
      </c>
      <c r="K769" t="str">
        <f>INDEX(Table1[[#All],[Product Name]],MATCH(Sheet2!H769,Table1[[#All],[Order ID]],0))</f>
        <v>Mouse</v>
      </c>
    </row>
    <row r="770" spans="1:11" x14ac:dyDescent="0.25">
      <c r="A770" s="5">
        <v>680</v>
      </c>
      <c r="B770" t="s">
        <v>26</v>
      </c>
      <c r="F770" t="s">
        <v>27</v>
      </c>
      <c r="H770" t="s">
        <v>1760</v>
      </c>
      <c r="I770" t="str">
        <f>VLOOKUP(H770,Table1[#All],8,FALSE)</f>
        <v>Accessories</v>
      </c>
      <c r="J770" t="str" cm="1">
        <f t="array" ref="J770">_xlfn.XLOOKUP(H770,Table1[[#All],[Order ID]],Table1[[#All],[Brand]],0)</f>
        <v>Logitech</v>
      </c>
      <c r="K770" t="str">
        <f>INDEX(Table1[[#All],[Product Name]],MATCH(Sheet2!H770,Table1[[#All],[Order ID]],0))</f>
        <v>Mouse</v>
      </c>
    </row>
    <row r="771" spans="1:11" x14ac:dyDescent="0.25">
      <c r="A771" s="6">
        <v>275000</v>
      </c>
      <c r="B771" t="s">
        <v>53</v>
      </c>
      <c r="F771" t="s">
        <v>27</v>
      </c>
      <c r="H771" t="s">
        <v>1762</v>
      </c>
      <c r="I771" t="str">
        <f>VLOOKUP(H771,Table1[#All],8,FALSE)</f>
        <v>Computers</v>
      </c>
      <c r="J771" t="str" cm="1">
        <f t="array" ref="J771">_xlfn.XLOOKUP(H771,Table1[[#All],[Order ID]],Table1[[#All],[Brand]],0)</f>
        <v>Dell</v>
      </c>
      <c r="K771" t="str">
        <f>INDEX(Table1[[#All],[Product Name]],MATCH(Sheet2!H771,Table1[[#All],[Order ID]],0))</f>
        <v>Laptop</v>
      </c>
    </row>
    <row r="772" spans="1:11" x14ac:dyDescent="0.25">
      <c r="A772" s="5">
        <v>19125</v>
      </c>
      <c r="B772" t="s">
        <v>39</v>
      </c>
      <c r="F772" t="s">
        <v>40</v>
      </c>
      <c r="H772" t="s">
        <v>1763</v>
      </c>
      <c r="I772" t="str">
        <f>VLOOKUP(H772,Table1[#All],8,FALSE)</f>
        <v>Office</v>
      </c>
      <c r="J772" t="str" cm="1">
        <f t="array" ref="J772">_xlfn.XLOOKUP(H772,Table1[[#All],[Order ID]],Table1[[#All],[Brand]],0)</f>
        <v>Nilkamal</v>
      </c>
      <c r="K772" t="str">
        <f>INDEX(Table1[[#All],[Product Name]],MATCH(Sheet2!H772,Table1[[#All],[Order ID]],0))</f>
        <v>Chair</v>
      </c>
    </row>
    <row r="773" spans="1:11" x14ac:dyDescent="0.25">
      <c r="A773" s="6">
        <v>4275</v>
      </c>
      <c r="B773" t="s">
        <v>68</v>
      </c>
      <c r="F773" t="s">
        <v>27</v>
      </c>
      <c r="H773" t="s">
        <v>1765</v>
      </c>
      <c r="I773" t="str">
        <f>VLOOKUP(H773,Table1[#All],8,FALSE)</f>
        <v>Accessories</v>
      </c>
      <c r="J773" t="str" cm="1">
        <f t="array" ref="J773">_xlfn.XLOOKUP(H773,Table1[[#All],[Order ID]],Table1[[#All],[Brand]],0)</f>
        <v>HP</v>
      </c>
      <c r="K773" t="str">
        <f>INDEX(Table1[[#All],[Product Name]],MATCH(Sheet2!H773,Table1[[#All],[Order ID]],0))</f>
        <v>Keyboard</v>
      </c>
    </row>
    <row r="774" spans="1:11" x14ac:dyDescent="0.25">
      <c r="A774" s="5">
        <v>13500</v>
      </c>
      <c r="B774" t="s">
        <v>39</v>
      </c>
      <c r="F774" t="s">
        <v>40</v>
      </c>
      <c r="H774" t="s">
        <v>1766</v>
      </c>
      <c r="I774" t="str">
        <f>VLOOKUP(H774,Table1[#All],8,FALSE)</f>
        <v>Office</v>
      </c>
      <c r="J774" t="str" cm="1">
        <f t="array" ref="J774">_xlfn.XLOOKUP(H774,Table1[[#All],[Order ID]],Table1[[#All],[Brand]],0)</f>
        <v>Nilkamal</v>
      </c>
      <c r="K774" t="str">
        <f>INDEX(Table1[[#All],[Product Name]],MATCH(Sheet2!H774,Table1[[#All],[Order ID]],0))</f>
        <v>Chair</v>
      </c>
    </row>
    <row r="775" spans="1:11" x14ac:dyDescent="0.25">
      <c r="A775" s="6">
        <v>17500</v>
      </c>
      <c r="B775" t="s">
        <v>74</v>
      </c>
      <c r="F775" t="s">
        <v>27</v>
      </c>
      <c r="H775" t="s">
        <v>1767</v>
      </c>
      <c r="I775" t="str">
        <f>VLOOKUP(H775,Table1[#All],8,FALSE)</f>
        <v>Audio</v>
      </c>
      <c r="J775" t="str" cm="1">
        <f t="array" ref="J775">_xlfn.XLOOKUP(H775,Table1[[#All],[Order ID]],Table1[[#All],[Brand]],0)</f>
        <v>Sony</v>
      </c>
      <c r="K775" t="str">
        <f>INDEX(Table1[[#All],[Product Name]],MATCH(Sheet2!H775,Table1[[#All],[Order ID]],0))</f>
        <v>Headphones</v>
      </c>
    </row>
    <row r="776" spans="1:11" x14ac:dyDescent="0.25">
      <c r="A776" s="5">
        <v>4275</v>
      </c>
      <c r="B776" t="s">
        <v>39</v>
      </c>
      <c r="F776" t="s">
        <v>40</v>
      </c>
      <c r="H776" t="s">
        <v>1769</v>
      </c>
      <c r="I776" t="str">
        <f>VLOOKUP(H776,Table1[#All],8,FALSE)</f>
        <v>Office</v>
      </c>
      <c r="J776" t="str" cm="1">
        <f t="array" ref="J776">_xlfn.XLOOKUP(H776,Table1[[#All],[Order ID]],Table1[[#All],[Brand]],0)</f>
        <v>Nilkamal</v>
      </c>
      <c r="K776" t="str">
        <f>INDEX(Table1[[#All],[Product Name]],MATCH(Sheet2!H776,Table1[[#All],[Order ID]],0))</f>
        <v>Chair</v>
      </c>
    </row>
    <row r="777" spans="1:11" x14ac:dyDescent="0.25">
      <c r="A777" s="6">
        <v>156750</v>
      </c>
      <c r="B777" t="s">
        <v>53</v>
      </c>
      <c r="F777" t="s">
        <v>27</v>
      </c>
      <c r="H777" t="s">
        <v>1770</v>
      </c>
      <c r="I777" t="str">
        <f>VLOOKUP(H777,Table1[#All],8,FALSE)</f>
        <v>Computers</v>
      </c>
      <c r="J777" t="str" cm="1">
        <f t="array" ref="J777">_xlfn.XLOOKUP(H777,Table1[[#All],[Order ID]],Table1[[#All],[Brand]],0)</f>
        <v>Dell</v>
      </c>
      <c r="K777" t="str">
        <f>INDEX(Table1[[#All],[Product Name]],MATCH(Sheet2!H777,Table1[[#All],[Order ID]],0))</f>
        <v>Laptop</v>
      </c>
    </row>
    <row r="778" spans="1:11" x14ac:dyDescent="0.25">
      <c r="A778" s="5">
        <v>15750</v>
      </c>
      <c r="B778" t="s">
        <v>74</v>
      </c>
      <c r="F778" t="s">
        <v>27</v>
      </c>
      <c r="H778" t="s">
        <v>1773</v>
      </c>
      <c r="I778" t="str">
        <f>VLOOKUP(H778,Table1[#All],8,FALSE)</f>
        <v>Audio</v>
      </c>
      <c r="J778" t="str" cm="1">
        <f t="array" ref="J778">_xlfn.XLOOKUP(H778,Table1[[#All],[Order ID]],Table1[[#All],[Brand]],0)</f>
        <v>Sony</v>
      </c>
      <c r="K778" t="str">
        <f>INDEX(Table1[[#All],[Product Name]],MATCH(Sheet2!H778,Table1[[#All],[Order ID]],0))</f>
        <v>Headphones</v>
      </c>
    </row>
    <row r="779" spans="1:11" x14ac:dyDescent="0.25">
      <c r="A779" s="6">
        <v>2720</v>
      </c>
      <c r="B779" t="s">
        <v>26</v>
      </c>
      <c r="F779" t="s">
        <v>27</v>
      </c>
      <c r="H779" t="s">
        <v>1774</v>
      </c>
      <c r="I779" t="str">
        <f>VLOOKUP(H779,Table1[#All],8,FALSE)</f>
        <v>Accessories</v>
      </c>
      <c r="J779" t="str" cm="1">
        <f t="array" ref="J779">_xlfn.XLOOKUP(H779,Table1[[#All],[Order ID]],Table1[[#All],[Brand]],0)</f>
        <v>Logitech</v>
      </c>
      <c r="K779" t="str">
        <f>INDEX(Table1[[#All],[Product Name]],MATCH(Sheet2!H779,Table1[[#All],[Order ID]],0))</f>
        <v>Mouse</v>
      </c>
    </row>
    <row r="780" spans="1:11" x14ac:dyDescent="0.25">
      <c r="A780" s="5">
        <v>4500</v>
      </c>
      <c r="B780" t="s">
        <v>39</v>
      </c>
      <c r="F780" t="s">
        <v>40</v>
      </c>
      <c r="H780" t="s">
        <v>1775</v>
      </c>
      <c r="I780" t="str">
        <f>VLOOKUP(H780,Table1[#All],8,FALSE)</f>
        <v>Office</v>
      </c>
      <c r="J780" t="str" cm="1">
        <f t="array" ref="J780">_xlfn.XLOOKUP(H780,Table1[[#All],[Order ID]],Table1[[#All],[Brand]],0)</f>
        <v>Nilkamal</v>
      </c>
      <c r="K780" t="str">
        <f>INDEX(Table1[[#All],[Product Name]],MATCH(Sheet2!H780,Table1[[#All],[Order ID]],0))</f>
        <v>Chair</v>
      </c>
    </row>
    <row r="781" spans="1:11" x14ac:dyDescent="0.25">
      <c r="A781" s="6">
        <v>233750</v>
      </c>
      <c r="B781" t="s">
        <v>53</v>
      </c>
      <c r="F781" t="s">
        <v>27</v>
      </c>
      <c r="H781" t="s">
        <v>1776</v>
      </c>
      <c r="I781" t="str">
        <f>VLOOKUP(H781,Table1[#All],8,FALSE)</f>
        <v>Computers</v>
      </c>
      <c r="J781" t="str" cm="1">
        <f t="array" ref="J781">_xlfn.XLOOKUP(H781,Table1[[#All],[Order ID]],Table1[[#All],[Brand]],0)</f>
        <v>Dell</v>
      </c>
      <c r="K781" t="str">
        <f>INDEX(Table1[[#All],[Product Name]],MATCH(Sheet2!H781,Table1[[#All],[Order ID]],0))</f>
        <v>Laptop</v>
      </c>
    </row>
    <row r="782" spans="1:11" x14ac:dyDescent="0.25">
      <c r="A782" s="5">
        <v>3325</v>
      </c>
      <c r="B782" t="s">
        <v>74</v>
      </c>
      <c r="F782" t="s">
        <v>27</v>
      </c>
      <c r="H782" t="s">
        <v>1778</v>
      </c>
      <c r="I782" t="str">
        <f>VLOOKUP(H782,Table1[#All],8,FALSE)</f>
        <v>Audio</v>
      </c>
      <c r="J782" t="str" cm="1">
        <f t="array" ref="J782">_xlfn.XLOOKUP(H782,Table1[[#All],[Order ID]],Table1[[#All],[Brand]],0)</f>
        <v>Sony</v>
      </c>
      <c r="K782" t="str">
        <f>INDEX(Table1[[#All],[Product Name]],MATCH(Sheet2!H782,Table1[[#All],[Order ID]],0))</f>
        <v>Headphones</v>
      </c>
    </row>
    <row r="783" spans="1:11" x14ac:dyDescent="0.25">
      <c r="A783" s="6">
        <v>19125</v>
      </c>
      <c r="B783" t="s">
        <v>39</v>
      </c>
      <c r="F783" t="s">
        <v>40</v>
      </c>
      <c r="H783" t="s">
        <v>1779</v>
      </c>
      <c r="I783" t="str">
        <f>VLOOKUP(H783,Table1[#All],8,FALSE)</f>
        <v>Office</v>
      </c>
      <c r="J783" t="str" cm="1">
        <f t="array" ref="J783">_xlfn.XLOOKUP(H783,Table1[[#All],[Order ID]],Table1[[#All],[Brand]],0)</f>
        <v>Nilkamal</v>
      </c>
      <c r="K783" t="str">
        <f>INDEX(Table1[[#All],[Product Name]],MATCH(Sheet2!H783,Table1[[#All],[Order ID]],0))</f>
        <v>Chair</v>
      </c>
    </row>
    <row r="784" spans="1:11" x14ac:dyDescent="0.25">
      <c r="A784" s="5">
        <v>55000</v>
      </c>
      <c r="B784" t="s">
        <v>53</v>
      </c>
      <c r="F784" t="s">
        <v>27</v>
      </c>
      <c r="H784" t="s">
        <v>1781</v>
      </c>
      <c r="I784" t="str">
        <f>VLOOKUP(H784,Table1[#All],8,FALSE)</f>
        <v>Computers</v>
      </c>
      <c r="J784" t="str" cm="1">
        <f t="array" ref="J784">_xlfn.XLOOKUP(H784,Table1[[#All],[Order ID]],Table1[[#All],[Brand]],0)</f>
        <v>Dell</v>
      </c>
      <c r="K784" t="str">
        <f>INDEX(Table1[[#All],[Product Name]],MATCH(Sheet2!H784,Table1[[#All],[Order ID]],0))</f>
        <v>Laptop</v>
      </c>
    </row>
    <row r="785" spans="1:11" x14ac:dyDescent="0.25">
      <c r="A785" s="6">
        <v>13500</v>
      </c>
      <c r="B785" t="s">
        <v>39</v>
      </c>
      <c r="F785" t="s">
        <v>40</v>
      </c>
      <c r="H785" t="s">
        <v>1783</v>
      </c>
      <c r="I785" t="str">
        <f>VLOOKUP(H785,Table1[#All],8,FALSE)</f>
        <v>Office</v>
      </c>
      <c r="J785" t="str" cm="1">
        <f t="array" ref="J785">_xlfn.XLOOKUP(H785,Table1[[#All],[Order ID]],Table1[[#All],[Brand]],0)</f>
        <v>Nilkamal</v>
      </c>
      <c r="K785" t="str">
        <f>INDEX(Table1[[#All],[Product Name]],MATCH(Sheet2!H785,Table1[[#All],[Order ID]],0))</f>
        <v>Chair</v>
      </c>
    </row>
    <row r="786" spans="1:11" x14ac:dyDescent="0.25">
      <c r="A786" s="5">
        <v>3500</v>
      </c>
      <c r="B786" t="s">
        <v>74</v>
      </c>
      <c r="F786" t="s">
        <v>27</v>
      </c>
      <c r="H786" t="s">
        <v>1785</v>
      </c>
      <c r="I786" t="str">
        <f>VLOOKUP(H786,Table1[#All],8,FALSE)</f>
        <v>Audio</v>
      </c>
      <c r="J786" t="str" cm="1">
        <f t="array" ref="J786">_xlfn.XLOOKUP(H786,Table1[[#All],[Order ID]],Table1[[#All],[Brand]],0)</f>
        <v>Sony</v>
      </c>
      <c r="K786" t="str">
        <f>INDEX(Table1[[#All],[Product Name]],MATCH(Sheet2!H786,Table1[[#All],[Order ID]],0))</f>
        <v>Headphones</v>
      </c>
    </row>
    <row r="787" spans="1:11" x14ac:dyDescent="0.25">
      <c r="A787" s="6">
        <v>17100</v>
      </c>
      <c r="B787" t="s">
        <v>39</v>
      </c>
      <c r="F787" t="s">
        <v>40</v>
      </c>
      <c r="H787" t="s">
        <v>1788</v>
      </c>
      <c r="I787" t="str">
        <f>VLOOKUP(H787,Table1[#All],8,FALSE)</f>
        <v>Office</v>
      </c>
      <c r="J787" t="str" cm="1">
        <f t="array" ref="J787">_xlfn.XLOOKUP(H787,Table1[[#All],[Order ID]],Table1[[#All],[Brand]],0)</f>
        <v>Nilkamal</v>
      </c>
      <c r="K787" t="str">
        <f>INDEX(Table1[[#All],[Product Name]],MATCH(Sheet2!H787,Table1[[#All],[Order ID]],0))</f>
        <v>Chair</v>
      </c>
    </row>
    <row r="788" spans="1:11" x14ac:dyDescent="0.25">
      <c r="A788" s="5">
        <v>2160</v>
      </c>
      <c r="B788" t="s">
        <v>26</v>
      </c>
      <c r="F788" t="s">
        <v>27</v>
      </c>
      <c r="H788" t="s">
        <v>1789</v>
      </c>
      <c r="I788" t="str">
        <f>VLOOKUP(H788,Table1[#All],8,FALSE)</f>
        <v>Accessories</v>
      </c>
      <c r="J788" t="str" cm="1">
        <f t="array" ref="J788">_xlfn.XLOOKUP(H788,Table1[[#All],[Order ID]],Table1[[#All],[Brand]],0)</f>
        <v>Logitech</v>
      </c>
      <c r="K788" t="str">
        <f>INDEX(Table1[[#All],[Product Name]],MATCH(Sheet2!H788,Table1[[#All],[Order ID]],0))</f>
        <v>Mouse</v>
      </c>
    </row>
    <row r="789" spans="1:11" x14ac:dyDescent="0.25">
      <c r="A789" s="6">
        <v>16625</v>
      </c>
      <c r="B789" t="s">
        <v>74</v>
      </c>
      <c r="F789" t="s">
        <v>27</v>
      </c>
      <c r="H789" t="s">
        <v>1791</v>
      </c>
      <c r="I789" t="str">
        <f>VLOOKUP(H789,Table1[#All],8,FALSE)</f>
        <v>Audio</v>
      </c>
      <c r="J789" t="str" cm="1">
        <f t="array" ref="J789">_xlfn.XLOOKUP(H789,Table1[[#All],[Order ID]],Table1[[#All],[Brand]],0)</f>
        <v>Sony</v>
      </c>
      <c r="K789" t="str">
        <f>INDEX(Table1[[#All],[Product Name]],MATCH(Sheet2!H789,Table1[[#All],[Order ID]],0))</f>
        <v>Headphones</v>
      </c>
    </row>
    <row r="790" spans="1:11" x14ac:dyDescent="0.25">
      <c r="A790" s="5">
        <v>7650</v>
      </c>
      <c r="B790" t="s">
        <v>39</v>
      </c>
      <c r="F790" t="s">
        <v>40</v>
      </c>
      <c r="H790" t="s">
        <v>1792</v>
      </c>
      <c r="I790" t="str">
        <f>VLOOKUP(H790,Table1[#All],8,FALSE)</f>
        <v>Office</v>
      </c>
      <c r="J790" t="str" cm="1">
        <f t="array" ref="J790">_xlfn.XLOOKUP(H790,Table1[[#All],[Order ID]],Table1[[#All],[Brand]],0)</f>
        <v>Nilkamal</v>
      </c>
      <c r="K790" t="str">
        <f>INDEX(Table1[[#All],[Product Name]],MATCH(Sheet2!H790,Table1[[#All],[Order ID]],0))</f>
        <v>Chair</v>
      </c>
    </row>
    <row r="791" spans="1:11" x14ac:dyDescent="0.25">
      <c r="A791" s="6">
        <v>5950</v>
      </c>
      <c r="B791" t="s">
        <v>74</v>
      </c>
      <c r="F791" t="s">
        <v>27</v>
      </c>
      <c r="H791" t="s">
        <v>1794</v>
      </c>
      <c r="I791" t="str">
        <f>VLOOKUP(H791,Table1[#All],8,FALSE)</f>
        <v>Audio</v>
      </c>
      <c r="J791" t="str" cm="1">
        <f t="array" ref="J791">_xlfn.XLOOKUP(H791,Table1[[#All],[Order ID]],Table1[[#All],[Brand]],0)</f>
        <v>Sony</v>
      </c>
      <c r="K791" t="str">
        <f>INDEX(Table1[[#All],[Product Name]],MATCH(Sheet2!H791,Table1[[#All],[Order ID]],0))</f>
        <v>Headphones</v>
      </c>
    </row>
    <row r="792" spans="1:11" x14ac:dyDescent="0.25">
      <c r="A792" s="5">
        <v>12600</v>
      </c>
      <c r="B792" t="s">
        <v>74</v>
      </c>
      <c r="F792" t="s">
        <v>27</v>
      </c>
      <c r="H792" t="s">
        <v>1795</v>
      </c>
      <c r="I792" t="str">
        <f>VLOOKUP(H792,Table1[#All],8,FALSE)</f>
        <v>Audio</v>
      </c>
      <c r="J792" t="str" cm="1">
        <f t="array" ref="J792">_xlfn.XLOOKUP(H792,Table1[[#All],[Order ID]],Table1[[#All],[Brand]],0)</f>
        <v>Sony</v>
      </c>
      <c r="K792" t="str">
        <f>INDEX(Table1[[#All],[Product Name]],MATCH(Sheet2!H792,Table1[[#All],[Order ID]],0))</f>
        <v>Headphones</v>
      </c>
    </row>
    <row r="793" spans="1:11" x14ac:dyDescent="0.25">
      <c r="A793" s="6">
        <v>16200</v>
      </c>
      <c r="B793" t="s">
        <v>39</v>
      </c>
      <c r="F793" t="s">
        <v>40</v>
      </c>
      <c r="H793" t="s">
        <v>1797</v>
      </c>
      <c r="I793" t="str">
        <f>VLOOKUP(H793,Table1[#All],8,FALSE)</f>
        <v>Office</v>
      </c>
      <c r="J793" t="str" cm="1">
        <f t="array" ref="J793">_xlfn.XLOOKUP(H793,Table1[[#All],[Order ID]],Table1[[#All],[Brand]],0)</f>
        <v>Nilkamal</v>
      </c>
      <c r="K793" t="str">
        <f>INDEX(Table1[[#All],[Product Name]],MATCH(Sheet2!H793,Table1[[#All],[Order ID]],0))</f>
        <v>Chair</v>
      </c>
    </row>
    <row r="794" spans="1:11" x14ac:dyDescent="0.25">
      <c r="A794" s="5">
        <v>14875</v>
      </c>
      <c r="B794" t="s">
        <v>74</v>
      </c>
      <c r="F794" t="s">
        <v>27</v>
      </c>
      <c r="H794" t="s">
        <v>1799</v>
      </c>
      <c r="I794" t="str">
        <f>VLOOKUP(H794,Table1[#All],8,FALSE)</f>
        <v>Audio</v>
      </c>
      <c r="J794" t="str" cm="1">
        <f t="array" ref="J794">_xlfn.XLOOKUP(H794,Table1[[#All],[Order ID]],Table1[[#All],[Brand]],0)</f>
        <v>Sony</v>
      </c>
      <c r="K794" t="str">
        <f>INDEX(Table1[[#All],[Product Name]],MATCH(Sheet2!H794,Table1[[#All],[Order ID]],0))</f>
        <v>Headphones</v>
      </c>
    </row>
    <row r="795" spans="1:11" x14ac:dyDescent="0.25">
      <c r="A795" s="6">
        <v>20250</v>
      </c>
      <c r="B795" t="s">
        <v>39</v>
      </c>
      <c r="F795" t="s">
        <v>40</v>
      </c>
      <c r="H795" t="s">
        <v>1800</v>
      </c>
      <c r="I795" t="str">
        <f>VLOOKUP(H795,Table1[#All],8,FALSE)</f>
        <v>Office</v>
      </c>
      <c r="J795" t="str" cm="1">
        <f t="array" ref="J795">_xlfn.XLOOKUP(H795,Table1[[#All],[Order ID]],Table1[[#All],[Brand]],0)</f>
        <v>Nilkamal</v>
      </c>
      <c r="K795" t="str">
        <f>INDEX(Table1[[#All],[Product Name]],MATCH(Sheet2!H795,Table1[[#All],[Order ID]],0))</f>
        <v>Chair</v>
      </c>
    </row>
    <row r="796" spans="1:11" x14ac:dyDescent="0.25">
      <c r="A796" s="5">
        <v>680</v>
      </c>
      <c r="B796" t="s">
        <v>26</v>
      </c>
      <c r="F796" t="s">
        <v>27</v>
      </c>
      <c r="H796" t="s">
        <v>1801</v>
      </c>
      <c r="I796" t="str">
        <f>VLOOKUP(H796,Table1[#All],8,FALSE)</f>
        <v>Accessories</v>
      </c>
      <c r="J796" t="str" cm="1">
        <f t="array" ref="J796">_xlfn.XLOOKUP(H796,Table1[[#All],[Order ID]],Table1[[#All],[Brand]],0)</f>
        <v>Logitech</v>
      </c>
      <c r="K796" t="str">
        <f>INDEX(Table1[[#All],[Product Name]],MATCH(Sheet2!H796,Table1[[#All],[Order ID]],0))</f>
        <v>Mouse</v>
      </c>
    </row>
    <row r="797" spans="1:11" x14ac:dyDescent="0.25">
      <c r="A797" s="6">
        <v>13300</v>
      </c>
      <c r="B797" t="s">
        <v>74</v>
      </c>
      <c r="F797" t="s">
        <v>27</v>
      </c>
      <c r="H797" t="s">
        <v>1802</v>
      </c>
      <c r="I797" t="str">
        <f>VLOOKUP(H797,Table1[#All],8,FALSE)</f>
        <v>Audio</v>
      </c>
      <c r="J797" t="str" cm="1">
        <f t="array" ref="J797">_xlfn.XLOOKUP(H797,Table1[[#All],[Order ID]],Table1[[#All],[Brand]],0)</f>
        <v>Sony</v>
      </c>
      <c r="K797" t="str">
        <f>INDEX(Table1[[#All],[Product Name]],MATCH(Sheet2!H797,Table1[[#All],[Order ID]],0))</f>
        <v>Headphones</v>
      </c>
    </row>
    <row r="798" spans="1:11" x14ac:dyDescent="0.25">
      <c r="A798" s="5">
        <v>233750</v>
      </c>
      <c r="B798" t="s">
        <v>53</v>
      </c>
      <c r="F798" t="s">
        <v>27</v>
      </c>
      <c r="H798" t="s">
        <v>1803</v>
      </c>
      <c r="I798" t="str">
        <f>VLOOKUP(H798,Table1[#All],8,FALSE)</f>
        <v>Computers</v>
      </c>
      <c r="J798" t="str" cm="1">
        <f t="array" ref="J798">_xlfn.XLOOKUP(H798,Table1[[#All],[Order ID]],Table1[[#All],[Brand]],0)</f>
        <v>Dell</v>
      </c>
      <c r="K798" t="str">
        <f>INDEX(Table1[[#All],[Product Name]],MATCH(Sheet2!H798,Table1[[#All],[Order ID]],0))</f>
        <v>Laptop</v>
      </c>
    </row>
    <row r="799" spans="1:11" x14ac:dyDescent="0.25">
      <c r="A799" s="6">
        <v>2280</v>
      </c>
      <c r="B799" t="s">
        <v>26</v>
      </c>
      <c r="F799" t="s">
        <v>27</v>
      </c>
      <c r="H799" t="s">
        <v>1804</v>
      </c>
      <c r="I799" t="str">
        <f>VLOOKUP(H799,Table1[#All],8,FALSE)</f>
        <v>Accessories</v>
      </c>
      <c r="J799" t="str" cm="1">
        <f t="array" ref="J799">_xlfn.XLOOKUP(H799,Table1[[#All],[Order ID]],Table1[[#All],[Brand]],0)</f>
        <v>Logitech</v>
      </c>
      <c r="K799" t="str">
        <f>INDEX(Table1[[#All],[Product Name]],MATCH(Sheet2!H799,Table1[[#All],[Order ID]],0))</f>
        <v>Mouse</v>
      </c>
    </row>
    <row r="800" spans="1:11" x14ac:dyDescent="0.25">
      <c r="A800" s="5">
        <v>14875</v>
      </c>
      <c r="B800" t="s">
        <v>74</v>
      </c>
      <c r="F800" t="s">
        <v>27</v>
      </c>
      <c r="H800" t="s">
        <v>1806</v>
      </c>
      <c r="I800" t="str">
        <f>VLOOKUP(H800,Table1[#All],8,FALSE)</f>
        <v>Audio</v>
      </c>
      <c r="J800" t="str" cm="1">
        <f t="array" ref="J800">_xlfn.XLOOKUP(H800,Table1[[#All],[Order ID]],Table1[[#All],[Brand]],0)</f>
        <v>Sony</v>
      </c>
      <c r="K800" t="str">
        <f>INDEX(Table1[[#All],[Product Name]],MATCH(Sheet2!H800,Table1[[#All],[Order ID]],0))</f>
        <v>Headphones</v>
      </c>
    </row>
    <row r="801" spans="1:11" x14ac:dyDescent="0.25">
      <c r="A801" s="6">
        <v>7000</v>
      </c>
      <c r="B801" t="s">
        <v>74</v>
      </c>
      <c r="F801" t="s">
        <v>27</v>
      </c>
      <c r="H801" t="s">
        <v>1808</v>
      </c>
      <c r="I801" t="str">
        <f>VLOOKUP(H801,Table1[#All],8,FALSE)</f>
        <v>Audio</v>
      </c>
      <c r="J801" t="str" cm="1">
        <f t="array" ref="J801">_xlfn.XLOOKUP(H801,Table1[[#All],[Order ID]],Table1[[#All],[Brand]],0)</f>
        <v>Sony</v>
      </c>
      <c r="K801" t="str">
        <f>INDEX(Table1[[#All],[Product Name]],MATCH(Sheet2!H801,Table1[[#All],[Order ID]],0))</f>
        <v>Headphones</v>
      </c>
    </row>
    <row r="802" spans="1:11" x14ac:dyDescent="0.25">
      <c r="A802" s="5">
        <v>104500</v>
      </c>
      <c r="B802" t="s">
        <v>53</v>
      </c>
      <c r="F802" t="s">
        <v>27</v>
      </c>
      <c r="H802" t="s">
        <v>1810</v>
      </c>
      <c r="I802" t="str">
        <f>VLOOKUP(H802,Table1[#All],8,FALSE)</f>
        <v>Computers</v>
      </c>
      <c r="J802" t="str" cm="1">
        <f t="array" ref="J802">_xlfn.XLOOKUP(H802,Table1[[#All],[Order ID]],Table1[[#All],[Brand]],0)</f>
        <v>Dell</v>
      </c>
      <c r="K802" t="str">
        <f>INDEX(Table1[[#All],[Product Name]],MATCH(Sheet2!H802,Table1[[#All],[Order ID]],0))</f>
        <v>Laptop</v>
      </c>
    </row>
    <row r="803" spans="1:11" x14ac:dyDescent="0.25">
      <c r="A803" s="6">
        <v>5400</v>
      </c>
      <c r="B803" t="s">
        <v>68</v>
      </c>
      <c r="F803" t="s">
        <v>27</v>
      </c>
      <c r="H803" t="s">
        <v>1812</v>
      </c>
      <c r="I803" t="str">
        <f>VLOOKUP(H803,Table1[#All],8,FALSE)</f>
        <v>Accessories</v>
      </c>
      <c r="J803" t="str" cm="1">
        <f t="array" ref="J803">_xlfn.XLOOKUP(H803,Table1[[#All],[Order ID]],Table1[[#All],[Brand]],0)</f>
        <v>HP</v>
      </c>
      <c r="K803" t="str">
        <f>INDEX(Table1[[#All],[Product Name]],MATCH(Sheet2!H803,Table1[[#All],[Order ID]],0))</f>
        <v>Keyboard</v>
      </c>
    </row>
    <row r="804" spans="1:11" x14ac:dyDescent="0.25">
      <c r="A804" s="5">
        <v>18000</v>
      </c>
      <c r="B804" t="s">
        <v>39</v>
      </c>
      <c r="F804" t="s">
        <v>40</v>
      </c>
      <c r="H804" t="s">
        <v>1814</v>
      </c>
      <c r="I804" t="str">
        <f>VLOOKUP(H804,Table1[#All],8,FALSE)</f>
        <v>Office</v>
      </c>
      <c r="J804" t="str" cm="1">
        <f t="array" ref="J804">_xlfn.XLOOKUP(H804,Table1[[#All],[Order ID]],Table1[[#All],[Brand]],0)</f>
        <v>Nilkamal</v>
      </c>
      <c r="K804" t="str">
        <f>INDEX(Table1[[#All],[Product Name]],MATCH(Sheet2!H804,Table1[[#All],[Order ID]],0))</f>
        <v>Chair</v>
      </c>
    </row>
    <row r="805" spans="1:11" x14ac:dyDescent="0.25">
      <c r="A805" s="6">
        <v>6300</v>
      </c>
      <c r="B805" t="s">
        <v>74</v>
      </c>
      <c r="F805" t="s">
        <v>27</v>
      </c>
      <c r="H805" t="s">
        <v>1817</v>
      </c>
      <c r="I805" t="str">
        <f>VLOOKUP(H805,Table1[#All],8,FALSE)</f>
        <v>Audio</v>
      </c>
      <c r="J805" t="str" cm="1">
        <f t="array" ref="J805">_xlfn.XLOOKUP(H805,Table1[[#All],[Order ID]],Table1[[#All],[Brand]],0)</f>
        <v>Sony</v>
      </c>
      <c r="K805" t="str">
        <f>INDEX(Table1[[#All],[Product Name]],MATCH(Sheet2!H805,Table1[[#All],[Order ID]],0))</f>
        <v>Headphones</v>
      </c>
    </row>
    <row r="806" spans="1:11" x14ac:dyDescent="0.25">
      <c r="A806" s="5">
        <v>148500</v>
      </c>
      <c r="B806" t="s">
        <v>53</v>
      </c>
      <c r="F806" t="s">
        <v>27</v>
      </c>
      <c r="H806" t="s">
        <v>1819</v>
      </c>
      <c r="I806" t="str">
        <f>VLOOKUP(H806,Table1[#All],8,FALSE)</f>
        <v>Computers</v>
      </c>
      <c r="J806" t="str" cm="1">
        <f t="array" ref="J806">_xlfn.XLOOKUP(H806,Table1[[#All],[Order ID]],Table1[[#All],[Brand]],0)</f>
        <v>Dell</v>
      </c>
      <c r="K806" t="str">
        <f>INDEX(Table1[[#All],[Product Name]],MATCH(Sheet2!H806,Table1[[#All],[Order ID]],0))</f>
        <v>Laptop</v>
      </c>
    </row>
    <row r="807" spans="1:11" x14ac:dyDescent="0.25">
      <c r="A807" s="6">
        <v>148500</v>
      </c>
      <c r="B807" t="s">
        <v>53</v>
      </c>
      <c r="F807" t="s">
        <v>27</v>
      </c>
      <c r="H807" t="s">
        <v>1820</v>
      </c>
      <c r="I807" t="str">
        <f>VLOOKUP(H807,Table1[#All],8,FALSE)</f>
        <v>Computers</v>
      </c>
      <c r="J807" t="str" cm="1">
        <f t="array" ref="J807">_xlfn.XLOOKUP(H807,Table1[[#All],[Order ID]],Table1[[#All],[Brand]],0)</f>
        <v>Dell</v>
      </c>
      <c r="K807" t="str">
        <f>INDEX(Table1[[#All],[Product Name]],MATCH(Sheet2!H807,Table1[[#All],[Order ID]],0))</f>
        <v>Laptop</v>
      </c>
    </row>
    <row r="808" spans="1:11" x14ac:dyDescent="0.25">
      <c r="A808" s="5">
        <v>2040</v>
      </c>
      <c r="B808" t="s">
        <v>26</v>
      </c>
      <c r="F808" t="s">
        <v>27</v>
      </c>
      <c r="H808" t="s">
        <v>1822</v>
      </c>
      <c r="I808" t="str">
        <f>VLOOKUP(H808,Table1[#All],8,FALSE)</f>
        <v>Accessories</v>
      </c>
      <c r="J808" t="str" cm="1">
        <f t="array" ref="J808">_xlfn.XLOOKUP(H808,Table1[[#All],[Order ID]],Table1[[#All],[Brand]],0)</f>
        <v>Logitech</v>
      </c>
      <c r="K808" t="str">
        <f>INDEX(Table1[[#All],[Product Name]],MATCH(Sheet2!H808,Table1[[#All],[Order ID]],0))</f>
        <v>Mouse</v>
      </c>
    </row>
    <row r="809" spans="1:11" x14ac:dyDescent="0.25">
      <c r="A809" s="6">
        <v>2850</v>
      </c>
      <c r="B809" t="s">
        <v>68</v>
      </c>
      <c r="F809" t="s">
        <v>27</v>
      </c>
      <c r="H809" t="s">
        <v>1824</v>
      </c>
      <c r="I809" t="str">
        <f>VLOOKUP(H809,Table1[#All],8,FALSE)</f>
        <v>Accessories</v>
      </c>
      <c r="J809" t="str" cm="1">
        <f t="array" ref="J809">_xlfn.XLOOKUP(H809,Table1[[#All],[Order ID]],Table1[[#All],[Brand]],0)</f>
        <v>HP</v>
      </c>
      <c r="K809" t="str">
        <f>INDEX(Table1[[#All],[Product Name]],MATCH(Sheet2!H809,Table1[[#All],[Order ID]],0))</f>
        <v>Keyboard</v>
      </c>
    </row>
    <row r="810" spans="1:11" x14ac:dyDescent="0.25">
      <c r="A810" s="5">
        <v>140250</v>
      </c>
      <c r="B810" t="s">
        <v>53</v>
      </c>
      <c r="F810" t="s">
        <v>27</v>
      </c>
      <c r="H810" t="s">
        <v>1826</v>
      </c>
      <c r="I810" t="str">
        <f>VLOOKUP(H810,Table1[#All],8,FALSE)</f>
        <v>Computers</v>
      </c>
      <c r="J810" t="str" cm="1">
        <f t="array" ref="J810">_xlfn.XLOOKUP(H810,Table1[[#All],[Order ID]],Table1[[#All],[Brand]],0)</f>
        <v>Dell</v>
      </c>
      <c r="K810" t="str">
        <f>INDEX(Table1[[#All],[Product Name]],MATCH(Sheet2!H810,Table1[[#All],[Order ID]],0))</f>
        <v>Laptop</v>
      </c>
    </row>
    <row r="811" spans="1:11" x14ac:dyDescent="0.25">
      <c r="A811" s="6">
        <v>10500</v>
      </c>
      <c r="B811" t="s">
        <v>74</v>
      </c>
      <c r="F811" t="s">
        <v>27</v>
      </c>
      <c r="H811" t="s">
        <v>1827</v>
      </c>
      <c r="I811" t="str">
        <f>VLOOKUP(H811,Table1[#All],8,FALSE)</f>
        <v>Audio</v>
      </c>
      <c r="J811" t="str" cm="1">
        <f t="array" ref="J811">_xlfn.XLOOKUP(H811,Table1[[#All],[Order ID]],Table1[[#All],[Brand]],0)</f>
        <v>Sony</v>
      </c>
      <c r="K811" t="str">
        <f>INDEX(Table1[[#All],[Product Name]],MATCH(Sheet2!H811,Table1[[#All],[Order ID]],0))</f>
        <v>Headphones</v>
      </c>
    </row>
    <row r="812" spans="1:11" x14ac:dyDescent="0.25">
      <c r="A812" s="5">
        <v>4000</v>
      </c>
      <c r="B812" t="s">
        <v>26</v>
      </c>
      <c r="F812" t="s">
        <v>27</v>
      </c>
      <c r="H812" t="s">
        <v>1829</v>
      </c>
      <c r="I812" t="str">
        <f>VLOOKUP(H812,Table1[#All],8,FALSE)</f>
        <v>Accessories</v>
      </c>
      <c r="J812" t="str" cm="1">
        <f t="array" ref="J812">_xlfn.XLOOKUP(H812,Table1[[#All],[Order ID]],Table1[[#All],[Brand]],0)</f>
        <v>Logitech</v>
      </c>
      <c r="K812" t="str">
        <f>INDEX(Table1[[#All],[Product Name]],MATCH(Sheet2!H812,Table1[[#All],[Order ID]],0))</f>
        <v>Mouse</v>
      </c>
    </row>
    <row r="813" spans="1:11" x14ac:dyDescent="0.25">
      <c r="A813" s="6">
        <v>760</v>
      </c>
      <c r="B813" t="s">
        <v>26</v>
      </c>
      <c r="F813" t="s">
        <v>27</v>
      </c>
      <c r="H813" t="s">
        <v>1830</v>
      </c>
      <c r="I813" t="str">
        <f>VLOOKUP(H813,Table1[#All],8,FALSE)</f>
        <v>Accessories</v>
      </c>
      <c r="J813" t="str" cm="1">
        <f t="array" ref="J813">_xlfn.XLOOKUP(H813,Table1[[#All],[Order ID]],Table1[[#All],[Brand]],0)</f>
        <v>Logitech</v>
      </c>
      <c r="K813" t="str">
        <f>INDEX(Table1[[#All],[Product Name]],MATCH(Sheet2!H813,Table1[[#All],[Order ID]],0))</f>
        <v>Mouse</v>
      </c>
    </row>
    <row r="814" spans="1:11" x14ac:dyDescent="0.25">
      <c r="A814" s="5">
        <v>6375</v>
      </c>
      <c r="B814" t="s">
        <v>68</v>
      </c>
      <c r="F814" t="s">
        <v>27</v>
      </c>
      <c r="H814" t="s">
        <v>1832</v>
      </c>
      <c r="I814" t="str">
        <f>VLOOKUP(H814,Table1[#All],8,FALSE)</f>
        <v>Accessories</v>
      </c>
      <c r="J814" t="str" cm="1">
        <f t="array" ref="J814">_xlfn.XLOOKUP(H814,Table1[[#All],[Order ID]],Table1[[#All],[Brand]],0)</f>
        <v>HP</v>
      </c>
      <c r="K814" t="str">
        <f>INDEX(Table1[[#All],[Product Name]],MATCH(Sheet2!H814,Table1[[#All],[Order ID]],0))</f>
        <v>Keyboard</v>
      </c>
    </row>
    <row r="815" spans="1:11" x14ac:dyDescent="0.25">
      <c r="A815" s="6">
        <v>5100</v>
      </c>
      <c r="B815" t="s">
        <v>68</v>
      </c>
      <c r="F815" t="s">
        <v>27</v>
      </c>
      <c r="H815" t="s">
        <v>1834</v>
      </c>
      <c r="I815" t="str">
        <f>VLOOKUP(H815,Table1[#All],8,FALSE)</f>
        <v>Accessories</v>
      </c>
      <c r="J815" t="str" cm="1">
        <f t="array" ref="J815">_xlfn.XLOOKUP(H815,Table1[[#All],[Order ID]],Table1[[#All],[Brand]],0)</f>
        <v>HP</v>
      </c>
      <c r="K815" t="str">
        <f>INDEX(Table1[[#All],[Product Name]],MATCH(Sheet2!H815,Table1[[#All],[Order ID]],0))</f>
        <v>Keyboard</v>
      </c>
    </row>
    <row r="816" spans="1:11" x14ac:dyDescent="0.25">
      <c r="A816" s="5">
        <v>12825</v>
      </c>
      <c r="B816" t="s">
        <v>39</v>
      </c>
      <c r="F816" t="s">
        <v>40</v>
      </c>
      <c r="H816" t="s">
        <v>1836</v>
      </c>
      <c r="I816" t="str">
        <f>VLOOKUP(H816,Table1[#All],8,FALSE)</f>
        <v>Office</v>
      </c>
      <c r="J816" t="str" cm="1">
        <f t="array" ref="J816">_xlfn.XLOOKUP(H816,Table1[[#All],[Order ID]],Table1[[#All],[Brand]],0)</f>
        <v>Nilkamal</v>
      </c>
      <c r="K816" t="str">
        <f>INDEX(Table1[[#All],[Product Name]],MATCH(Sheet2!H816,Table1[[#All],[Order ID]],0))</f>
        <v>Chair</v>
      </c>
    </row>
    <row r="817" spans="1:11" x14ac:dyDescent="0.25">
      <c r="A817" s="6">
        <v>13500</v>
      </c>
      <c r="B817" t="s">
        <v>39</v>
      </c>
      <c r="F817" t="s">
        <v>40</v>
      </c>
      <c r="H817" t="s">
        <v>1837</v>
      </c>
      <c r="I817" t="str">
        <f>VLOOKUP(H817,Table1[#All],8,FALSE)</f>
        <v>Office</v>
      </c>
      <c r="J817" t="str" cm="1">
        <f t="array" ref="J817">_xlfn.XLOOKUP(H817,Table1[[#All],[Order ID]],Table1[[#All],[Brand]],0)</f>
        <v>Nilkamal</v>
      </c>
      <c r="K817" t="str">
        <f>INDEX(Table1[[#All],[Product Name]],MATCH(Sheet2!H817,Table1[[#All],[Order ID]],0))</f>
        <v>Chair</v>
      </c>
    </row>
    <row r="818" spans="1:11" x14ac:dyDescent="0.25">
      <c r="A818" s="5">
        <v>140250</v>
      </c>
      <c r="B818" t="s">
        <v>53</v>
      </c>
      <c r="F818" t="s">
        <v>27</v>
      </c>
      <c r="H818" t="s">
        <v>1839</v>
      </c>
      <c r="I818" t="str">
        <f>VLOOKUP(H818,Table1[#All],8,FALSE)</f>
        <v>Computers</v>
      </c>
      <c r="J818" t="str" cm="1">
        <f t="array" ref="J818">_xlfn.XLOOKUP(H818,Table1[[#All],[Order ID]],Table1[[#All],[Brand]],0)</f>
        <v>Dell</v>
      </c>
      <c r="K818" t="str">
        <f>INDEX(Table1[[#All],[Product Name]],MATCH(Sheet2!H818,Table1[[#All],[Order ID]],0))</f>
        <v>Laptop</v>
      </c>
    </row>
    <row r="819" spans="1:11" x14ac:dyDescent="0.25">
      <c r="A819" s="6">
        <v>3825</v>
      </c>
      <c r="B819" t="s">
        <v>39</v>
      </c>
      <c r="F819" t="s">
        <v>40</v>
      </c>
      <c r="H819" t="s">
        <v>1841</v>
      </c>
      <c r="I819" t="str">
        <f>VLOOKUP(H819,Table1[#All],8,FALSE)</f>
        <v>Office</v>
      </c>
      <c r="J819" t="str" cm="1">
        <f t="array" ref="J819">_xlfn.XLOOKUP(H819,Table1[[#All],[Order ID]],Table1[[#All],[Brand]],0)</f>
        <v>Nilkamal</v>
      </c>
      <c r="K819" t="str">
        <f>INDEX(Table1[[#All],[Product Name]],MATCH(Sheet2!H819,Table1[[#All],[Order ID]],0))</f>
        <v>Chair</v>
      </c>
    </row>
    <row r="820" spans="1:11" x14ac:dyDescent="0.25">
      <c r="A820" s="5">
        <v>52250</v>
      </c>
      <c r="B820" t="s">
        <v>53</v>
      </c>
      <c r="F820" t="s">
        <v>27</v>
      </c>
      <c r="H820" t="s">
        <v>1843</v>
      </c>
      <c r="I820" t="str">
        <f>VLOOKUP(H820,Table1[#All],8,FALSE)</f>
        <v>Computers</v>
      </c>
      <c r="J820" t="str" cm="1">
        <f t="array" ref="J820">_xlfn.XLOOKUP(H820,Table1[[#All],[Order ID]],Table1[[#All],[Brand]],0)</f>
        <v>Dell</v>
      </c>
      <c r="K820" t="str">
        <f>INDEX(Table1[[#All],[Product Name]],MATCH(Sheet2!H820,Table1[[#All],[Order ID]],0))</f>
        <v>Laptop</v>
      </c>
    </row>
    <row r="821" spans="1:11" x14ac:dyDescent="0.25">
      <c r="A821" s="6">
        <v>4275</v>
      </c>
      <c r="B821" t="s">
        <v>68</v>
      </c>
      <c r="F821" t="s">
        <v>27</v>
      </c>
      <c r="H821" t="s">
        <v>1845</v>
      </c>
      <c r="I821" t="str">
        <f>VLOOKUP(H821,Table1[#All],8,FALSE)</f>
        <v>Accessories</v>
      </c>
      <c r="J821" t="str" cm="1">
        <f t="array" ref="J821">_xlfn.XLOOKUP(H821,Table1[[#All],[Order ID]],Table1[[#All],[Brand]],0)</f>
        <v>HP</v>
      </c>
      <c r="K821" t="str">
        <f>INDEX(Table1[[#All],[Product Name]],MATCH(Sheet2!H821,Table1[[#All],[Order ID]],0))</f>
        <v>Keyboard</v>
      </c>
    </row>
    <row r="822" spans="1:11" x14ac:dyDescent="0.25">
      <c r="A822" s="5">
        <v>187000</v>
      </c>
      <c r="B822" t="s">
        <v>53</v>
      </c>
      <c r="F822" t="s">
        <v>27</v>
      </c>
      <c r="H822" t="s">
        <v>1846</v>
      </c>
      <c r="I822" t="str">
        <f>VLOOKUP(H822,Table1[#All],8,FALSE)</f>
        <v>Computers</v>
      </c>
      <c r="J822" t="str" cm="1">
        <f t="array" ref="J822">_xlfn.XLOOKUP(H822,Table1[[#All],[Order ID]],Table1[[#All],[Brand]],0)</f>
        <v>Dell</v>
      </c>
      <c r="K822" t="str">
        <f>INDEX(Table1[[#All],[Product Name]],MATCH(Sheet2!H822,Table1[[#All],[Order ID]],0))</f>
        <v>Laptop</v>
      </c>
    </row>
    <row r="823" spans="1:11" x14ac:dyDescent="0.25">
      <c r="A823" s="6">
        <v>261250</v>
      </c>
      <c r="B823" t="s">
        <v>53</v>
      </c>
      <c r="F823" t="s">
        <v>27</v>
      </c>
      <c r="H823" t="s">
        <v>1848</v>
      </c>
      <c r="I823" t="str">
        <f>VLOOKUP(H823,Table1[#All],8,FALSE)</f>
        <v>Computers</v>
      </c>
      <c r="J823" t="str" cm="1">
        <f t="array" ref="J823">_xlfn.XLOOKUP(H823,Table1[[#All],[Order ID]],Table1[[#All],[Brand]],0)</f>
        <v>Dell</v>
      </c>
      <c r="K823" t="str">
        <f>INDEX(Table1[[#All],[Product Name]],MATCH(Sheet2!H823,Table1[[#All],[Order ID]],0))</f>
        <v>Laptop</v>
      </c>
    </row>
    <row r="824" spans="1:11" x14ac:dyDescent="0.25">
      <c r="A824" s="5">
        <v>3325</v>
      </c>
      <c r="B824" t="s">
        <v>74</v>
      </c>
      <c r="F824" t="s">
        <v>27</v>
      </c>
      <c r="H824" t="s">
        <v>1850</v>
      </c>
      <c r="I824" t="str">
        <f>VLOOKUP(H824,Table1[#All],8,FALSE)</f>
        <v>Audio</v>
      </c>
      <c r="J824" t="str" cm="1">
        <f t="array" ref="J824">_xlfn.XLOOKUP(H824,Table1[[#All],[Order ID]],Table1[[#All],[Brand]],0)</f>
        <v>Sony</v>
      </c>
      <c r="K824" t="str">
        <f>INDEX(Table1[[#All],[Product Name]],MATCH(Sheet2!H824,Table1[[#All],[Order ID]],0))</f>
        <v>Headphones</v>
      </c>
    </row>
    <row r="825" spans="1:11" x14ac:dyDescent="0.25">
      <c r="A825" s="6">
        <v>2400</v>
      </c>
      <c r="B825" t="s">
        <v>26</v>
      </c>
      <c r="F825" t="s">
        <v>27</v>
      </c>
      <c r="H825" t="s">
        <v>1852</v>
      </c>
      <c r="I825" t="str">
        <f>VLOOKUP(H825,Table1[#All],8,FALSE)</f>
        <v>Accessories</v>
      </c>
      <c r="J825" t="str" cm="1">
        <f t="array" ref="J825">_xlfn.XLOOKUP(H825,Table1[[#All],[Order ID]],Table1[[#All],[Brand]],0)</f>
        <v>Logitech</v>
      </c>
      <c r="K825" t="str">
        <f>INDEX(Table1[[#All],[Product Name]],MATCH(Sheet2!H825,Table1[[#All],[Order ID]],0))</f>
        <v>Mouse</v>
      </c>
    </row>
    <row r="826" spans="1:11" x14ac:dyDescent="0.25">
      <c r="A826" s="5">
        <v>140250</v>
      </c>
      <c r="B826" t="s">
        <v>53</v>
      </c>
      <c r="F826" t="s">
        <v>27</v>
      </c>
      <c r="H826" t="s">
        <v>1854</v>
      </c>
      <c r="I826" t="str">
        <f>VLOOKUP(H826,Table1[#All],8,FALSE)</f>
        <v>Computers</v>
      </c>
      <c r="J826" t="str" cm="1">
        <f t="array" ref="J826">_xlfn.XLOOKUP(H826,Table1[[#All],[Order ID]],Table1[[#All],[Brand]],0)</f>
        <v>Dell</v>
      </c>
      <c r="K826" t="str">
        <f>INDEX(Table1[[#All],[Product Name]],MATCH(Sheet2!H826,Table1[[#All],[Order ID]],0))</f>
        <v>Laptop</v>
      </c>
    </row>
    <row r="827" spans="1:11" x14ac:dyDescent="0.25">
      <c r="A827" s="6">
        <v>4050</v>
      </c>
      <c r="B827" t="s">
        <v>68</v>
      </c>
      <c r="F827" t="s">
        <v>27</v>
      </c>
      <c r="H827" t="s">
        <v>1855</v>
      </c>
      <c r="I827" t="str">
        <f>VLOOKUP(H827,Table1[#All],8,FALSE)</f>
        <v>Accessories</v>
      </c>
      <c r="J827" t="str" cm="1">
        <f t="array" ref="J827">_xlfn.XLOOKUP(H827,Table1[[#All],[Order ID]],Table1[[#All],[Brand]],0)</f>
        <v>HP</v>
      </c>
      <c r="K827" t="str">
        <f>INDEX(Table1[[#All],[Product Name]],MATCH(Sheet2!H827,Table1[[#All],[Order ID]],0))</f>
        <v>Keyboard</v>
      </c>
    </row>
    <row r="828" spans="1:11" x14ac:dyDescent="0.25">
      <c r="A828" s="5">
        <v>7000</v>
      </c>
      <c r="B828" t="s">
        <v>74</v>
      </c>
      <c r="F828" t="s">
        <v>27</v>
      </c>
      <c r="H828" t="s">
        <v>1856</v>
      </c>
      <c r="I828" t="str">
        <f>VLOOKUP(H828,Table1[#All],8,FALSE)</f>
        <v>Audio</v>
      </c>
      <c r="J828" t="str" cm="1">
        <f t="array" ref="J828">_xlfn.XLOOKUP(H828,Table1[[#All],[Order ID]],Table1[[#All],[Brand]],0)</f>
        <v>Sony</v>
      </c>
      <c r="K828" t="str">
        <f>INDEX(Table1[[#All],[Product Name]],MATCH(Sheet2!H828,Table1[[#All],[Order ID]],0))</f>
        <v>Headphones</v>
      </c>
    </row>
    <row r="829" spans="1:11" x14ac:dyDescent="0.25">
      <c r="A829" s="6">
        <v>2550</v>
      </c>
      <c r="B829" t="s">
        <v>68</v>
      </c>
      <c r="F829" t="s">
        <v>27</v>
      </c>
      <c r="H829" t="s">
        <v>1858</v>
      </c>
      <c r="I829" t="str">
        <f>VLOOKUP(H829,Table1[#All],8,FALSE)</f>
        <v>Accessories</v>
      </c>
      <c r="J829" t="str" cm="1">
        <f t="array" ref="J829">_xlfn.XLOOKUP(H829,Table1[[#All],[Order ID]],Table1[[#All],[Brand]],0)</f>
        <v>HP</v>
      </c>
      <c r="K829" t="str">
        <f>INDEX(Table1[[#All],[Product Name]],MATCH(Sheet2!H829,Table1[[#All],[Order ID]],0))</f>
        <v>Keyboard</v>
      </c>
    </row>
    <row r="830" spans="1:11" x14ac:dyDescent="0.25">
      <c r="A830" s="5">
        <v>1520</v>
      </c>
      <c r="B830" t="s">
        <v>26</v>
      </c>
      <c r="F830" t="s">
        <v>27</v>
      </c>
      <c r="H830" t="s">
        <v>1860</v>
      </c>
      <c r="I830" t="str">
        <f>VLOOKUP(H830,Table1[#All],8,FALSE)</f>
        <v>Accessories</v>
      </c>
      <c r="J830" t="str" cm="1">
        <f t="array" ref="J830">_xlfn.XLOOKUP(H830,Table1[[#All],[Order ID]],Table1[[#All],[Brand]],0)</f>
        <v>Logitech</v>
      </c>
      <c r="K830" t="str">
        <f>INDEX(Table1[[#All],[Product Name]],MATCH(Sheet2!H830,Table1[[#All],[Order ID]],0))</f>
        <v>Mouse</v>
      </c>
    </row>
    <row r="831" spans="1:11" x14ac:dyDescent="0.25">
      <c r="A831" s="6">
        <v>7000</v>
      </c>
      <c r="B831" t="s">
        <v>74</v>
      </c>
      <c r="F831" t="s">
        <v>27</v>
      </c>
      <c r="H831" t="s">
        <v>1861</v>
      </c>
      <c r="I831" t="str">
        <f>VLOOKUP(H831,Table1[#All],8,FALSE)</f>
        <v>Audio</v>
      </c>
      <c r="J831" t="str" cm="1">
        <f t="array" ref="J831">_xlfn.XLOOKUP(H831,Table1[[#All],[Order ID]],Table1[[#All],[Brand]],0)</f>
        <v>Sony</v>
      </c>
      <c r="K831" t="str">
        <f>INDEX(Table1[[#All],[Product Name]],MATCH(Sheet2!H831,Table1[[#All],[Order ID]],0))</f>
        <v>Headphones</v>
      </c>
    </row>
    <row r="832" spans="1:11" x14ac:dyDescent="0.25">
      <c r="A832" s="5">
        <v>187000</v>
      </c>
      <c r="B832" t="s">
        <v>53</v>
      </c>
      <c r="F832" t="s">
        <v>27</v>
      </c>
      <c r="H832" t="s">
        <v>1863</v>
      </c>
      <c r="I832" t="str">
        <f>VLOOKUP(H832,Table1[#All],8,FALSE)</f>
        <v>Computers</v>
      </c>
      <c r="J832" t="str" cm="1">
        <f t="array" ref="J832">_xlfn.XLOOKUP(H832,Table1[[#All],[Order ID]],Table1[[#All],[Brand]],0)</f>
        <v>Dell</v>
      </c>
      <c r="K832" t="str">
        <f>INDEX(Table1[[#All],[Product Name]],MATCH(Sheet2!H832,Table1[[#All],[Order ID]],0))</f>
        <v>Laptop</v>
      </c>
    </row>
    <row r="833" spans="1:11" x14ac:dyDescent="0.25">
      <c r="A833" s="6">
        <v>6750</v>
      </c>
      <c r="B833" t="s">
        <v>68</v>
      </c>
      <c r="F833" t="s">
        <v>27</v>
      </c>
      <c r="H833" t="s">
        <v>1866</v>
      </c>
      <c r="I833" t="str">
        <f>VLOOKUP(H833,Table1[#All],8,FALSE)</f>
        <v>Accessories</v>
      </c>
      <c r="J833" t="str" cm="1">
        <f t="array" ref="J833">_xlfn.XLOOKUP(H833,Table1[[#All],[Order ID]],Table1[[#All],[Brand]],0)</f>
        <v>HP</v>
      </c>
      <c r="K833" t="str">
        <f>INDEX(Table1[[#All],[Product Name]],MATCH(Sheet2!H833,Table1[[#All],[Order ID]],0))</f>
        <v>Keyboard</v>
      </c>
    </row>
    <row r="834" spans="1:11" x14ac:dyDescent="0.25">
      <c r="A834" s="5">
        <v>2975</v>
      </c>
      <c r="B834" t="s">
        <v>74</v>
      </c>
      <c r="F834" t="s">
        <v>27</v>
      </c>
      <c r="H834" t="s">
        <v>1868</v>
      </c>
      <c r="I834" t="str">
        <f>VLOOKUP(H834,Table1[#All],8,FALSE)</f>
        <v>Audio</v>
      </c>
      <c r="J834" t="str" cm="1">
        <f t="array" ref="J834">_xlfn.XLOOKUP(H834,Table1[[#All],[Order ID]],Table1[[#All],[Brand]],0)</f>
        <v>Sony</v>
      </c>
      <c r="K834" t="str">
        <f>INDEX(Table1[[#All],[Product Name]],MATCH(Sheet2!H834,Table1[[#All],[Order ID]],0))</f>
        <v>Headphones</v>
      </c>
    </row>
    <row r="835" spans="1:11" x14ac:dyDescent="0.25">
      <c r="A835" s="6">
        <v>800</v>
      </c>
      <c r="B835" t="s">
        <v>26</v>
      </c>
      <c r="F835" t="s">
        <v>27</v>
      </c>
      <c r="H835" t="s">
        <v>1870</v>
      </c>
      <c r="I835" t="str">
        <f>VLOOKUP(H835,Table1[#All],8,FALSE)</f>
        <v>Accessories</v>
      </c>
      <c r="J835" t="str" cm="1">
        <f t="array" ref="J835">_xlfn.XLOOKUP(H835,Table1[[#All],[Order ID]],Table1[[#All],[Brand]],0)</f>
        <v>Logitech</v>
      </c>
      <c r="K835" t="str">
        <f>INDEX(Table1[[#All],[Product Name]],MATCH(Sheet2!H835,Table1[[#All],[Order ID]],0))</f>
        <v>Mouse</v>
      </c>
    </row>
    <row r="836" spans="1:11" x14ac:dyDescent="0.25">
      <c r="A836" s="5">
        <v>49500</v>
      </c>
      <c r="B836" t="s">
        <v>53</v>
      </c>
      <c r="F836" t="s">
        <v>27</v>
      </c>
      <c r="H836" t="s">
        <v>1872</v>
      </c>
      <c r="I836" t="str">
        <f>VLOOKUP(H836,Table1[#All],8,FALSE)</f>
        <v>Computers</v>
      </c>
      <c r="J836" t="str" cm="1">
        <f t="array" ref="J836">_xlfn.XLOOKUP(H836,Table1[[#All],[Order ID]],Table1[[#All],[Brand]],0)</f>
        <v>Dell</v>
      </c>
      <c r="K836" t="str">
        <f>INDEX(Table1[[#All],[Product Name]],MATCH(Sheet2!H836,Table1[[#All],[Order ID]],0))</f>
        <v>Laptop</v>
      </c>
    </row>
    <row r="837" spans="1:11" x14ac:dyDescent="0.25">
      <c r="A837" s="6">
        <v>9450</v>
      </c>
      <c r="B837" t="s">
        <v>74</v>
      </c>
      <c r="F837" t="s">
        <v>27</v>
      </c>
      <c r="H837" t="s">
        <v>1874</v>
      </c>
      <c r="I837" t="str">
        <f>VLOOKUP(H837,Table1[#All],8,FALSE)</f>
        <v>Audio</v>
      </c>
      <c r="J837" t="str" cm="1">
        <f t="array" ref="J837">_xlfn.XLOOKUP(H837,Table1[[#All],[Order ID]],Table1[[#All],[Brand]],0)</f>
        <v>Sony</v>
      </c>
      <c r="K837" t="str">
        <f>INDEX(Table1[[#All],[Product Name]],MATCH(Sheet2!H837,Table1[[#All],[Order ID]],0))</f>
        <v>Headphones</v>
      </c>
    </row>
    <row r="838" spans="1:11" x14ac:dyDescent="0.25">
      <c r="A838" s="5">
        <v>4000</v>
      </c>
      <c r="B838" t="s">
        <v>26</v>
      </c>
      <c r="F838" t="s">
        <v>27</v>
      </c>
      <c r="H838" t="s">
        <v>1876</v>
      </c>
      <c r="I838" t="str">
        <f>VLOOKUP(H838,Table1[#All],8,FALSE)</f>
        <v>Accessories</v>
      </c>
      <c r="J838" t="str" cm="1">
        <f t="array" ref="J838">_xlfn.XLOOKUP(H838,Table1[[#All],[Order ID]],Table1[[#All],[Brand]],0)</f>
        <v>Logitech</v>
      </c>
      <c r="K838" t="str">
        <f>INDEX(Table1[[#All],[Product Name]],MATCH(Sheet2!H838,Table1[[#All],[Order ID]],0))</f>
        <v>Mouse</v>
      </c>
    </row>
    <row r="839" spans="1:11" x14ac:dyDescent="0.25">
      <c r="A839" s="6">
        <v>13500</v>
      </c>
      <c r="B839" t="s">
        <v>39</v>
      </c>
      <c r="F839" t="s">
        <v>40</v>
      </c>
      <c r="H839" t="s">
        <v>1878</v>
      </c>
      <c r="I839" t="str">
        <f>VLOOKUP(H839,Table1[#All],8,FALSE)</f>
        <v>Office</v>
      </c>
      <c r="J839" t="str" cm="1">
        <f t="array" ref="J839">_xlfn.XLOOKUP(H839,Table1[[#All],[Order ID]],Table1[[#All],[Brand]],0)</f>
        <v>Nilkamal</v>
      </c>
      <c r="K839" t="str">
        <f>INDEX(Table1[[#All],[Product Name]],MATCH(Sheet2!H839,Table1[[#All],[Order ID]],0))</f>
        <v>Chair</v>
      </c>
    </row>
    <row r="840" spans="1:11" x14ac:dyDescent="0.25">
      <c r="A840" s="5">
        <v>6300</v>
      </c>
      <c r="B840" t="s">
        <v>74</v>
      </c>
      <c r="F840" t="s">
        <v>27</v>
      </c>
      <c r="H840" t="s">
        <v>1879</v>
      </c>
      <c r="I840" t="str">
        <f>VLOOKUP(H840,Table1[#All],8,FALSE)</f>
        <v>Audio</v>
      </c>
      <c r="J840" t="str" cm="1">
        <f t="array" ref="J840">_xlfn.XLOOKUP(H840,Table1[[#All],[Order ID]],Table1[[#All],[Brand]],0)</f>
        <v>Sony</v>
      </c>
      <c r="K840" t="str">
        <f>INDEX(Table1[[#All],[Product Name]],MATCH(Sheet2!H840,Table1[[#All],[Order ID]],0))</f>
        <v>Headphones</v>
      </c>
    </row>
    <row r="841" spans="1:11" x14ac:dyDescent="0.25">
      <c r="A841" s="6">
        <v>187000</v>
      </c>
      <c r="B841" t="s">
        <v>53</v>
      </c>
      <c r="F841" t="s">
        <v>27</v>
      </c>
      <c r="H841" t="s">
        <v>1880</v>
      </c>
      <c r="I841" t="str">
        <f>VLOOKUP(H841,Table1[#All],8,FALSE)</f>
        <v>Computers</v>
      </c>
      <c r="J841" t="str" cm="1">
        <f t="array" ref="J841">_xlfn.XLOOKUP(H841,Table1[[#All],[Order ID]],Table1[[#All],[Brand]],0)</f>
        <v>Dell</v>
      </c>
      <c r="K841" t="str">
        <f>INDEX(Table1[[#All],[Product Name]],MATCH(Sheet2!H841,Table1[[#All],[Order ID]],0))</f>
        <v>Laptop</v>
      </c>
    </row>
    <row r="842" spans="1:11" x14ac:dyDescent="0.25">
      <c r="A842" s="5">
        <v>7125</v>
      </c>
      <c r="B842" t="s">
        <v>68</v>
      </c>
      <c r="F842" t="s">
        <v>27</v>
      </c>
      <c r="H842" t="s">
        <v>1881</v>
      </c>
      <c r="I842" t="str">
        <f>VLOOKUP(H842,Table1[#All],8,FALSE)</f>
        <v>Accessories</v>
      </c>
      <c r="J842" t="str" cm="1">
        <f t="array" ref="J842">_xlfn.XLOOKUP(H842,Table1[[#All],[Order ID]],Table1[[#All],[Brand]],0)</f>
        <v>HP</v>
      </c>
      <c r="K842" t="str">
        <f>INDEX(Table1[[#All],[Product Name]],MATCH(Sheet2!H842,Table1[[#All],[Order ID]],0))</f>
        <v>Keyboard</v>
      </c>
    </row>
    <row r="843" spans="1:11" x14ac:dyDescent="0.25">
      <c r="A843" s="6">
        <v>3150</v>
      </c>
      <c r="B843" t="s">
        <v>74</v>
      </c>
      <c r="F843" t="s">
        <v>27</v>
      </c>
      <c r="H843" t="s">
        <v>1883</v>
      </c>
      <c r="I843" t="str">
        <f>VLOOKUP(H843,Table1[#All],8,FALSE)</f>
        <v>Audio</v>
      </c>
      <c r="J843" t="str" cm="1">
        <f t="array" ref="J843">_xlfn.XLOOKUP(H843,Table1[[#All],[Order ID]],Table1[[#All],[Brand]],0)</f>
        <v>Sony</v>
      </c>
      <c r="K843" t="str">
        <f>INDEX(Table1[[#All],[Product Name]],MATCH(Sheet2!H843,Table1[[#All],[Order ID]],0))</f>
        <v>Headphones</v>
      </c>
    </row>
    <row r="844" spans="1:11" x14ac:dyDescent="0.25">
      <c r="A844" s="5">
        <v>19125</v>
      </c>
      <c r="B844" t="s">
        <v>39</v>
      </c>
      <c r="F844" t="s">
        <v>40</v>
      </c>
      <c r="H844" t="s">
        <v>1884</v>
      </c>
      <c r="I844" t="str">
        <f>VLOOKUP(H844,Table1[#All],8,FALSE)</f>
        <v>Office</v>
      </c>
      <c r="J844" t="str" cm="1">
        <f t="array" ref="J844">_xlfn.XLOOKUP(H844,Table1[[#All],[Order ID]],Table1[[#All],[Brand]],0)</f>
        <v>Nilkamal</v>
      </c>
      <c r="K844" t="str">
        <f>INDEX(Table1[[#All],[Product Name]],MATCH(Sheet2!H844,Table1[[#All],[Order ID]],0))</f>
        <v>Chair</v>
      </c>
    </row>
    <row r="845" spans="1:11" x14ac:dyDescent="0.25">
      <c r="A845" s="6">
        <v>3600</v>
      </c>
      <c r="B845" t="s">
        <v>26</v>
      </c>
      <c r="F845" t="s">
        <v>27</v>
      </c>
      <c r="H845" t="s">
        <v>1886</v>
      </c>
      <c r="I845" t="str">
        <f>VLOOKUP(H845,Table1[#All],8,FALSE)</f>
        <v>Accessories</v>
      </c>
      <c r="J845" t="str" cm="1">
        <f t="array" ref="J845">_xlfn.XLOOKUP(H845,Table1[[#All],[Order ID]],Table1[[#All],[Brand]],0)</f>
        <v>Logitech</v>
      </c>
      <c r="K845" t="str">
        <f>INDEX(Table1[[#All],[Product Name]],MATCH(Sheet2!H845,Table1[[#All],[Order ID]],0))</f>
        <v>Mouse</v>
      </c>
    </row>
    <row r="846" spans="1:11" x14ac:dyDescent="0.25">
      <c r="A846" s="5">
        <v>3325</v>
      </c>
      <c r="B846" t="s">
        <v>74</v>
      </c>
      <c r="F846" t="s">
        <v>27</v>
      </c>
      <c r="H846" t="s">
        <v>1887</v>
      </c>
      <c r="I846" t="str">
        <f>VLOOKUP(H846,Table1[#All],8,FALSE)</f>
        <v>Audio</v>
      </c>
      <c r="J846" t="str" cm="1">
        <f t="array" ref="J846">_xlfn.XLOOKUP(H846,Table1[[#All],[Order ID]],Table1[[#All],[Brand]],0)</f>
        <v>Sony</v>
      </c>
      <c r="K846" t="str">
        <f>INDEX(Table1[[#All],[Product Name]],MATCH(Sheet2!H846,Table1[[#All],[Order ID]],0))</f>
        <v>Headphones</v>
      </c>
    </row>
    <row r="847" spans="1:11" x14ac:dyDescent="0.25">
      <c r="A847" s="6">
        <v>11475</v>
      </c>
      <c r="B847" t="s">
        <v>39</v>
      </c>
      <c r="F847" t="s">
        <v>40</v>
      </c>
      <c r="H847" t="s">
        <v>1888</v>
      </c>
      <c r="I847" t="str">
        <f>VLOOKUP(H847,Table1[#All],8,FALSE)</f>
        <v>Office</v>
      </c>
      <c r="J847" t="str" cm="1">
        <f t="array" ref="J847">_xlfn.XLOOKUP(H847,Table1[[#All],[Order ID]],Table1[[#All],[Brand]],0)</f>
        <v>Nilkamal</v>
      </c>
      <c r="K847" t="str">
        <f>INDEX(Table1[[#All],[Product Name]],MATCH(Sheet2!H847,Table1[[#All],[Order ID]],0))</f>
        <v>Chair</v>
      </c>
    </row>
    <row r="848" spans="1:11" x14ac:dyDescent="0.25">
      <c r="A848" s="5">
        <v>187000</v>
      </c>
      <c r="B848" t="s">
        <v>53</v>
      </c>
      <c r="F848" t="s">
        <v>27</v>
      </c>
      <c r="H848" t="s">
        <v>1891</v>
      </c>
      <c r="I848" t="str">
        <f>VLOOKUP(H848,Table1[#All],8,FALSE)</f>
        <v>Computers</v>
      </c>
      <c r="J848" t="str" cm="1">
        <f t="array" ref="J848">_xlfn.XLOOKUP(H848,Table1[[#All],[Order ID]],Table1[[#All],[Brand]],0)</f>
        <v>Dell</v>
      </c>
      <c r="K848" t="str">
        <f>INDEX(Table1[[#All],[Product Name]],MATCH(Sheet2!H848,Table1[[#All],[Order ID]],0))</f>
        <v>Laptop</v>
      </c>
    </row>
    <row r="849" spans="1:11" x14ac:dyDescent="0.25">
      <c r="A849" s="6">
        <v>4275</v>
      </c>
      <c r="B849" t="s">
        <v>39</v>
      </c>
      <c r="F849" t="s">
        <v>40</v>
      </c>
      <c r="H849" t="s">
        <v>1893</v>
      </c>
      <c r="I849" t="str">
        <f>VLOOKUP(H849,Table1[#All],8,FALSE)</f>
        <v>Office</v>
      </c>
      <c r="J849" t="str" cm="1">
        <f t="array" ref="J849">_xlfn.XLOOKUP(H849,Table1[[#All],[Order ID]],Table1[[#All],[Brand]],0)</f>
        <v>Nilkamal</v>
      </c>
      <c r="K849" t="str">
        <f>INDEX(Table1[[#All],[Product Name]],MATCH(Sheet2!H849,Table1[[#All],[Order ID]],0))</f>
        <v>Chair</v>
      </c>
    </row>
    <row r="850" spans="1:11" x14ac:dyDescent="0.25">
      <c r="A850" s="5">
        <v>14000</v>
      </c>
      <c r="B850" t="s">
        <v>74</v>
      </c>
      <c r="F850" t="s">
        <v>27</v>
      </c>
      <c r="H850" t="s">
        <v>1895</v>
      </c>
      <c r="I850" t="str">
        <f>VLOOKUP(H850,Table1[#All],8,FALSE)</f>
        <v>Audio</v>
      </c>
      <c r="J850" t="str" cm="1">
        <f t="array" ref="J850">_xlfn.XLOOKUP(H850,Table1[[#All],[Order ID]],Table1[[#All],[Brand]],0)</f>
        <v>Sony</v>
      </c>
      <c r="K850" t="str">
        <f>INDEX(Table1[[#All],[Product Name]],MATCH(Sheet2!H850,Table1[[#All],[Order ID]],0))</f>
        <v>Headphones</v>
      </c>
    </row>
    <row r="851" spans="1:11" x14ac:dyDescent="0.25">
      <c r="A851" s="6">
        <v>15750</v>
      </c>
      <c r="B851" t="s">
        <v>74</v>
      </c>
      <c r="F851" t="s">
        <v>27</v>
      </c>
      <c r="H851" t="s">
        <v>1898</v>
      </c>
      <c r="I851" t="str">
        <f>VLOOKUP(H851,Table1[#All],8,FALSE)</f>
        <v>Audio</v>
      </c>
      <c r="J851" t="str" cm="1">
        <f t="array" ref="J851">_xlfn.XLOOKUP(H851,Table1[[#All],[Order ID]],Table1[[#All],[Brand]],0)</f>
        <v>Sony</v>
      </c>
      <c r="K851" t="str">
        <f>INDEX(Table1[[#All],[Product Name]],MATCH(Sheet2!H851,Table1[[#All],[Order ID]],0))</f>
        <v>Headphones</v>
      </c>
    </row>
    <row r="852" spans="1:11" x14ac:dyDescent="0.25">
      <c r="A852" s="5">
        <v>1500</v>
      </c>
      <c r="B852" t="s">
        <v>68</v>
      </c>
      <c r="F852" t="s">
        <v>27</v>
      </c>
      <c r="H852" t="s">
        <v>1899</v>
      </c>
      <c r="I852" t="str">
        <f>VLOOKUP(H852,Table1[#All],8,FALSE)</f>
        <v>Accessories</v>
      </c>
      <c r="J852" t="str" cm="1">
        <f t="array" ref="J852">_xlfn.XLOOKUP(H852,Table1[[#All],[Order ID]],Table1[[#All],[Brand]],0)</f>
        <v>HP</v>
      </c>
      <c r="K852" t="str">
        <f>INDEX(Table1[[#All],[Product Name]],MATCH(Sheet2!H852,Table1[[#All],[Order ID]],0))</f>
        <v>Keyboard</v>
      </c>
    </row>
    <row r="853" spans="1:11" x14ac:dyDescent="0.25">
      <c r="A853" s="6">
        <v>1360</v>
      </c>
      <c r="B853" t="s">
        <v>26</v>
      </c>
      <c r="F853" t="s">
        <v>27</v>
      </c>
      <c r="H853" t="s">
        <v>1901</v>
      </c>
      <c r="I853" t="str">
        <f>VLOOKUP(H853,Table1[#All],8,FALSE)</f>
        <v>Accessories</v>
      </c>
      <c r="J853" t="str" cm="1">
        <f t="array" ref="J853">_xlfn.XLOOKUP(H853,Table1[[#All],[Order ID]],Table1[[#All],[Brand]],0)</f>
        <v>Logitech</v>
      </c>
      <c r="K853" t="str">
        <f>INDEX(Table1[[#All],[Product Name]],MATCH(Sheet2!H853,Table1[[#All],[Order ID]],0))</f>
        <v>Mouse</v>
      </c>
    </row>
    <row r="854" spans="1:11" x14ac:dyDescent="0.25">
      <c r="A854" s="5">
        <v>3000</v>
      </c>
      <c r="B854" t="s">
        <v>68</v>
      </c>
      <c r="F854" t="s">
        <v>27</v>
      </c>
      <c r="H854" t="s">
        <v>1904</v>
      </c>
      <c r="I854" t="str">
        <f>VLOOKUP(H854,Table1[#All],8,FALSE)</f>
        <v>Accessories</v>
      </c>
      <c r="J854" t="str" cm="1">
        <f t="array" ref="J854">_xlfn.XLOOKUP(H854,Table1[[#All],[Order ID]],Table1[[#All],[Brand]],0)</f>
        <v>HP</v>
      </c>
      <c r="K854" t="str">
        <f>INDEX(Table1[[#All],[Product Name]],MATCH(Sheet2!H854,Table1[[#All],[Order ID]],0))</f>
        <v>Keyboard</v>
      </c>
    </row>
    <row r="855" spans="1:11" x14ac:dyDescent="0.25">
      <c r="A855" s="6">
        <v>2975</v>
      </c>
      <c r="B855" t="s">
        <v>74</v>
      </c>
      <c r="F855" t="s">
        <v>27</v>
      </c>
      <c r="H855" t="s">
        <v>1907</v>
      </c>
      <c r="I855" t="str">
        <f>VLOOKUP(H855,Table1[#All],8,FALSE)</f>
        <v>Audio</v>
      </c>
      <c r="J855" t="str" cm="1">
        <f t="array" ref="J855">_xlfn.XLOOKUP(H855,Table1[[#All],[Order ID]],Table1[[#All],[Brand]],0)</f>
        <v>Sony</v>
      </c>
      <c r="K855" t="str">
        <f>INDEX(Table1[[#All],[Product Name]],MATCH(Sheet2!H855,Table1[[#All],[Order ID]],0))</f>
        <v>Headphones</v>
      </c>
    </row>
    <row r="856" spans="1:11" x14ac:dyDescent="0.25">
      <c r="A856" s="5">
        <v>1440</v>
      </c>
      <c r="B856" t="s">
        <v>26</v>
      </c>
      <c r="F856" t="s">
        <v>27</v>
      </c>
      <c r="H856" t="s">
        <v>1910</v>
      </c>
      <c r="I856" t="str">
        <f>VLOOKUP(H856,Table1[#All],8,FALSE)</f>
        <v>Accessories</v>
      </c>
      <c r="J856" t="str" cm="1">
        <f t="array" ref="J856">_xlfn.XLOOKUP(H856,Table1[[#All],[Order ID]],Table1[[#All],[Brand]],0)</f>
        <v>Logitech</v>
      </c>
      <c r="K856" t="str">
        <f>INDEX(Table1[[#All],[Product Name]],MATCH(Sheet2!H856,Table1[[#All],[Order ID]],0))</f>
        <v>Mouse</v>
      </c>
    </row>
    <row r="857" spans="1:11" x14ac:dyDescent="0.25">
      <c r="A857" s="6">
        <v>3825</v>
      </c>
      <c r="B857" t="s">
        <v>68</v>
      </c>
      <c r="F857" t="s">
        <v>27</v>
      </c>
      <c r="H857" t="s">
        <v>1911</v>
      </c>
      <c r="I857" t="str">
        <f>VLOOKUP(H857,Table1[#All],8,FALSE)</f>
        <v>Accessories</v>
      </c>
      <c r="J857" t="str" cm="1">
        <f t="array" ref="J857">_xlfn.XLOOKUP(H857,Table1[[#All],[Order ID]],Table1[[#All],[Brand]],0)</f>
        <v>HP</v>
      </c>
      <c r="K857" t="str">
        <f>INDEX(Table1[[#All],[Product Name]],MATCH(Sheet2!H857,Table1[[#All],[Order ID]],0))</f>
        <v>Keyboard</v>
      </c>
    </row>
    <row r="858" spans="1:11" x14ac:dyDescent="0.25">
      <c r="A858" s="5">
        <v>720</v>
      </c>
      <c r="B858" t="s">
        <v>26</v>
      </c>
      <c r="F858" t="s">
        <v>27</v>
      </c>
      <c r="H858" t="s">
        <v>1912</v>
      </c>
      <c r="I858" t="str">
        <f>VLOOKUP(H858,Table1[#All],8,FALSE)</f>
        <v>Accessories</v>
      </c>
      <c r="J858" t="str" cm="1">
        <f t="array" ref="J858">_xlfn.XLOOKUP(H858,Table1[[#All],[Order ID]],Table1[[#All],[Brand]],0)</f>
        <v>Logitech</v>
      </c>
      <c r="K858" t="str">
        <f>INDEX(Table1[[#All],[Product Name]],MATCH(Sheet2!H858,Table1[[#All],[Order ID]],0))</f>
        <v>Mouse</v>
      </c>
    </row>
    <row r="859" spans="1:11" x14ac:dyDescent="0.25">
      <c r="A859" s="6">
        <v>1500</v>
      </c>
      <c r="B859" t="s">
        <v>68</v>
      </c>
      <c r="F859" t="s">
        <v>27</v>
      </c>
      <c r="H859" t="s">
        <v>1913</v>
      </c>
      <c r="I859" t="str">
        <f>VLOOKUP(H859,Table1[#All],8,FALSE)</f>
        <v>Accessories</v>
      </c>
      <c r="J859" t="str" cm="1">
        <f t="array" ref="J859">_xlfn.XLOOKUP(H859,Table1[[#All],[Order ID]],Table1[[#All],[Brand]],0)</f>
        <v>HP</v>
      </c>
      <c r="K859" t="str">
        <f>INDEX(Table1[[#All],[Product Name]],MATCH(Sheet2!H859,Table1[[#All],[Order ID]],0))</f>
        <v>Keyboard</v>
      </c>
    </row>
    <row r="860" spans="1:11" x14ac:dyDescent="0.25">
      <c r="A860" s="5">
        <v>1600</v>
      </c>
      <c r="B860" t="s">
        <v>26</v>
      </c>
      <c r="F860" t="s">
        <v>27</v>
      </c>
      <c r="H860" t="s">
        <v>1916</v>
      </c>
      <c r="I860" t="str">
        <f>VLOOKUP(H860,Table1[#All],8,FALSE)</f>
        <v>Accessories</v>
      </c>
      <c r="J860" t="str" cm="1">
        <f t="array" ref="J860">_xlfn.XLOOKUP(H860,Table1[[#All],[Order ID]],Table1[[#All],[Brand]],0)</f>
        <v>Logitech</v>
      </c>
      <c r="K860" t="str">
        <f>INDEX(Table1[[#All],[Product Name]],MATCH(Sheet2!H860,Table1[[#All],[Order ID]],0))</f>
        <v>Mouse</v>
      </c>
    </row>
    <row r="861" spans="1:11" x14ac:dyDescent="0.25">
      <c r="A861" s="6">
        <v>19125</v>
      </c>
      <c r="B861" t="s">
        <v>39</v>
      </c>
      <c r="F861" t="s">
        <v>40</v>
      </c>
      <c r="H861" t="s">
        <v>1918</v>
      </c>
      <c r="I861" t="str">
        <f>VLOOKUP(H861,Table1[#All],8,FALSE)</f>
        <v>Office</v>
      </c>
      <c r="J861" t="str" cm="1">
        <f t="array" ref="J861">_xlfn.XLOOKUP(H861,Table1[[#All],[Order ID]],Table1[[#All],[Brand]],0)</f>
        <v>Nilkamal</v>
      </c>
      <c r="K861" t="str">
        <f>INDEX(Table1[[#All],[Product Name]],MATCH(Sheet2!H861,Table1[[#All],[Order ID]],0))</f>
        <v>Chair</v>
      </c>
    </row>
    <row r="862" spans="1:11" x14ac:dyDescent="0.25">
      <c r="A862" s="5">
        <v>5700</v>
      </c>
      <c r="B862" t="s">
        <v>68</v>
      </c>
      <c r="F862" t="s">
        <v>27</v>
      </c>
      <c r="H862" t="s">
        <v>1919</v>
      </c>
      <c r="I862" t="str">
        <f>VLOOKUP(H862,Table1[#All],8,FALSE)</f>
        <v>Accessories</v>
      </c>
      <c r="J862" t="str" cm="1">
        <f t="array" ref="J862">_xlfn.XLOOKUP(H862,Table1[[#All],[Order ID]],Table1[[#All],[Brand]],0)</f>
        <v>HP</v>
      </c>
      <c r="K862" t="str">
        <f>INDEX(Table1[[#All],[Product Name]],MATCH(Sheet2!H862,Table1[[#All],[Order ID]],0))</f>
        <v>Keyboard</v>
      </c>
    </row>
    <row r="863" spans="1:11" x14ac:dyDescent="0.25">
      <c r="A863" s="6">
        <v>140250</v>
      </c>
      <c r="B863" t="s">
        <v>53</v>
      </c>
      <c r="F863" t="s">
        <v>27</v>
      </c>
      <c r="H863" t="s">
        <v>1920</v>
      </c>
      <c r="I863" t="str">
        <f>VLOOKUP(H863,Table1[#All],8,FALSE)</f>
        <v>Computers</v>
      </c>
      <c r="J863" t="str" cm="1">
        <f t="array" ref="J863">_xlfn.XLOOKUP(H863,Table1[[#All],[Order ID]],Table1[[#All],[Brand]],0)</f>
        <v>Dell</v>
      </c>
      <c r="K863" t="str">
        <f>INDEX(Table1[[#All],[Product Name]],MATCH(Sheet2!H863,Table1[[#All],[Order ID]],0))</f>
        <v>Laptop</v>
      </c>
    </row>
    <row r="864" spans="1:11" x14ac:dyDescent="0.25">
      <c r="A864" s="5">
        <v>7000</v>
      </c>
      <c r="B864" t="s">
        <v>74</v>
      </c>
      <c r="F864" t="s">
        <v>27</v>
      </c>
      <c r="H864" t="s">
        <v>1921</v>
      </c>
      <c r="I864" t="str">
        <f>VLOOKUP(H864,Table1[#All],8,FALSE)</f>
        <v>Audio</v>
      </c>
      <c r="J864" t="str" cm="1">
        <f t="array" ref="J864">_xlfn.XLOOKUP(H864,Table1[[#All],[Order ID]],Table1[[#All],[Brand]],0)</f>
        <v>Sony</v>
      </c>
      <c r="K864" t="str">
        <f>INDEX(Table1[[#All],[Product Name]],MATCH(Sheet2!H864,Table1[[#All],[Order ID]],0))</f>
        <v>Headphones</v>
      </c>
    </row>
    <row r="865" spans="1:11" x14ac:dyDescent="0.25">
      <c r="A865" s="6">
        <v>11475</v>
      </c>
      <c r="B865" t="s">
        <v>39</v>
      </c>
      <c r="F865" t="s">
        <v>40</v>
      </c>
      <c r="H865" t="s">
        <v>1923</v>
      </c>
      <c r="I865" t="str">
        <f>VLOOKUP(H865,Table1[#All],8,FALSE)</f>
        <v>Office</v>
      </c>
      <c r="J865" t="str" cm="1">
        <f t="array" ref="J865">_xlfn.XLOOKUP(H865,Table1[[#All],[Order ID]],Table1[[#All],[Brand]],0)</f>
        <v>Nilkamal</v>
      </c>
      <c r="K865" t="str">
        <f>INDEX(Table1[[#All],[Product Name]],MATCH(Sheet2!H865,Table1[[#All],[Order ID]],0))</f>
        <v>Chair</v>
      </c>
    </row>
    <row r="866" spans="1:11" x14ac:dyDescent="0.25">
      <c r="A866" s="5">
        <v>99000</v>
      </c>
      <c r="B866" t="s">
        <v>53</v>
      </c>
      <c r="F866" t="s">
        <v>27</v>
      </c>
      <c r="H866" t="s">
        <v>1924</v>
      </c>
      <c r="I866" t="str">
        <f>VLOOKUP(H866,Table1[#All],8,FALSE)</f>
        <v>Computers</v>
      </c>
      <c r="J866" t="str" cm="1">
        <f t="array" ref="J866">_xlfn.XLOOKUP(H866,Table1[[#All],[Order ID]],Table1[[#All],[Brand]],0)</f>
        <v>Dell</v>
      </c>
      <c r="K866" t="str">
        <f>INDEX(Table1[[#All],[Product Name]],MATCH(Sheet2!H866,Table1[[#All],[Order ID]],0))</f>
        <v>Laptop</v>
      </c>
    </row>
    <row r="867" spans="1:11" x14ac:dyDescent="0.25">
      <c r="A867" s="6">
        <v>2720</v>
      </c>
      <c r="B867" t="s">
        <v>26</v>
      </c>
      <c r="F867" t="s">
        <v>27</v>
      </c>
      <c r="H867" t="s">
        <v>1925</v>
      </c>
      <c r="I867" t="str">
        <f>VLOOKUP(H867,Table1[#All],8,FALSE)</f>
        <v>Accessories</v>
      </c>
      <c r="J867" t="str" cm="1">
        <f t="array" ref="J867">_xlfn.XLOOKUP(H867,Table1[[#All],[Order ID]],Table1[[#All],[Brand]],0)</f>
        <v>Logitech</v>
      </c>
      <c r="K867" t="str">
        <f>INDEX(Table1[[#All],[Product Name]],MATCH(Sheet2!H867,Table1[[#All],[Order ID]],0))</f>
        <v>Mouse</v>
      </c>
    </row>
    <row r="868" spans="1:11" x14ac:dyDescent="0.25">
      <c r="A868" s="5">
        <v>14875</v>
      </c>
      <c r="B868" t="s">
        <v>74</v>
      </c>
      <c r="F868" t="s">
        <v>27</v>
      </c>
      <c r="H868" t="s">
        <v>1926</v>
      </c>
      <c r="I868" t="str">
        <f>VLOOKUP(H868,Table1[#All],8,FALSE)</f>
        <v>Audio</v>
      </c>
      <c r="J868" t="str" cm="1">
        <f t="array" ref="J868">_xlfn.XLOOKUP(H868,Table1[[#All],[Order ID]],Table1[[#All],[Brand]],0)</f>
        <v>Sony</v>
      </c>
      <c r="K868" t="str">
        <f>INDEX(Table1[[#All],[Product Name]],MATCH(Sheet2!H868,Table1[[#All],[Order ID]],0))</f>
        <v>Headphones</v>
      </c>
    </row>
    <row r="869" spans="1:11" x14ac:dyDescent="0.25">
      <c r="A869" s="6">
        <v>52250</v>
      </c>
      <c r="B869" t="s">
        <v>53</v>
      </c>
      <c r="F869" t="s">
        <v>27</v>
      </c>
      <c r="H869" t="s">
        <v>1928</v>
      </c>
      <c r="I869" t="str">
        <f>VLOOKUP(H869,Table1[#All],8,FALSE)</f>
        <v>Computers</v>
      </c>
      <c r="J869" t="str" cm="1">
        <f t="array" ref="J869">_xlfn.XLOOKUP(H869,Table1[[#All],[Order ID]],Table1[[#All],[Brand]],0)</f>
        <v>Dell</v>
      </c>
      <c r="K869" t="str">
        <f>INDEX(Table1[[#All],[Product Name]],MATCH(Sheet2!H869,Table1[[#All],[Order ID]],0))</f>
        <v>Laptop</v>
      </c>
    </row>
    <row r="870" spans="1:11" x14ac:dyDescent="0.25">
      <c r="A870" s="5">
        <v>6750</v>
      </c>
      <c r="B870" t="s">
        <v>68</v>
      </c>
      <c r="F870" t="s">
        <v>27</v>
      </c>
      <c r="H870" t="s">
        <v>1930</v>
      </c>
      <c r="I870" t="str">
        <f>VLOOKUP(H870,Table1[#All],8,FALSE)</f>
        <v>Accessories</v>
      </c>
      <c r="J870" t="str" cm="1">
        <f t="array" ref="J870">_xlfn.XLOOKUP(H870,Table1[[#All],[Order ID]],Table1[[#All],[Brand]],0)</f>
        <v>HP</v>
      </c>
      <c r="K870" t="str">
        <f>INDEX(Table1[[#All],[Product Name]],MATCH(Sheet2!H870,Table1[[#All],[Order ID]],0))</f>
        <v>Keyboard</v>
      </c>
    </row>
    <row r="871" spans="1:11" x14ac:dyDescent="0.25">
      <c r="A871" s="6">
        <v>21375</v>
      </c>
      <c r="B871" t="s">
        <v>39</v>
      </c>
      <c r="F871" t="s">
        <v>40</v>
      </c>
      <c r="H871" t="s">
        <v>1931</v>
      </c>
      <c r="I871" t="str">
        <f>VLOOKUP(H871,Table1[#All],8,FALSE)</f>
        <v>Office</v>
      </c>
      <c r="J871" t="str" cm="1">
        <f t="array" ref="J871">_xlfn.XLOOKUP(H871,Table1[[#All],[Order ID]],Table1[[#All],[Brand]],0)</f>
        <v>Nilkamal</v>
      </c>
      <c r="K871" t="str">
        <f>INDEX(Table1[[#All],[Product Name]],MATCH(Sheet2!H871,Table1[[#All],[Order ID]],0))</f>
        <v>Chair</v>
      </c>
    </row>
    <row r="872" spans="1:11" x14ac:dyDescent="0.25">
      <c r="A872" s="5">
        <v>10500</v>
      </c>
      <c r="B872" t="s">
        <v>74</v>
      </c>
      <c r="F872" t="s">
        <v>27</v>
      </c>
      <c r="H872" t="s">
        <v>1932</v>
      </c>
      <c r="I872" t="str">
        <f>VLOOKUP(H872,Table1[#All],8,FALSE)</f>
        <v>Audio</v>
      </c>
      <c r="J872" t="str" cm="1">
        <f t="array" ref="J872">_xlfn.XLOOKUP(H872,Table1[[#All],[Order ID]],Table1[[#All],[Brand]],0)</f>
        <v>Sony</v>
      </c>
      <c r="K872" t="str">
        <f>INDEX(Table1[[#All],[Product Name]],MATCH(Sheet2!H872,Table1[[#All],[Order ID]],0))</f>
        <v>Headphones</v>
      </c>
    </row>
    <row r="873" spans="1:11" x14ac:dyDescent="0.25">
      <c r="A873" s="6">
        <v>1275</v>
      </c>
      <c r="B873" t="s">
        <v>68</v>
      </c>
      <c r="F873" t="s">
        <v>27</v>
      </c>
      <c r="H873" t="s">
        <v>1933</v>
      </c>
      <c r="I873" t="str">
        <f>VLOOKUP(H873,Table1[#All],8,FALSE)</f>
        <v>Accessories</v>
      </c>
      <c r="J873" t="str" cm="1">
        <f t="array" ref="J873">_xlfn.XLOOKUP(H873,Table1[[#All],[Order ID]],Table1[[#All],[Brand]],0)</f>
        <v>HP</v>
      </c>
      <c r="K873" t="str">
        <f>INDEX(Table1[[#All],[Product Name]],MATCH(Sheet2!H873,Table1[[#All],[Order ID]],0))</f>
        <v>Keyboard</v>
      </c>
    </row>
    <row r="874" spans="1:11" x14ac:dyDescent="0.25">
      <c r="A874" s="5">
        <v>2880</v>
      </c>
      <c r="B874" t="s">
        <v>26</v>
      </c>
      <c r="F874" t="s">
        <v>27</v>
      </c>
      <c r="H874" t="s">
        <v>1934</v>
      </c>
      <c r="I874" t="str">
        <f>VLOOKUP(H874,Table1[#All],8,FALSE)</f>
        <v>Accessories</v>
      </c>
      <c r="J874" t="str" cm="1">
        <f t="array" ref="J874">_xlfn.XLOOKUP(H874,Table1[[#All],[Order ID]],Table1[[#All],[Brand]],0)</f>
        <v>Logitech</v>
      </c>
      <c r="K874" t="str">
        <f>INDEX(Table1[[#All],[Product Name]],MATCH(Sheet2!H874,Table1[[#All],[Order ID]],0))</f>
        <v>Mouse</v>
      </c>
    </row>
    <row r="875" spans="1:11" x14ac:dyDescent="0.25">
      <c r="A875" s="6">
        <v>247500</v>
      </c>
      <c r="B875" t="s">
        <v>53</v>
      </c>
      <c r="F875" t="s">
        <v>27</v>
      </c>
      <c r="H875" t="s">
        <v>1937</v>
      </c>
      <c r="I875" t="str">
        <f>VLOOKUP(H875,Table1[#All],8,FALSE)</f>
        <v>Computers</v>
      </c>
      <c r="J875" t="str" cm="1">
        <f t="array" ref="J875">_xlfn.XLOOKUP(H875,Table1[[#All],[Order ID]],Table1[[#All],[Brand]],0)</f>
        <v>Dell</v>
      </c>
      <c r="K875" t="str">
        <f>INDEX(Table1[[#All],[Product Name]],MATCH(Sheet2!H875,Table1[[#All],[Order ID]],0))</f>
        <v>Laptop</v>
      </c>
    </row>
    <row r="876" spans="1:11" x14ac:dyDescent="0.25">
      <c r="A876" s="5">
        <v>2400</v>
      </c>
      <c r="B876" t="s">
        <v>26</v>
      </c>
      <c r="F876" t="s">
        <v>27</v>
      </c>
      <c r="H876" t="s">
        <v>1939</v>
      </c>
      <c r="I876" t="str">
        <f>VLOOKUP(H876,Table1[#All],8,FALSE)</f>
        <v>Accessories</v>
      </c>
      <c r="J876" t="str" cm="1">
        <f t="array" ref="J876">_xlfn.XLOOKUP(H876,Table1[[#All],[Order ID]],Table1[[#All],[Brand]],0)</f>
        <v>Logitech</v>
      </c>
      <c r="K876" t="str">
        <f>INDEX(Table1[[#All],[Product Name]],MATCH(Sheet2!H876,Table1[[#All],[Order ID]],0))</f>
        <v>Mouse</v>
      </c>
    </row>
    <row r="877" spans="1:11" x14ac:dyDescent="0.25">
      <c r="A877" s="6">
        <v>2975</v>
      </c>
      <c r="B877" t="s">
        <v>74</v>
      </c>
      <c r="F877" t="s">
        <v>27</v>
      </c>
      <c r="H877" t="s">
        <v>1941</v>
      </c>
      <c r="I877" t="str">
        <f>VLOOKUP(H877,Table1[#All],8,FALSE)</f>
        <v>Audio</v>
      </c>
      <c r="J877" t="str" cm="1">
        <f t="array" ref="J877">_xlfn.XLOOKUP(H877,Table1[[#All],[Order ID]],Table1[[#All],[Brand]],0)</f>
        <v>Sony</v>
      </c>
      <c r="K877" t="str">
        <f>INDEX(Table1[[#All],[Product Name]],MATCH(Sheet2!H877,Table1[[#All],[Order ID]],0))</f>
        <v>Headphones</v>
      </c>
    </row>
    <row r="878" spans="1:11" x14ac:dyDescent="0.25">
      <c r="A878" s="5">
        <v>99000</v>
      </c>
      <c r="B878" t="s">
        <v>53</v>
      </c>
      <c r="F878" t="s">
        <v>27</v>
      </c>
      <c r="H878" t="s">
        <v>1943</v>
      </c>
      <c r="I878" t="str">
        <f>VLOOKUP(H878,Table1[#All],8,FALSE)</f>
        <v>Computers</v>
      </c>
      <c r="J878" t="str" cm="1">
        <f t="array" ref="J878">_xlfn.XLOOKUP(H878,Table1[[#All],[Order ID]],Table1[[#All],[Brand]],0)</f>
        <v>Dell</v>
      </c>
      <c r="K878" t="str">
        <f>INDEX(Table1[[#All],[Product Name]],MATCH(Sheet2!H878,Table1[[#All],[Order ID]],0))</f>
        <v>Laptop</v>
      </c>
    </row>
    <row r="879" spans="1:11" x14ac:dyDescent="0.25">
      <c r="A879" s="6">
        <v>3600</v>
      </c>
      <c r="B879" t="s">
        <v>26</v>
      </c>
      <c r="F879" t="s">
        <v>27</v>
      </c>
      <c r="H879" t="s">
        <v>1944</v>
      </c>
      <c r="I879" t="str">
        <f>VLOOKUP(H879,Table1[#All],8,FALSE)</f>
        <v>Accessories</v>
      </c>
      <c r="J879" t="str" cm="1">
        <f t="array" ref="J879">_xlfn.XLOOKUP(H879,Table1[[#All],[Order ID]],Table1[[#All],[Brand]],0)</f>
        <v>Logitech</v>
      </c>
      <c r="K879" t="str">
        <f>INDEX(Table1[[#All],[Product Name]],MATCH(Sheet2!H879,Table1[[#All],[Order ID]],0))</f>
        <v>Mouse</v>
      </c>
    </row>
    <row r="880" spans="1:11" x14ac:dyDescent="0.25">
      <c r="A880" s="5">
        <v>6650</v>
      </c>
      <c r="B880" t="s">
        <v>74</v>
      </c>
      <c r="F880" t="s">
        <v>27</v>
      </c>
      <c r="H880" t="s">
        <v>1946</v>
      </c>
      <c r="I880" t="str">
        <f>VLOOKUP(H880,Table1[#All],8,FALSE)</f>
        <v>Audio</v>
      </c>
      <c r="J880" t="str" cm="1">
        <f t="array" ref="J880">_xlfn.XLOOKUP(H880,Table1[[#All],[Order ID]],Table1[[#All],[Brand]],0)</f>
        <v>Sony</v>
      </c>
      <c r="K880" t="str">
        <f>INDEX(Table1[[#All],[Product Name]],MATCH(Sheet2!H880,Table1[[#All],[Order ID]],0))</f>
        <v>Headphones</v>
      </c>
    </row>
    <row r="881" spans="1:11" x14ac:dyDescent="0.25">
      <c r="A881" s="6">
        <v>5700</v>
      </c>
      <c r="B881" t="s">
        <v>68</v>
      </c>
      <c r="F881" t="s">
        <v>27</v>
      </c>
      <c r="H881" t="s">
        <v>1948</v>
      </c>
      <c r="I881" t="str">
        <f>VLOOKUP(H881,Table1[#All],8,FALSE)</f>
        <v>Accessories</v>
      </c>
      <c r="J881" t="str" cm="1">
        <f t="array" ref="J881">_xlfn.XLOOKUP(H881,Table1[[#All],[Order ID]],Table1[[#All],[Brand]],0)</f>
        <v>HP</v>
      </c>
      <c r="K881" t="str">
        <f>INDEX(Table1[[#All],[Product Name]],MATCH(Sheet2!H881,Table1[[#All],[Order ID]],0))</f>
        <v>Keyboard</v>
      </c>
    </row>
    <row r="882" spans="1:11" x14ac:dyDescent="0.25">
      <c r="A882" s="5">
        <v>9000</v>
      </c>
      <c r="B882" t="s">
        <v>39</v>
      </c>
      <c r="F882" t="s">
        <v>40</v>
      </c>
      <c r="H882" t="s">
        <v>1949</v>
      </c>
      <c r="I882" t="str">
        <f>VLOOKUP(H882,Table1[#All],8,FALSE)</f>
        <v>Office</v>
      </c>
      <c r="J882" t="str" cm="1">
        <f t="array" ref="J882">_xlfn.XLOOKUP(H882,Table1[[#All],[Order ID]],Table1[[#All],[Brand]],0)</f>
        <v>Nilkamal</v>
      </c>
      <c r="K882" t="str">
        <f>INDEX(Table1[[#All],[Product Name]],MATCH(Sheet2!H882,Table1[[#All],[Order ID]],0))</f>
        <v>Chair</v>
      </c>
    </row>
    <row r="883" spans="1:11" x14ac:dyDescent="0.25">
      <c r="A883" s="6">
        <v>5100</v>
      </c>
      <c r="B883" t="s">
        <v>68</v>
      </c>
      <c r="F883" t="s">
        <v>27</v>
      </c>
      <c r="H883" t="s">
        <v>1951</v>
      </c>
      <c r="I883" t="str">
        <f>VLOOKUP(H883,Table1[#All],8,FALSE)</f>
        <v>Accessories</v>
      </c>
      <c r="J883" t="str" cm="1">
        <f t="array" ref="J883">_xlfn.XLOOKUP(H883,Table1[[#All],[Order ID]],Table1[[#All],[Brand]],0)</f>
        <v>HP</v>
      </c>
      <c r="K883" t="str">
        <f>INDEX(Table1[[#All],[Product Name]],MATCH(Sheet2!H883,Table1[[#All],[Order ID]],0))</f>
        <v>Keyboard</v>
      </c>
    </row>
    <row r="884" spans="1:11" x14ac:dyDescent="0.25">
      <c r="A884" s="5">
        <v>2280</v>
      </c>
      <c r="B884" t="s">
        <v>26</v>
      </c>
      <c r="F884" t="s">
        <v>27</v>
      </c>
      <c r="H884" t="s">
        <v>1952</v>
      </c>
      <c r="I884" t="str">
        <f>VLOOKUP(H884,Table1[#All],8,FALSE)</f>
        <v>Accessories</v>
      </c>
      <c r="J884" t="str" cm="1">
        <f t="array" ref="J884">_xlfn.XLOOKUP(H884,Table1[[#All],[Order ID]],Table1[[#All],[Brand]],0)</f>
        <v>Logitech</v>
      </c>
      <c r="K884" t="str">
        <f>INDEX(Table1[[#All],[Product Name]],MATCH(Sheet2!H884,Table1[[#All],[Order ID]],0))</f>
        <v>Mouse</v>
      </c>
    </row>
    <row r="885" spans="1:11" x14ac:dyDescent="0.25">
      <c r="A885" s="6">
        <v>46750</v>
      </c>
      <c r="B885" t="s">
        <v>53</v>
      </c>
      <c r="F885" t="s">
        <v>27</v>
      </c>
      <c r="H885" t="s">
        <v>1954</v>
      </c>
      <c r="I885" t="str">
        <f>VLOOKUP(H885,Table1[#All],8,FALSE)</f>
        <v>Computers</v>
      </c>
      <c r="J885" t="str" cm="1">
        <f t="array" ref="J885">_xlfn.XLOOKUP(H885,Table1[[#All],[Order ID]],Table1[[#All],[Brand]],0)</f>
        <v>Dell</v>
      </c>
      <c r="K885" t="str">
        <f>INDEX(Table1[[#All],[Product Name]],MATCH(Sheet2!H885,Table1[[#All],[Order ID]],0))</f>
        <v>Laptop</v>
      </c>
    </row>
    <row r="886" spans="1:11" x14ac:dyDescent="0.25">
      <c r="A886" s="5">
        <v>10500</v>
      </c>
      <c r="B886" t="s">
        <v>74</v>
      </c>
      <c r="F886" t="s">
        <v>27</v>
      </c>
      <c r="H886" t="s">
        <v>1956</v>
      </c>
      <c r="I886" t="str">
        <f>VLOOKUP(H886,Table1[#All],8,FALSE)</f>
        <v>Audio</v>
      </c>
      <c r="J886" t="str" cm="1">
        <f t="array" ref="J886">_xlfn.XLOOKUP(H886,Table1[[#All],[Order ID]],Table1[[#All],[Brand]],0)</f>
        <v>Sony</v>
      </c>
      <c r="K886" t="str">
        <f>INDEX(Table1[[#All],[Product Name]],MATCH(Sheet2!H886,Table1[[#All],[Order ID]],0))</f>
        <v>Headphones</v>
      </c>
    </row>
    <row r="887" spans="1:11" x14ac:dyDescent="0.25">
      <c r="A887" s="6">
        <v>2550</v>
      </c>
      <c r="B887" t="s">
        <v>68</v>
      </c>
      <c r="F887" t="s">
        <v>27</v>
      </c>
      <c r="H887" t="s">
        <v>1958</v>
      </c>
      <c r="I887" t="str">
        <f>VLOOKUP(H887,Table1[#All],8,FALSE)</f>
        <v>Accessories</v>
      </c>
      <c r="J887" t="str" cm="1">
        <f t="array" ref="J887">_xlfn.XLOOKUP(H887,Table1[[#All],[Order ID]],Table1[[#All],[Brand]],0)</f>
        <v>HP</v>
      </c>
      <c r="K887" t="str">
        <f>INDEX(Table1[[#All],[Product Name]],MATCH(Sheet2!H887,Table1[[#All],[Order ID]],0))</f>
        <v>Keyboard</v>
      </c>
    </row>
    <row r="888" spans="1:11" x14ac:dyDescent="0.25">
      <c r="A888" s="5">
        <v>110000</v>
      </c>
      <c r="B888" t="s">
        <v>53</v>
      </c>
      <c r="F888" t="s">
        <v>27</v>
      </c>
      <c r="H888" t="s">
        <v>1961</v>
      </c>
      <c r="I888" t="str">
        <f>VLOOKUP(H888,Table1[#All],8,FALSE)</f>
        <v>Computers</v>
      </c>
      <c r="J888" t="str" cm="1">
        <f t="array" ref="J888">_xlfn.XLOOKUP(H888,Table1[[#All],[Order ID]],Table1[[#All],[Brand]],0)</f>
        <v>Dell</v>
      </c>
      <c r="K888" t="str">
        <f>INDEX(Table1[[#All],[Product Name]],MATCH(Sheet2!H888,Table1[[#All],[Order ID]],0))</f>
        <v>Laptop</v>
      </c>
    </row>
    <row r="889" spans="1:11" x14ac:dyDescent="0.25">
      <c r="A889" s="6">
        <v>2550</v>
      </c>
      <c r="B889" t="s">
        <v>68</v>
      </c>
      <c r="F889" t="s">
        <v>27</v>
      </c>
      <c r="H889" t="s">
        <v>1962</v>
      </c>
      <c r="I889" t="str">
        <f>VLOOKUP(H889,Table1[#All],8,FALSE)</f>
        <v>Accessories</v>
      </c>
      <c r="J889" t="str" cm="1">
        <f t="array" ref="J889">_xlfn.XLOOKUP(H889,Table1[[#All],[Order ID]],Table1[[#All],[Brand]],0)</f>
        <v>HP</v>
      </c>
      <c r="K889" t="str">
        <f>INDEX(Table1[[#All],[Product Name]],MATCH(Sheet2!H889,Table1[[#All],[Order ID]],0))</f>
        <v>Keyboard</v>
      </c>
    </row>
    <row r="890" spans="1:11" x14ac:dyDescent="0.25">
      <c r="A890" s="5">
        <v>233750</v>
      </c>
      <c r="B890" t="s">
        <v>53</v>
      </c>
      <c r="F890" t="s">
        <v>27</v>
      </c>
      <c r="H890" t="s">
        <v>1963</v>
      </c>
      <c r="I890" t="str">
        <f>VLOOKUP(H890,Table1[#All],8,FALSE)</f>
        <v>Computers</v>
      </c>
      <c r="J890" t="str" cm="1">
        <f t="array" ref="J890">_xlfn.XLOOKUP(H890,Table1[[#All],[Order ID]],Table1[[#All],[Brand]],0)</f>
        <v>Dell</v>
      </c>
      <c r="K890" t="str">
        <f>INDEX(Table1[[#All],[Product Name]],MATCH(Sheet2!H890,Table1[[#All],[Order ID]],0))</f>
        <v>Laptop</v>
      </c>
    </row>
    <row r="891" spans="1:11" x14ac:dyDescent="0.25">
      <c r="A891" s="6">
        <v>7650</v>
      </c>
      <c r="B891" t="s">
        <v>39</v>
      </c>
      <c r="F891" t="s">
        <v>40</v>
      </c>
      <c r="H891" t="s">
        <v>1965</v>
      </c>
      <c r="I891" t="str">
        <f>VLOOKUP(H891,Table1[#All],8,FALSE)</f>
        <v>Office</v>
      </c>
      <c r="J891" t="str" cm="1">
        <f t="array" ref="J891">_xlfn.XLOOKUP(H891,Table1[[#All],[Order ID]],Table1[[#All],[Brand]],0)</f>
        <v>Nilkamal</v>
      </c>
      <c r="K891" t="str">
        <f>INDEX(Table1[[#All],[Product Name]],MATCH(Sheet2!H891,Table1[[#All],[Order ID]],0))</f>
        <v>Chair</v>
      </c>
    </row>
    <row r="892" spans="1:11" x14ac:dyDescent="0.25">
      <c r="A892" s="5">
        <v>3825</v>
      </c>
      <c r="B892" t="s">
        <v>68</v>
      </c>
      <c r="F892" t="s">
        <v>27</v>
      </c>
      <c r="H892" t="s">
        <v>1967</v>
      </c>
      <c r="I892" t="str">
        <f>VLOOKUP(H892,Table1[#All],8,FALSE)</f>
        <v>Accessories</v>
      </c>
      <c r="J892" t="str" cm="1">
        <f t="array" ref="J892">_xlfn.XLOOKUP(H892,Table1[[#All],[Order ID]],Table1[[#All],[Brand]],0)</f>
        <v>HP</v>
      </c>
      <c r="K892" t="str">
        <f>INDEX(Table1[[#All],[Product Name]],MATCH(Sheet2!H892,Table1[[#All],[Order ID]],0))</f>
        <v>Keyboard</v>
      </c>
    </row>
    <row r="893" spans="1:11" x14ac:dyDescent="0.25">
      <c r="A893" s="6">
        <v>4275</v>
      </c>
      <c r="B893" t="s">
        <v>39</v>
      </c>
      <c r="F893" t="s">
        <v>40</v>
      </c>
      <c r="H893" t="s">
        <v>1969</v>
      </c>
      <c r="I893" t="str">
        <f>VLOOKUP(H893,Table1[#All],8,FALSE)</f>
        <v>Office</v>
      </c>
      <c r="J893" t="str" cm="1">
        <f t="array" ref="J893">_xlfn.XLOOKUP(H893,Table1[[#All],[Order ID]],Table1[[#All],[Brand]],0)</f>
        <v>Nilkamal</v>
      </c>
      <c r="K893" t="str">
        <f>INDEX(Table1[[#All],[Product Name]],MATCH(Sheet2!H893,Table1[[#All],[Order ID]],0))</f>
        <v>Chair</v>
      </c>
    </row>
    <row r="894" spans="1:11" x14ac:dyDescent="0.25">
      <c r="A894" s="5">
        <v>14875</v>
      </c>
      <c r="B894" t="s">
        <v>74</v>
      </c>
      <c r="F894" t="s">
        <v>27</v>
      </c>
      <c r="H894" t="s">
        <v>1971</v>
      </c>
      <c r="I894" t="str">
        <f>VLOOKUP(H894,Table1[#All],8,FALSE)</f>
        <v>Audio</v>
      </c>
      <c r="J894" t="str" cm="1">
        <f t="array" ref="J894">_xlfn.XLOOKUP(H894,Table1[[#All],[Order ID]],Table1[[#All],[Brand]],0)</f>
        <v>Sony</v>
      </c>
      <c r="K894" t="str">
        <f>INDEX(Table1[[#All],[Product Name]],MATCH(Sheet2!H894,Table1[[#All],[Order ID]],0))</f>
        <v>Headphones</v>
      </c>
    </row>
    <row r="895" spans="1:11" x14ac:dyDescent="0.25">
      <c r="A895" s="6">
        <v>11900</v>
      </c>
      <c r="B895" t="s">
        <v>74</v>
      </c>
      <c r="F895" t="s">
        <v>27</v>
      </c>
      <c r="H895" t="s">
        <v>1973</v>
      </c>
      <c r="I895" t="str">
        <f>VLOOKUP(H895,Table1[#All],8,FALSE)</f>
        <v>Audio</v>
      </c>
      <c r="J895" t="str" cm="1">
        <f t="array" ref="J895">_xlfn.XLOOKUP(H895,Table1[[#All],[Order ID]],Table1[[#All],[Brand]],0)</f>
        <v>Sony</v>
      </c>
      <c r="K895" t="str">
        <f>INDEX(Table1[[#All],[Product Name]],MATCH(Sheet2!H895,Table1[[#All],[Order ID]],0))</f>
        <v>Headphones</v>
      </c>
    </row>
    <row r="896" spans="1:11" x14ac:dyDescent="0.25">
      <c r="A896" s="5">
        <v>2880</v>
      </c>
      <c r="B896" t="s">
        <v>26</v>
      </c>
      <c r="F896" t="s">
        <v>27</v>
      </c>
      <c r="H896" t="s">
        <v>1974</v>
      </c>
      <c r="I896" t="str">
        <f>VLOOKUP(H896,Table1[#All],8,FALSE)</f>
        <v>Accessories</v>
      </c>
      <c r="J896" t="str" cm="1">
        <f t="array" ref="J896">_xlfn.XLOOKUP(H896,Table1[[#All],[Order ID]],Table1[[#All],[Brand]],0)</f>
        <v>Logitech</v>
      </c>
      <c r="K896" t="str">
        <f>INDEX(Table1[[#All],[Product Name]],MATCH(Sheet2!H896,Table1[[#All],[Order ID]],0))</f>
        <v>Mouse</v>
      </c>
    </row>
    <row r="897" spans="1:11" x14ac:dyDescent="0.25">
      <c r="A897" s="6">
        <v>1600</v>
      </c>
      <c r="B897" t="s">
        <v>26</v>
      </c>
      <c r="F897" t="s">
        <v>27</v>
      </c>
      <c r="H897" t="s">
        <v>1975</v>
      </c>
      <c r="I897" t="str">
        <f>VLOOKUP(H897,Table1[#All],8,FALSE)</f>
        <v>Accessories</v>
      </c>
      <c r="J897" t="str" cm="1">
        <f t="array" ref="J897">_xlfn.XLOOKUP(H897,Table1[[#All],[Order ID]],Table1[[#All],[Brand]],0)</f>
        <v>Logitech</v>
      </c>
      <c r="K897" t="str">
        <f>INDEX(Table1[[#All],[Product Name]],MATCH(Sheet2!H897,Table1[[#All],[Order ID]],0))</f>
        <v>Mouse</v>
      </c>
    </row>
    <row r="898" spans="1:11" x14ac:dyDescent="0.25">
      <c r="A898" s="5">
        <v>9450</v>
      </c>
      <c r="B898" t="s">
        <v>74</v>
      </c>
      <c r="F898" t="s">
        <v>27</v>
      </c>
      <c r="H898" t="s">
        <v>1978</v>
      </c>
      <c r="I898" t="str">
        <f>VLOOKUP(H898,Table1[#All],8,FALSE)</f>
        <v>Audio</v>
      </c>
      <c r="J898" t="str" cm="1">
        <f t="array" ref="J898">_xlfn.XLOOKUP(H898,Table1[[#All],[Order ID]],Table1[[#All],[Brand]],0)</f>
        <v>Sony</v>
      </c>
      <c r="K898" t="str">
        <f>INDEX(Table1[[#All],[Product Name]],MATCH(Sheet2!H898,Table1[[#All],[Order ID]],0))</f>
        <v>Headphones</v>
      </c>
    </row>
    <row r="899" spans="1:11" x14ac:dyDescent="0.25">
      <c r="A899" s="6">
        <v>1350</v>
      </c>
      <c r="B899" t="s">
        <v>68</v>
      </c>
      <c r="F899" t="s">
        <v>27</v>
      </c>
      <c r="H899" t="s">
        <v>1980</v>
      </c>
      <c r="I899" t="str">
        <f>VLOOKUP(H899,Table1[#All],8,FALSE)</f>
        <v>Accessories</v>
      </c>
      <c r="J899" t="str" cm="1">
        <f t="array" ref="J899">_xlfn.XLOOKUP(H899,Table1[[#All],[Order ID]],Table1[[#All],[Brand]],0)</f>
        <v>HP</v>
      </c>
      <c r="K899" t="str">
        <f>INDEX(Table1[[#All],[Product Name]],MATCH(Sheet2!H899,Table1[[#All],[Order ID]],0))</f>
        <v>Keyboard</v>
      </c>
    </row>
    <row r="900" spans="1:11" x14ac:dyDescent="0.25">
      <c r="A900" s="5">
        <v>3825</v>
      </c>
      <c r="B900" t="s">
        <v>39</v>
      </c>
      <c r="F900" t="s">
        <v>40</v>
      </c>
      <c r="H900" t="s">
        <v>1982</v>
      </c>
      <c r="I900" t="str">
        <f>VLOOKUP(H900,Table1[#All],8,FALSE)</f>
        <v>Office</v>
      </c>
      <c r="J900" t="str" cm="1">
        <f t="array" ref="J900">_xlfn.XLOOKUP(H900,Table1[[#All],[Order ID]],Table1[[#All],[Brand]],0)</f>
        <v>Nilkamal</v>
      </c>
      <c r="K900" t="str">
        <f>INDEX(Table1[[#All],[Product Name]],MATCH(Sheet2!H900,Table1[[#All],[Order ID]],0))</f>
        <v>Chair</v>
      </c>
    </row>
    <row r="901" spans="1:11" x14ac:dyDescent="0.25">
      <c r="A901" s="6">
        <v>16200</v>
      </c>
      <c r="B901" t="s">
        <v>39</v>
      </c>
      <c r="F901" t="s">
        <v>40</v>
      </c>
      <c r="H901" t="s">
        <v>1984</v>
      </c>
      <c r="I901" t="str">
        <f>VLOOKUP(H901,Table1[#All],8,FALSE)</f>
        <v>Office</v>
      </c>
      <c r="J901" t="str" cm="1">
        <f t="array" ref="J901">_xlfn.XLOOKUP(H901,Table1[[#All],[Order ID]],Table1[[#All],[Brand]],0)</f>
        <v>Nilkamal</v>
      </c>
      <c r="K901" t="str">
        <f>INDEX(Table1[[#All],[Product Name]],MATCH(Sheet2!H901,Table1[[#All],[Order ID]],0))</f>
        <v>Chair</v>
      </c>
    </row>
    <row r="902" spans="1:11" x14ac:dyDescent="0.25">
      <c r="A902" s="5">
        <v>165000</v>
      </c>
      <c r="B902" t="s">
        <v>53</v>
      </c>
      <c r="F902" t="s">
        <v>27</v>
      </c>
      <c r="H902" t="s">
        <v>1986</v>
      </c>
      <c r="I902" t="str">
        <f>VLOOKUP(H902,Table1[#All],8,FALSE)</f>
        <v>Computers</v>
      </c>
      <c r="J902" t="str" cm="1">
        <f t="array" ref="J902">_xlfn.XLOOKUP(H902,Table1[[#All],[Order ID]],Table1[[#All],[Brand]],0)</f>
        <v>Dell</v>
      </c>
      <c r="K902" t="str">
        <f>INDEX(Table1[[#All],[Product Name]],MATCH(Sheet2!H902,Table1[[#All],[Order ID]],0))</f>
        <v>Laptop</v>
      </c>
    </row>
    <row r="903" spans="1:11" x14ac:dyDescent="0.25">
      <c r="A903" s="6">
        <v>2880</v>
      </c>
      <c r="B903" t="s">
        <v>26</v>
      </c>
      <c r="F903" t="s">
        <v>27</v>
      </c>
      <c r="H903" t="s">
        <v>1988</v>
      </c>
      <c r="I903" t="str">
        <f>VLOOKUP(H903,Table1[#All],8,FALSE)</f>
        <v>Accessories</v>
      </c>
      <c r="J903" t="str" cm="1">
        <f t="array" ref="J903">_xlfn.XLOOKUP(H903,Table1[[#All],[Order ID]],Table1[[#All],[Brand]],0)</f>
        <v>Logitech</v>
      </c>
      <c r="K903" t="str">
        <f>INDEX(Table1[[#All],[Product Name]],MATCH(Sheet2!H903,Table1[[#All],[Order ID]],0))</f>
        <v>Mouse</v>
      </c>
    </row>
    <row r="904" spans="1:11" x14ac:dyDescent="0.25">
      <c r="A904" s="5">
        <v>5700</v>
      </c>
      <c r="B904" t="s">
        <v>68</v>
      </c>
      <c r="F904" t="s">
        <v>27</v>
      </c>
      <c r="H904" t="s">
        <v>1989</v>
      </c>
      <c r="I904" t="str">
        <f>VLOOKUP(H904,Table1[#All],8,FALSE)</f>
        <v>Accessories</v>
      </c>
      <c r="J904" t="str" cm="1">
        <f t="array" ref="J904">_xlfn.XLOOKUP(H904,Table1[[#All],[Order ID]],Table1[[#All],[Brand]],0)</f>
        <v>HP</v>
      </c>
      <c r="K904" t="str">
        <f>INDEX(Table1[[#All],[Product Name]],MATCH(Sheet2!H904,Table1[[#All],[Order ID]],0))</f>
        <v>Keyboard</v>
      </c>
    </row>
    <row r="905" spans="1:11" x14ac:dyDescent="0.25">
      <c r="A905" s="6">
        <v>13300</v>
      </c>
      <c r="B905" t="s">
        <v>74</v>
      </c>
      <c r="F905" t="s">
        <v>27</v>
      </c>
      <c r="H905" t="s">
        <v>1991</v>
      </c>
      <c r="I905" t="str">
        <f>VLOOKUP(H905,Table1[#All],8,FALSE)</f>
        <v>Audio</v>
      </c>
      <c r="J905" t="str" cm="1">
        <f t="array" ref="J905">_xlfn.XLOOKUP(H905,Table1[[#All],[Order ID]],Table1[[#All],[Brand]],0)</f>
        <v>Sony</v>
      </c>
      <c r="K905" t="str">
        <f>INDEX(Table1[[#All],[Product Name]],MATCH(Sheet2!H905,Table1[[#All],[Order ID]],0))</f>
        <v>Headphones</v>
      </c>
    </row>
    <row r="906" spans="1:11" x14ac:dyDescent="0.25">
      <c r="A906" s="5">
        <v>12825</v>
      </c>
      <c r="B906" t="s">
        <v>39</v>
      </c>
      <c r="F906" t="s">
        <v>40</v>
      </c>
      <c r="H906" t="s">
        <v>1993</v>
      </c>
      <c r="I906" t="str">
        <f>VLOOKUP(H906,Table1[#All],8,FALSE)</f>
        <v>Office</v>
      </c>
      <c r="J906" t="str" cm="1">
        <f t="array" ref="J906">_xlfn.XLOOKUP(H906,Table1[[#All],[Order ID]],Table1[[#All],[Brand]],0)</f>
        <v>Nilkamal</v>
      </c>
      <c r="K906" t="str">
        <f>INDEX(Table1[[#All],[Product Name]],MATCH(Sheet2!H906,Table1[[#All],[Order ID]],0))</f>
        <v>Chair</v>
      </c>
    </row>
    <row r="907" spans="1:11" x14ac:dyDescent="0.25">
      <c r="A907" s="6">
        <v>4500</v>
      </c>
      <c r="B907" t="s">
        <v>68</v>
      </c>
      <c r="F907" t="s">
        <v>27</v>
      </c>
      <c r="H907" t="s">
        <v>1994</v>
      </c>
      <c r="I907" t="str">
        <f>VLOOKUP(H907,Table1[#All],8,FALSE)</f>
        <v>Accessories</v>
      </c>
      <c r="J907" t="str" cm="1">
        <f t="array" ref="J907">_xlfn.XLOOKUP(H907,Table1[[#All],[Order ID]],Table1[[#All],[Brand]],0)</f>
        <v>HP</v>
      </c>
      <c r="K907" t="str">
        <f>INDEX(Table1[[#All],[Product Name]],MATCH(Sheet2!H907,Table1[[#All],[Order ID]],0))</f>
        <v>Keyboard</v>
      </c>
    </row>
    <row r="908" spans="1:11" x14ac:dyDescent="0.25">
      <c r="A908" s="5">
        <v>760</v>
      </c>
      <c r="B908" t="s">
        <v>26</v>
      </c>
      <c r="F908" t="s">
        <v>27</v>
      </c>
      <c r="H908" t="s">
        <v>1995</v>
      </c>
      <c r="I908" t="str">
        <f>VLOOKUP(H908,Table1[#All],8,FALSE)</f>
        <v>Accessories</v>
      </c>
      <c r="J908" t="str" cm="1">
        <f t="array" ref="J908">_xlfn.XLOOKUP(H908,Table1[[#All],[Order ID]],Table1[[#All],[Brand]],0)</f>
        <v>Logitech</v>
      </c>
      <c r="K908" t="str">
        <f>INDEX(Table1[[#All],[Product Name]],MATCH(Sheet2!H908,Table1[[#All],[Order ID]],0))</f>
        <v>Mouse</v>
      </c>
    </row>
    <row r="909" spans="1:11" x14ac:dyDescent="0.25">
      <c r="A909" s="6">
        <v>12825</v>
      </c>
      <c r="B909" t="s">
        <v>39</v>
      </c>
      <c r="F909" t="s">
        <v>40</v>
      </c>
      <c r="H909" t="s">
        <v>1996</v>
      </c>
      <c r="I909" t="str">
        <f>VLOOKUP(H909,Table1[#All],8,FALSE)</f>
        <v>Office</v>
      </c>
      <c r="J909" t="str" cm="1">
        <f t="array" ref="J909">_xlfn.XLOOKUP(H909,Table1[[#All],[Order ID]],Table1[[#All],[Brand]],0)</f>
        <v>Nilkamal</v>
      </c>
      <c r="K909" t="str">
        <f>INDEX(Table1[[#All],[Product Name]],MATCH(Sheet2!H909,Table1[[#All],[Order ID]],0))</f>
        <v>Chair</v>
      </c>
    </row>
    <row r="910" spans="1:11" x14ac:dyDescent="0.25">
      <c r="A910" s="5">
        <v>2400</v>
      </c>
      <c r="B910" t="s">
        <v>26</v>
      </c>
      <c r="F910" t="s">
        <v>27</v>
      </c>
      <c r="H910" t="s">
        <v>1997</v>
      </c>
      <c r="I910" t="str">
        <f>VLOOKUP(H910,Table1[#All],8,FALSE)</f>
        <v>Accessories</v>
      </c>
      <c r="J910" t="str" cm="1">
        <f t="array" ref="J910">_xlfn.XLOOKUP(H910,Table1[[#All],[Order ID]],Table1[[#All],[Brand]],0)</f>
        <v>Logitech</v>
      </c>
      <c r="K910" t="str">
        <f>INDEX(Table1[[#All],[Product Name]],MATCH(Sheet2!H910,Table1[[#All],[Order ID]],0))</f>
        <v>Mouse</v>
      </c>
    </row>
    <row r="911" spans="1:11" x14ac:dyDescent="0.25">
      <c r="A911" s="6">
        <v>14875</v>
      </c>
      <c r="B911" t="s">
        <v>74</v>
      </c>
      <c r="F911" t="s">
        <v>27</v>
      </c>
      <c r="H911" t="s">
        <v>1999</v>
      </c>
      <c r="I911" t="str">
        <f>VLOOKUP(H911,Table1[#All],8,FALSE)</f>
        <v>Audio</v>
      </c>
      <c r="J911" t="str" cm="1">
        <f t="array" ref="J911">_xlfn.XLOOKUP(H911,Table1[[#All],[Order ID]],Table1[[#All],[Brand]],0)</f>
        <v>Sony</v>
      </c>
      <c r="K911" t="str">
        <f>INDEX(Table1[[#All],[Product Name]],MATCH(Sheet2!H911,Table1[[#All],[Order ID]],0))</f>
        <v>Headphones</v>
      </c>
    </row>
    <row r="912" spans="1:11" x14ac:dyDescent="0.25">
      <c r="A912" s="5">
        <v>220000</v>
      </c>
      <c r="B912" t="s">
        <v>53</v>
      </c>
      <c r="F912" t="s">
        <v>27</v>
      </c>
      <c r="H912" t="s">
        <v>2000</v>
      </c>
      <c r="I912" t="str">
        <f>VLOOKUP(H912,Table1[#All],8,FALSE)</f>
        <v>Computers</v>
      </c>
      <c r="J912" t="str" cm="1">
        <f t="array" ref="J912">_xlfn.XLOOKUP(H912,Table1[[#All],[Order ID]],Table1[[#All],[Brand]],0)</f>
        <v>Dell</v>
      </c>
      <c r="K912" t="str">
        <f>INDEX(Table1[[#All],[Product Name]],MATCH(Sheet2!H912,Table1[[#All],[Order ID]],0))</f>
        <v>Laptop</v>
      </c>
    </row>
    <row r="913" spans="1:11" x14ac:dyDescent="0.25">
      <c r="A913" s="6">
        <v>14000</v>
      </c>
      <c r="B913" t="s">
        <v>74</v>
      </c>
      <c r="F913" t="s">
        <v>27</v>
      </c>
      <c r="H913" t="s">
        <v>2002</v>
      </c>
      <c r="I913" t="str">
        <f>VLOOKUP(H913,Table1[#All],8,FALSE)</f>
        <v>Audio</v>
      </c>
      <c r="J913" t="str" cm="1">
        <f t="array" ref="J913">_xlfn.XLOOKUP(H913,Table1[[#All],[Order ID]],Table1[[#All],[Brand]],0)</f>
        <v>Sony</v>
      </c>
      <c r="K913" t="str">
        <f>INDEX(Table1[[#All],[Product Name]],MATCH(Sheet2!H913,Table1[[#All],[Order ID]],0))</f>
        <v>Headphones</v>
      </c>
    </row>
    <row r="914" spans="1:11" x14ac:dyDescent="0.25">
      <c r="A914" s="5">
        <v>3040</v>
      </c>
      <c r="B914" t="s">
        <v>26</v>
      </c>
      <c r="F914" t="s">
        <v>27</v>
      </c>
      <c r="H914" t="s">
        <v>2003</v>
      </c>
      <c r="I914" t="str">
        <f>VLOOKUP(H914,Table1[#All],8,FALSE)</f>
        <v>Accessories</v>
      </c>
      <c r="J914" t="str" cm="1">
        <f t="array" ref="J914">_xlfn.XLOOKUP(H914,Table1[[#All],[Order ID]],Table1[[#All],[Brand]],0)</f>
        <v>Logitech</v>
      </c>
      <c r="K914" t="str">
        <f>INDEX(Table1[[#All],[Product Name]],MATCH(Sheet2!H914,Table1[[#All],[Order ID]],0))</f>
        <v>Mouse</v>
      </c>
    </row>
    <row r="915" spans="1:11" x14ac:dyDescent="0.25">
      <c r="A915" s="6">
        <v>110000</v>
      </c>
      <c r="B915" t="s">
        <v>53</v>
      </c>
      <c r="F915" t="s">
        <v>27</v>
      </c>
      <c r="H915" t="s">
        <v>2005</v>
      </c>
      <c r="I915" t="str">
        <f>VLOOKUP(H915,Table1[#All],8,FALSE)</f>
        <v>Computers</v>
      </c>
      <c r="J915" t="str" cm="1">
        <f t="array" ref="J915">_xlfn.XLOOKUP(H915,Table1[[#All],[Order ID]],Table1[[#All],[Brand]],0)</f>
        <v>Dell</v>
      </c>
      <c r="K915" t="str">
        <f>INDEX(Table1[[#All],[Product Name]],MATCH(Sheet2!H915,Table1[[#All],[Order ID]],0))</f>
        <v>Laptop</v>
      </c>
    </row>
    <row r="916" spans="1:11" x14ac:dyDescent="0.25">
      <c r="A916" s="5">
        <v>12825</v>
      </c>
      <c r="B916" t="s">
        <v>39</v>
      </c>
      <c r="F916" t="s">
        <v>40</v>
      </c>
      <c r="H916" t="s">
        <v>2007</v>
      </c>
      <c r="I916" t="str">
        <f>VLOOKUP(H916,Table1[#All],8,FALSE)</f>
        <v>Office</v>
      </c>
      <c r="J916" t="str" cm="1">
        <f t="array" ref="J916">_xlfn.XLOOKUP(H916,Table1[[#All],[Order ID]],Table1[[#All],[Brand]],0)</f>
        <v>Nilkamal</v>
      </c>
      <c r="K916" t="str">
        <f>INDEX(Table1[[#All],[Product Name]],MATCH(Sheet2!H916,Table1[[#All],[Order ID]],0))</f>
        <v>Chair</v>
      </c>
    </row>
    <row r="917" spans="1:11" x14ac:dyDescent="0.25">
      <c r="A917" s="6">
        <v>3400</v>
      </c>
      <c r="B917" t="s">
        <v>26</v>
      </c>
      <c r="F917" t="s">
        <v>27</v>
      </c>
      <c r="H917" t="s">
        <v>2008</v>
      </c>
      <c r="I917" t="str">
        <f>VLOOKUP(H917,Table1[#All],8,FALSE)</f>
        <v>Accessories</v>
      </c>
      <c r="J917" t="str" cm="1">
        <f t="array" ref="J917">_xlfn.XLOOKUP(H917,Table1[[#All],[Order ID]],Table1[[#All],[Brand]],0)</f>
        <v>Logitech</v>
      </c>
      <c r="K917" t="str">
        <f>INDEX(Table1[[#All],[Product Name]],MATCH(Sheet2!H917,Table1[[#All],[Order ID]],0))</f>
        <v>Mouse</v>
      </c>
    </row>
    <row r="918" spans="1:11" x14ac:dyDescent="0.25">
      <c r="A918" s="5">
        <v>4000</v>
      </c>
      <c r="B918" t="s">
        <v>26</v>
      </c>
      <c r="F918" t="s">
        <v>27</v>
      </c>
      <c r="H918" t="s">
        <v>2010</v>
      </c>
      <c r="I918" t="str">
        <f>VLOOKUP(H918,Table1[#All],8,FALSE)</f>
        <v>Accessories</v>
      </c>
      <c r="J918" t="str" cm="1">
        <f t="array" ref="J918">_xlfn.XLOOKUP(H918,Table1[[#All],[Order ID]],Table1[[#All],[Brand]],0)</f>
        <v>Logitech</v>
      </c>
      <c r="K918" t="str">
        <f>INDEX(Table1[[#All],[Product Name]],MATCH(Sheet2!H918,Table1[[#All],[Order ID]],0))</f>
        <v>Mouse</v>
      </c>
    </row>
    <row r="919" spans="1:11" x14ac:dyDescent="0.25">
      <c r="A919" s="6">
        <v>1425</v>
      </c>
      <c r="B919" t="s">
        <v>68</v>
      </c>
      <c r="F919" t="s">
        <v>27</v>
      </c>
      <c r="H919" t="s">
        <v>2011</v>
      </c>
      <c r="I919" t="str">
        <f>VLOOKUP(H919,Table1[#All],8,FALSE)</f>
        <v>Accessories</v>
      </c>
      <c r="J919" t="str" cm="1">
        <f t="array" ref="J919">_xlfn.XLOOKUP(H919,Table1[[#All],[Order ID]],Table1[[#All],[Brand]],0)</f>
        <v>HP</v>
      </c>
      <c r="K919" t="str">
        <f>INDEX(Table1[[#All],[Product Name]],MATCH(Sheet2!H919,Table1[[#All],[Order ID]],0))</f>
        <v>Keyboard</v>
      </c>
    </row>
    <row r="920" spans="1:11" x14ac:dyDescent="0.25">
      <c r="A920" s="5">
        <v>4275</v>
      </c>
      <c r="B920" t="s">
        <v>68</v>
      </c>
      <c r="F920" t="s">
        <v>27</v>
      </c>
      <c r="H920" t="s">
        <v>2014</v>
      </c>
      <c r="I920" t="str">
        <f>VLOOKUP(H920,Table1[#All],8,FALSE)</f>
        <v>Accessories</v>
      </c>
      <c r="J920" t="str" cm="1">
        <f t="array" ref="J920">_xlfn.XLOOKUP(H920,Table1[[#All],[Order ID]],Table1[[#All],[Brand]],0)</f>
        <v>HP</v>
      </c>
      <c r="K920" t="str">
        <f>INDEX(Table1[[#All],[Product Name]],MATCH(Sheet2!H920,Table1[[#All],[Order ID]],0))</f>
        <v>Keyboard</v>
      </c>
    </row>
    <row r="921" spans="1:11" x14ac:dyDescent="0.25">
      <c r="A921" s="6">
        <v>7000</v>
      </c>
      <c r="B921" t="s">
        <v>74</v>
      </c>
      <c r="F921" t="s">
        <v>27</v>
      </c>
      <c r="H921" t="s">
        <v>2016</v>
      </c>
      <c r="I921" t="str">
        <f>VLOOKUP(H921,Table1[#All],8,FALSE)</f>
        <v>Audio</v>
      </c>
      <c r="J921" t="str" cm="1">
        <f t="array" ref="J921">_xlfn.XLOOKUP(H921,Table1[[#All],[Order ID]],Table1[[#All],[Brand]],0)</f>
        <v>Sony</v>
      </c>
      <c r="K921" t="str">
        <f>INDEX(Table1[[#All],[Product Name]],MATCH(Sheet2!H921,Table1[[#All],[Order ID]],0))</f>
        <v>Headphones</v>
      </c>
    </row>
    <row r="922" spans="1:11" x14ac:dyDescent="0.25">
      <c r="A922" s="5">
        <v>2700</v>
      </c>
      <c r="B922" t="s">
        <v>68</v>
      </c>
      <c r="F922" t="s">
        <v>27</v>
      </c>
      <c r="H922" t="s">
        <v>2018</v>
      </c>
      <c r="I922" t="str">
        <f>VLOOKUP(H922,Table1[#All],8,FALSE)</f>
        <v>Accessories</v>
      </c>
      <c r="J922" t="str" cm="1">
        <f t="array" ref="J922">_xlfn.XLOOKUP(H922,Table1[[#All],[Order ID]],Table1[[#All],[Brand]],0)</f>
        <v>HP</v>
      </c>
      <c r="K922" t="str">
        <f>INDEX(Table1[[#All],[Product Name]],MATCH(Sheet2!H922,Table1[[#All],[Order ID]],0))</f>
        <v>Keyboard</v>
      </c>
    </row>
    <row r="923" spans="1:11" x14ac:dyDescent="0.25">
      <c r="A923" s="6">
        <v>1360</v>
      </c>
      <c r="B923" t="s">
        <v>26</v>
      </c>
      <c r="F923" t="s">
        <v>27</v>
      </c>
      <c r="H923" t="s">
        <v>2019</v>
      </c>
      <c r="I923" t="str">
        <f>VLOOKUP(H923,Table1[#All],8,FALSE)</f>
        <v>Accessories</v>
      </c>
      <c r="J923" t="str" cm="1">
        <f t="array" ref="J923">_xlfn.XLOOKUP(H923,Table1[[#All],[Order ID]],Table1[[#All],[Brand]],0)</f>
        <v>Logitech</v>
      </c>
      <c r="K923" t="str">
        <f>INDEX(Table1[[#All],[Product Name]],MATCH(Sheet2!H923,Table1[[#All],[Order ID]],0))</f>
        <v>Mouse</v>
      </c>
    </row>
    <row r="924" spans="1:11" x14ac:dyDescent="0.25">
      <c r="A924" s="5">
        <v>9975</v>
      </c>
      <c r="B924" t="s">
        <v>74</v>
      </c>
      <c r="F924" t="s">
        <v>27</v>
      </c>
      <c r="H924" t="s">
        <v>2020</v>
      </c>
      <c r="I924" t="str">
        <f>VLOOKUP(H924,Table1[#All],8,FALSE)</f>
        <v>Audio</v>
      </c>
      <c r="J924" t="str" cm="1">
        <f t="array" ref="J924">_xlfn.XLOOKUP(H924,Table1[[#All],[Order ID]],Table1[[#All],[Brand]],0)</f>
        <v>Sony</v>
      </c>
      <c r="K924" t="str">
        <f>INDEX(Table1[[#All],[Product Name]],MATCH(Sheet2!H924,Table1[[#All],[Order ID]],0))</f>
        <v>Headphones</v>
      </c>
    </row>
    <row r="925" spans="1:11" x14ac:dyDescent="0.25">
      <c r="A925" s="6">
        <v>11475</v>
      </c>
      <c r="B925" t="s">
        <v>39</v>
      </c>
      <c r="F925" t="s">
        <v>40</v>
      </c>
      <c r="H925" t="s">
        <v>2021</v>
      </c>
      <c r="I925" t="str">
        <f>VLOOKUP(H925,Table1[#All],8,FALSE)</f>
        <v>Office</v>
      </c>
      <c r="J925" t="str" cm="1">
        <f t="array" ref="J925">_xlfn.XLOOKUP(H925,Table1[[#All],[Order ID]],Table1[[#All],[Brand]],0)</f>
        <v>Nilkamal</v>
      </c>
      <c r="K925" t="str">
        <f>INDEX(Table1[[#All],[Product Name]],MATCH(Sheet2!H925,Table1[[#All],[Order ID]],0))</f>
        <v>Chair</v>
      </c>
    </row>
    <row r="926" spans="1:11" x14ac:dyDescent="0.25">
      <c r="A926" s="5">
        <v>9000</v>
      </c>
      <c r="B926" t="s">
        <v>39</v>
      </c>
      <c r="F926" t="s">
        <v>40</v>
      </c>
      <c r="H926" t="s">
        <v>2022</v>
      </c>
      <c r="I926" t="str">
        <f>VLOOKUP(H926,Table1[#All],8,FALSE)</f>
        <v>Office</v>
      </c>
      <c r="J926" t="str" cm="1">
        <f t="array" ref="J926">_xlfn.XLOOKUP(H926,Table1[[#All],[Order ID]],Table1[[#All],[Brand]],0)</f>
        <v>Nilkamal</v>
      </c>
      <c r="K926" t="str">
        <f>INDEX(Table1[[#All],[Product Name]],MATCH(Sheet2!H926,Table1[[#All],[Order ID]],0))</f>
        <v>Chair</v>
      </c>
    </row>
    <row r="927" spans="1:11" x14ac:dyDescent="0.25">
      <c r="A927" s="6">
        <v>156750</v>
      </c>
      <c r="B927" t="s">
        <v>53</v>
      </c>
      <c r="F927" t="s">
        <v>27</v>
      </c>
      <c r="H927" t="s">
        <v>2023</v>
      </c>
      <c r="I927" t="str">
        <f>VLOOKUP(H927,Table1[#All],8,FALSE)</f>
        <v>Computers</v>
      </c>
      <c r="J927" t="str" cm="1">
        <f t="array" ref="J927">_xlfn.XLOOKUP(H927,Table1[[#All],[Order ID]],Table1[[#All],[Brand]],0)</f>
        <v>Dell</v>
      </c>
      <c r="K927" t="str">
        <f>INDEX(Table1[[#All],[Product Name]],MATCH(Sheet2!H927,Table1[[#All],[Order ID]],0))</f>
        <v>Laptop</v>
      </c>
    </row>
    <row r="928" spans="1:11" x14ac:dyDescent="0.25">
      <c r="A928" s="5">
        <v>20250</v>
      </c>
      <c r="B928" t="s">
        <v>39</v>
      </c>
      <c r="F928" t="s">
        <v>40</v>
      </c>
      <c r="H928" t="s">
        <v>2024</v>
      </c>
      <c r="I928" t="str">
        <f>VLOOKUP(H928,Table1[#All],8,FALSE)</f>
        <v>Office</v>
      </c>
      <c r="J928" t="str" cm="1">
        <f t="array" ref="J928">_xlfn.XLOOKUP(H928,Table1[[#All],[Order ID]],Table1[[#All],[Brand]],0)</f>
        <v>Nilkamal</v>
      </c>
      <c r="K928" t="str">
        <f>INDEX(Table1[[#All],[Product Name]],MATCH(Sheet2!H928,Table1[[#All],[Order ID]],0))</f>
        <v>Chair</v>
      </c>
    </row>
    <row r="929" spans="1:11" x14ac:dyDescent="0.25">
      <c r="A929" s="6">
        <v>9975</v>
      </c>
      <c r="B929" t="s">
        <v>74</v>
      </c>
      <c r="F929" t="s">
        <v>27</v>
      </c>
      <c r="H929" t="s">
        <v>2025</v>
      </c>
      <c r="I929" t="str">
        <f>VLOOKUP(H929,Table1[#All],8,FALSE)</f>
        <v>Audio</v>
      </c>
      <c r="J929" t="str" cm="1">
        <f t="array" ref="J929">_xlfn.XLOOKUP(H929,Table1[[#All],[Order ID]],Table1[[#All],[Brand]],0)</f>
        <v>Sony</v>
      </c>
      <c r="K929" t="str">
        <f>INDEX(Table1[[#All],[Product Name]],MATCH(Sheet2!H929,Table1[[#All],[Order ID]],0))</f>
        <v>Headphones</v>
      </c>
    </row>
    <row r="930" spans="1:11" x14ac:dyDescent="0.25">
      <c r="A930" s="5">
        <v>1600</v>
      </c>
      <c r="B930" t="s">
        <v>26</v>
      </c>
      <c r="F930" t="s">
        <v>27</v>
      </c>
      <c r="H930" t="s">
        <v>2026</v>
      </c>
      <c r="I930" t="str">
        <f>VLOOKUP(H930,Table1[#All],8,FALSE)</f>
        <v>Accessories</v>
      </c>
      <c r="J930" t="str" cm="1">
        <f t="array" ref="J930">_xlfn.XLOOKUP(H930,Table1[[#All],[Order ID]],Table1[[#All],[Brand]],0)</f>
        <v>Logitech</v>
      </c>
      <c r="K930" t="str">
        <f>INDEX(Table1[[#All],[Product Name]],MATCH(Sheet2!H930,Table1[[#All],[Order ID]],0))</f>
        <v>Mouse</v>
      </c>
    </row>
    <row r="931" spans="1:11" x14ac:dyDescent="0.25">
      <c r="A931" s="6">
        <v>2400</v>
      </c>
      <c r="B931" t="s">
        <v>26</v>
      </c>
      <c r="F931" t="s">
        <v>27</v>
      </c>
      <c r="H931" t="s">
        <v>2027</v>
      </c>
      <c r="I931" t="str">
        <f>VLOOKUP(H931,Table1[#All],8,FALSE)</f>
        <v>Accessories</v>
      </c>
      <c r="J931" t="str" cm="1">
        <f t="array" ref="J931">_xlfn.XLOOKUP(H931,Table1[[#All],[Order ID]],Table1[[#All],[Brand]],0)</f>
        <v>Logitech</v>
      </c>
      <c r="K931" t="str">
        <f>INDEX(Table1[[#All],[Product Name]],MATCH(Sheet2!H931,Table1[[#All],[Order ID]],0))</f>
        <v>Mouse</v>
      </c>
    </row>
    <row r="932" spans="1:11" x14ac:dyDescent="0.25">
      <c r="A932" s="5">
        <v>800</v>
      </c>
      <c r="B932" t="s">
        <v>26</v>
      </c>
      <c r="F932" t="s">
        <v>27</v>
      </c>
      <c r="H932" t="s">
        <v>2028</v>
      </c>
      <c r="I932" t="str">
        <f>VLOOKUP(H932,Table1[#All],8,FALSE)</f>
        <v>Accessories</v>
      </c>
      <c r="J932" t="str" cm="1">
        <f t="array" ref="J932">_xlfn.XLOOKUP(H932,Table1[[#All],[Order ID]],Table1[[#All],[Brand]],0)</f>
        <v>Logitech</v>
      </c>
      <c r="K932" t="str">
        <f>INDEX(Table1[[#All],[Product Name]],MATCH(Sheet2!H932,Table1[[#All],[Order ID]],0))</f>
        <v>Mouse</v>
      </c>
    </row>
    <row r="933" spans="1:11" x14ac:dyDescent="0.25">
      <c r="A933" s="6">
        <v>1600</v>
      </c>
      <c r="B933" t="s">
        <v>26</v>
      </c>
      <c r="F933" t="s">
        <v>27</v>
      </c>
      <c r="H933" t="s">
        <v>2029</v>
      </c>
      <c r="I933" t="str">
        <f>VLOOKUP(H933,Table1[#All],8,FALSE)</f>
        <v>Accessories</v>
      </c>
      <c r="J933" t="str" cm="1">
        <f t="array" ref="J933">_xlfn.XLOOKUP(H933,Table1[[#All],[Order ID]],Table1[[#All],[Brand]],0)</f>
        <v>Logitech</v>
      </c>
      <c r="K933" t="str">
        <f>INDEX(Table1[[#All],[Product Name]],MATCH(Sheet2!H933,Table1[[#All],[Order ID]],0))</f>
        <v>Mouse</v>
      </c>
    </row>
    <row r="934" spans="1:11" x14ac:dyDescent="0.25">
      <c r="A934" s="5">
        <v>6375</v>
      </c>
      <c r="B934" t="s">
        <v>68</v>
      </c>
      <c r="F934" t="s">
        <v>27</v>
      </c>
      <c r="H934" t="s">
        <v>2030</v>
      </c>
      <c r="I934" t="str">
        <f>VLOOKUP(H934,Table1[#All],8,FALSE)</f>
        <v>Accessories</v>
      </c>
      <c r="J934" t="str" cm="1">
        <f t="array" ref="J934">_xlfn.XLOOKUP(H934,Table1[[#All],[Order ID]],Table1[[#All],[Brand]],0)</f>
        <v>HP</v>
      </c>
      <c r="K934" t="str">
        <f>INDEX(Table1[[#All],[Product Name]],MATCH(Sheet2!H934,Table1[[#All],[Order ID]],0))</f>
        <v>Keyboard</v>
      </c>
    </row>
    <row r="935" spans="1:11" x14ac:dyDescent="0.25">
      <c r="A935" s="6">
        <v>12600</v>
      </c>
      <c r="B935" t="s">
        <v>74</v>
      </c>
      <c r="F935" t="s">
        <v>27</v>
      </c>
      <c r="H935" t="s">
        <v>2032</v>
      </c>
      <c r="I935" t="str">
        <f>VLOOKUP(H935,Table1[#All],8,FALSE)</f>
        <v>Audio</v>
      </c>
      <c r="J935" t="str" cm="1">
        <f t="array" ref="J935">_xlfn.XLOOKUP(H935,Table1[[#All],[Order ID]],Table1[[#All],[Brand]],0)</f>
        <v>Sony</v>
      </c>
      <c r="K935" t="str">
        <f>INDEX(Table1[[#All],[Product Name]],MATCH(Sheet2!H935,Table1[[#All],[Order ID]],0))</f>
        <v>Headphones</v>
      </c>
    </row>
    <row r="936" spans="1:11" x14ac:dyDescent="0.25">
      <c r="A936" s="5">
        <v>6300</v>
      </c>
      <c r="B936" t="s">
        <v>74</v>
      </c>
      <c r="F936" t="s">
        <v>27</v>
      </c>
      <c r="H936" t="s">
        <v>2033</v>
      </c>
      <c r="I936" t="str">
        <f>VLOOKUP(H936,Table1[#All],8,FALSE)</f>
        <v>Audio</v>
      </c>
      <c r="J936" t="str" cm="1">
        <f t="array" ref="J936">_xlfn.XLOOKUP(H936,Table1[[#All],[Order ID]],Table1[[#All],[Brand]],0)</f>
        <v>Sony</v>
      </c>
      <c r="K936" t="str">
        <f>INDEX(Table1[[#All],[Product Name]],MATCH(Sheet2!H936,Table1[[#All],[Order ID]],0))</f>
        <v>Headphones</v>
      </c>
    </row>
    <row r="937" spans="1:11" x14ac:dyDescent="0.25">
      <c r="A937" s="6">
        <v>3000</v>
      </c>
      <c r="B937" t="s">
        <v>68</v>
      </c>
      <c r="F937" t="s">
        <v>27</v>
      </c>
      <c r="H937" t="s">
        <v>2035</v>
      </c>
      <c r="I937" t="str">
        <f>VLOOKUP(H937,Table1[#All],8,FALSE)</f>
        <v>Accessories</v>
      </c>
      <c r="J937" t="str" cm="1">
        <f t="array" ref="J937">_xlfn.XLOOKUP(H937,Table1[[#All],[Order ID]],Table1[[#All],[Brand]],0)</f>
        <v>HP</v>
      </c>
      <c r="K937" t="str">
        <f>INDEX(Table1[[#All],[Product Name]],MATCH(Sheet2!H937,Table1[[#All],[Order ID]],0))</f>
        <v>Keyboard</v>
      </c>
    </row>
    <row r="938" spans="1:11" x14ac:dyDescent="0.25">
      <c r="A938" s="5">
        <v>15300</v>
      </c>
      <c r="B938" t="s">
        <v>39</v>
      </c>
      <c r="F938" t="s">
        <v>40</v>
      </c>
      <c r="H938" t="s">
        <v>2036</v>
      </c>
      <c r="I938" t="str">
        <f>VLOOKUP(H938,Table1[#All],8,FALSE)</f>
        <v>Office</v>
      </c>
      <c r="J938" t="str" cm="1">
        <f t="array" ref="J938">_xlfn.XLOOKUP(H938,Table1[[#All],[Order ID]],Table1[[#All],[Brand]],0)</f>
        <v>Nilkamal</v>
      </c>
      <c r="K938" t="str">
        <f>INDEX(Table1[[#All],[Product Name]],MATCH(Sheet2!H938,Table1[[#All],[Order ID]],0))</f>
        <v>Chair</v>
      </c>
    </row>
    <row r="939" spans="1:11" x14ac:dyDescent="0.25">
      <c r="A939" s="6">
        <v>52250</v>
      </c>
      <c r="B939" t="s">
        <v>53</v>
      </c>
      <c r="F939" t="s">
        <v>27</v>
      </c>
      <c r="H939" t="s">
        <v>2038</v>
      </c>
      <c r="I939" t="str">
        <f>VLOOKUP(H939,Table1[#All],8,FALSE)</f>
        <v>Computers</v>
      </c>
      <c r="J939" t="str" cm="1">
        <f t="array" ref="J939">_xlfn.XLOOKUP(H939,Table1[[#All],[Order ID]],Table1[[#All],[Brand]],0)</f>
        <v>Dell</v>
      </c>
      <c r="K939" t="str">
        <f>INDEX(Table1[[#All],[Product Name]],MATCH(Sheet2!H939,Table1[[#All],[Order ID]],0))</f>
        <v>Laptop</v>
      </c>
    </row>
    <row r="940" spans="1:11" x14ac:dyDescent="0.25">
      <c r="A940" s="5">
        <v>3600</v>
      </c>
      <c r="B940" t="s">
        <v>26</v>
      </c>
      <c r="F940" t="s">
        <v>27</v>
      </c>
      <c r="H940" t="s">
        <v>2039</v>
      </c>
      <c r="I940" t="str">
        <f>VLOOKUP(H940,Table1[#All],8,FALSE)</f>
        <v>Accessories</v>
      </c>
      <c r="J940" t="str" cm="1">
        <f t="array" ref="J940">_xlfn.XLOOKUP(H940,Table1[[#All],[Order ID]],Table1[[#All],[Brand]],0)</f>
        <v>Logitech</v>
      </c>
      <c r="K940" t="str">
        <f>INDEX(Table1[[#All],[Product Name]],MATCH(Sheet2!H940,Table1[[#All],[Order ID]],0))</f>
        <v>Mouse</v>
      </c>
    </row>
    <row r="941" spans="1:11" x14ac:dyDescent="0.25">
      <c r="A941" s="6">
        <v>1520</v>
      </c>
      <c r="B941" t="s">
        <v>26</v>
      </c>
      <c r="F941" t="s">
        <v>27</v>
      </c>
      <c r="H941" t="s">
        <v>2040</v>
      </c>
      <c r="I941" t="str">
        <f>VLOOKUP(H941,Table1[#All],8,FALSE)</f>
        <v>Accessories</v>
      </c>
      <c r="J941" t="str" cm="1">
        <f t="array" ref="J941">_xlfn.XLOOKUP(H941,Table1[[#All],[Order ID]],Table1[[#All],[Brand]],0)</f>
        <v>Logitech</v>
      </c>
      <c r="K941" t="str">
        <f>INDEX(Table1[[#All],[Product Name]],MATCH(Sheet2!H941,Table1[[#All],[Order ID]],0))</f>
        <v>Mouse</v>
      </c>
    </row>
    <row r="942" spans="1:11" x14ac:dyDescent="0.25">
      <c r="A942" s="5">
        <v>93500</v>
      </c>
      <c r="B942" t="s">
        <v>53</v>
      </c>
      <c r="F942" t="s">
        <v>27</v>
      </c>
      <c r="H942" t="s">
        <v>2041</v>
      </c>
      <c r="I942" t="str">
        <f>VLOOKUP(H942,Table1[#All],8,FALSE)</f>
        <v>Computers</v>
      </c>
      <c r="J942" t="str" cm="1">
        <f t="array" ref="J942">_xlfn.XLOOKUP(H942,Table1[[#All],[Order ID]],Table1[[#All],[Brand]],0)</f>
        <v>Dell</v>
      </c>
      <c r="K942" t="str">
        <f>INDEX(Table1[[#All],[Product Name]],MATCH(Sheet2!H942,Table1[[#All],[Order ID]],0))</f>
        <v>Laptop</v>
      </c>
    </row>
    <row r="943" spans="1:11" x14ac:dyDescent="0.25">
      <c r="A943" s="6">
        <v>1600</v>
      </c>
      <c r="B943" t="s">
        <v>26</v>
      </c>
      <c r="F943" t="s">
        <v>27</v>
      </c>
      <c r="H943" t="s">
        <v>2042</v>
      </c>
      <c r="I943" t="str">
        <f>VLOOKUP(H943,Table1[#All],8,FALSE)</f>
        <v>Accessories</v>
      </c>
      <c r="J943" t="str" cm="1">
        <f t="array" ref="J943">_xlfn.XLOOKUP(H943,Table1[[#All],[Order ID]],Table1[[#All],[Brand]],0)</f>
        <v>Logitech</v>
      </c>
      <c r="K943" t="str">
        <f>INDEX(Table1[[#All],[Product Name]],MATCH(Sheet2!H943,Table1[[#All],[Order ID]],0))</f>
        <v>Mouse</v>
      </c>
    </row>
    <row r="944" spans="1:11" x14ac:dyDescent="0.25">
      <c r="A944" s="5">
        <v>10500</v>
      </c>
      <c r="B944" t="s">
        <v>74</v>
      </c>
      <c r="F944" t="s">
        <v>27</v>
      </c>
      <c r="H944" t="s">
        <v>2043</v>
      </c>
      <c r="I944" t="str">
        <f>VLOOKUP(H944,Table1[#All],8,FALSE)</f>
        <v>Audio</v>
      </c>
      <c r="J944" t="str" cm="1">
        <f t="array" ref="J944">_xlfn.XLOOKUP(H944,Table1[[#All],[Order ID]],Table1[[#All],[Brand]],0)</f>
        <v>Sony</v>
      </c>
      <c r="K944" t="str">
        <f>INDEX(Table1[[#All],[Product Name]],MATCH(Sheet2!H944,Table1[[#All],[Order ID]],0))</f>
        <v>Headphones</v>
      </c>
    </row>
    <row r="945" spans="1:11" x14ac:dyDescent="0.25">
      <c r="A945" s="6">
        <v>8925</v>
      </c>
      <c r="B945" t="s">
        <v>74</v>
      </c>
      <c r="F945" t="s">
        <v>27</v>
      </c>
      <c r="H945" t="s">
        <v>2045</v>
      </c>
      <c r="I945" t="str">
        <f>VLOOKUP(H945,Table1[#All],8,FALSE)</f>
        <v>Audio</v>
      </c>
      <c r="J945" t="str" cm="1">
        <f t="array" ref="J945">_xlfn.XLOOKUP(H945,Table1[[#All],[Order ID]],Table1[[#All],[Brand]],0)</f>
        <v>Sony</v>
      </c>
      <c r="K945" t="str">
        <f>INDEX(Table1[[#All],[Product Name]],MATCH(Sheet2!H945,Table1[[#All],[Order ID]],0))</f>
        <v>Headphones</v>
      </c>
    </row>
    <row r="946" spans="1:11" x14ac:dyDescent="0.25">
      <c r="A946" s="5">
        <v>15300</v>
      </c>
      <c r="B946" t="s">
        <v>39</v>
      </c>
      <c r="F946" t="s">
        <v>40</v>
      </c>
      <c r="H946" t="s">
        <v>2046</v>
      </c>
      <c r="I946" t="str">
        <f>VLOOKUP(H946,Table1[#All],8,FALSE)</f>
        <v>Office</v>
      </c>
      <c r="J946" t="str" cm="1">
        <f t="array" ref="J946">_xlfn.XLOOKUP(H946,Table1[[#All],[Order ID]],Table1[[#All],[Brand]],0)</f>
        <v>Nilkamal</v>
      </c>
      <c r="K946" t="str">
        <f>INDEX(Table1[[#All],[Product Name]],MATCH(Sheet2!H946,Table1[[#All],[Order ID]],0))</f>
        <v>Chair</v>
      </c>
    </row>
    <row r="947" spans="1:11" x14ac:dyDescent="0.25">
      <c r="A947" s="6">
        <v>13500</v>
      </c>
      <c r="B947" t="s">
        <v>39</v>
      </c>
      <c r="F947" t="s">
        <v>40</v>
      </c>
      <c r="H947" t="s">
        <v>2047</v>
      </c>
      <c r="I947" t="str">
        <f>VLOOKUP(H947,Table1[#All],8,FALSE)</f>
        <v>Office</v>
      </c>
      <c r="J947" t="str" cm="1">
        <f t="array" ref="J947">_xlfn.XLOOKUP(H947,Table1[[#All],[Order ID]],Table1[[#All],[Brand]],0)</f>
        <v>Nilkamal</v>
      </c>
      <c r="K947" t="str">
        <f>INDEX(Table1[[#All],[Product Name]],MATCH(Sheet2!H947,Table1[[#All],[Order ID]],0))</f>
        <v>Chair</v>
      </c>
    </row>
    <row r="948" spans="1:11" x14ac:dyDescent="0.25">
      <c r="A948" s="5">
        <v>15300</v>
      </c>
      <c r="B948" t="s">
        <v>39</v>
      </c>
      <c r="F948" t="s">
        <v>40</v>
      </c>
      <c r="H948" t="s">
        <v>2049</v>
      </c>
      <c r="I948" t="str">
        <f>VLOOKUP(H948,Table1[#All],8,FALSE)</f>
        <v>Office</v>
      </c>
      <c r="J948" t="str" cm="1">
        <f t="array" ref="J948">_xlfn.XLOOKUP(H948,Table1[[#All],[Order ID]],Table1[[#All],[Brand]],0)</f>
        <v>Nilkamal</v>
      </c>
      <c r="K948" t="str">
        <f>INDEX(Table1[[#All],[Product Name]],MATCH(Sheet2!H948,Table1[[#All],[Order ID]],0))</f>
        <v>Chair</v>
      </c>
    </row>
    <row r="949" spans="1:11" x14ac:dyDescent="0.25">
      <c r="A949" s="6">
        <v>49500</v>
      </c>
      <c r="B949" t="s">
        <v>53</v>
      </c>
      <c r="F949" t="s">
        <v>27</v>
      </c>
      <c r="H949" t="s">
        <v>2052</v>
      </c>
      <c r="I949" t="str">
        <f>VLOOKUP(H949,Table1[#All],8,FALSE)</f>
        <v>Computers</v>
      </c>
      <c r="J949" t="str" cm="1">
        <f t="array" ref="J949">_xlfn.XLOOKUP(H949,Table1[[#All],[Order ID]],Table1[[#All],[Brand]],0)</f>
        <v>Dell</v>
      </c>
      <c r="K949" t="str">
        <f>INDEX(Table1[[#All],[Product Name]],MATCH(Sheet2!H949,Table1[[#All],[Order ID]],0))</f>
        <v>Laptop</v>
      </c>
    </row>
    <row r="950" spans="1:11" x14ac:dyDescent="0.25">
      <c r="A950" s="5">
        <v>7650</v>
      </c>
      <c r="B950" t="s">
        <v>39</v>
      </c>
      <c r="F950" t="s">
        <v>40</v>
      </c>
      <c r="H950" t="s">
        <v>2053</v>
      </c>
      <c r="I950" t="str">
        <f>VLOOKUP(H950,Table1[#All],8,FALSE)</f>
        <v>Office</v>
      </c>
      <c r="J950" t="str" cm="1">
        <f t="array" ref="J950">_xlfn.XLOOKUP(H950,Table1[[#All],[Order ID]],Table1[[#All],[Brand]],0)</f>
        <v>Nilkamal</v>
      </c>
      <c r="K950" t="str">
        <f>INDEX(Table1[[#All],[Product Name]],MATCH(Sheet2!H950,Table1[[#All],[Order ID]],0))</f>
        <v>Chair</v>
      </c>
    </row>
    <row r="951" spans="1:11" x14ac:dyDescent="0.25">
      <c r="A951" s="6">
        <v>6300</v>
      </c>
      <c r="B951" t="s">
        <v>74</v>
      </c>
      <c r="F951" t="s">
        <v>27</v>
      </c>
      <c r="H951" t="s">
        <v>2054</v>
      </c>
      <c r="I951" t="str">
        <f>VLOOKUP(H951,Table1[#All],8,FALSE)</f>
        <v>Audio</v>
      </c>
      <c r="J951" t="str" cm="1">
        <f t="array" ref="J951">_xlfn.XLOOKUP(H951,Table1[[#All],[Order ID]],Table1[[#All],[Brand]],0)</f>
        <v>Sony</v>
      </c>
      <c r="K951" t="str">
        <f>INDEX(Table1[[#All],[Product Name]],MATCH(Sheet2!H951,Table1[[#All],[Order ID]],0))</f>
        <v>Headphones</v>
      </c>
    </row>
    <row r="952" spans="1:11" x14ac:dyDescent="0.25">
      <c r="A952" s="5">
        <v>14875</v>
      </c>
      <c r="B952" t="s">
        <v>74</v>
      </c>
      <c r="F952" t="s">
        <v>27</v>
      </c>
      <c r="H952" t="s">
        <v>2056</v>
      </c>
      <c r="I952" t="str">
        <f>VLOOKUP(H952,Table1[#All],8,FALSE)</f>
        <v>Audio</v>
      </c>
      <c r="J952" t="str" cm="1">
        <f t="array" ref="J952">_xlfn.XLOOKUP(H952,Table1[[#All],[Order ID]],Table1[[#All],[Brand]],0)</f>
        <v>Sony</v>
      </c>
      <c r="K952" t="str">
        <f>INDEX(Table1[[#All],[Product Name]],MATCH(Sheet2!H952,Table1[[#All],[Order ID]],0))</f>
        <v>Headphones</v>
      </c>
    </row>
    <row r="953" spans="1:11" x14ac:dyDescent="0.25">
      <c r="A953" s="6">
        <v>4500</v>
      </c>
      <c r="B953" t="s">
        <v>39</v>
      </c>
      <c r="F953" t="s">
        <v>40</v>
      </c>
      <c r="H953" t="s">
        <v>2057</v>
      </c>
      <c r="I953" t="str">
        <f>VLOOKUP(H953,Table1[#All],8,FALSE)</f>
        <v>Office</v>
      </c>
      <c r="J953" t="str" cm="1">
        <f t="array" ref="J953">_xlfn.XLOOKUP(H953,Table1[[#All],[Order ID]],Table1[[#All],[Brand]],0)</f>
        <v>Nilkamal</v>
      </c>
      <c r="K953" t="str">
        <f>INDEX(Table1[[#All],[Product Name]],MATCH(Sheet2!H953,Table1[[#All],[Order ID]],0))</f>
        <v>Chair</v>
      </c>
    </row>
    <row r="954" spans="1:11" x14ac:dyDescent="0.25">
      <c r="A954" s="5">
        <v>3200</v>
      </c>
      <c r="B954" t="s">
        <v>26</v>
      </c>
      <c r="F954" t="s">
        <v>27</v>
      </c>
      <c r="H954" t="s">
        <v>2059</v>
      </c>
      <c r="I954" t="str">
        <f>VLOOKUP(H954,Table1[#All],8,FALSE)</f>
        <v>Accessories</v>
      </c>
      <c r="J954" t="str" cm="1">
        <f t="array" ref="J954">_xlfn.XLOOKUP(H954,Table1[[#All],[Order ID]],Table1[[#All],[Brand]],0)</f>
        <v>Logitech</v>
      </c>
      <c r="K954" t="str">
        <f>INDEX(Table1[[#All],[Product Name]],MATCH(Sheet2!H954,Table1[[#All],[Order ID]],0))</f>
        <v>Mouse</v>
      </c>
    </row>
    <row r="955" spans="1:11" x14ac:dyDescent="0.25">
      <c r="A955" s="6">
        <v>1440</v>
      </c>
      <c r="B955" t="s">
        <v>26</v>
      </c>
      <c r="F955" t="s">
        <v>27</v>
      </c>
      <c r="H955" t="s">
        <v>2061</v>
      </c>
      <c r="I955" t="str">
        <f>VLOOKUP(H955,Table1[#All],8,FALSE)</f>
        <v>Accessories</v>
      </c>
      <c r="J955" t="str" cm="1">
        <f t="array" ref="J955">_xlfn.XLOOKUP(H955,Table1[[#All],[Order ID]],Table1[[#All],[Brand]],0)</f>
        <v>Logitech</v>
      </c>
      <c r="K955" t="str">
        <f>INDEX(Table1[[#All],[Product Name]],MATCH(Sheet2!H955,Table1[[#All],[Order ID]],0))</f>
        <v>Mouse</v>
      </c>
    </row>
    <row r="956" spans="1:11" x14ac:dyDescent="0.25">
      <c r="A956" s="5">
        <v>15300</v>
      </c>
      <c r="B956" t="s">
        <v>39</v>
      </c>
      <c r="F956" t="s">
        <v>40</v>
      </c>
      <c r="H956" t="s">
        <v>2062</v>
      </c>
      <c r="I956" t="str">
        <f>VLOOKUP(H956,Table1[#All],8,FALSE)</f>
        <v>Office</v>
      </c>
      <c r="J956" t="str" cm="1">
        <f t="array" ref="J956">_xlfn.XLOOKUP(H956,Table1[[#All],[Order ID]],Table1[[#All],[Brand]],0)</f>
        <v>Nilkamal</v>
      </c>
      <c r="K956" t="str">
        <f>INDEX(Table1[[#All],[Product Name]],MATCH(Sheet2!H956,Table1[[#All],[Order ID]],0))</f>
        <v>Chair</v>
      </c>
    </row>
    <row r="957" spans="1:11" x14ac:dyDescent="0.25">
      <c r="A957" s="6">
        <v>3600</v>
      </c>
      <c r="B957" t="s">
        <v>26</v>
      </c>
      <c r="F957" t="s">
        <v>27</v>
      </c>
      <c r="H957" t="s">
        <v>2064</v>
      </c>
      <c r="I957" t="str">
        <f>VLOOKUP(H957,Table1[#All],8,FALSE)</f>
        <v>Accessories</v>
      </c>
      <c r="J957" t="str" cm="1">
        <f t="array" ref="J957">_xlfn.XLOOKUP(H957,Table1[[#All],[Order ID]],Table1[[#All],[Brand]],0)</f>
        <v>Logitech</v>
      </c>
      <c r="K957" t="str">
        <f>INDEX(Table1[[#All],[Product Name]],MATCH(Sheet2!H957,Table1[[#All],[Order ID]],0))</f>
        <v>Mouse</v>
      </c>
    </row>
    <row r="958" spans="1:11" x14ac:dyDescent="0.25">
      <c r="A958" s="5">
        <v>261250</v>
      </c>
      <c r="B958" t="s">
        <v>53</v>
      </c>
      <c r="F958" t="s">
        <v>27</v>
      </c>
      <c r="H958" t="s">
        <v>2065</v>
      </c>
      <c r="I958" t="str">
        <f>VLOOKUP(H958,Table1[#All],8,FALSE)</f>
        <v>Computers</v>
      </c>
      <c r="J958" t="str" cm="1">
        <f t="array" ref="J958">_xlfn.XLOOKUP(H958,Table1[[#All],[Order ID]],Table1[[#All],[Brand]],0)</f>
        <v>Dell</v>
      </c>
      <c r="K958" t="str">
        <f>INDEX(Table1[[#All],[Product Name]],MATCH(Sheet2!H958,Table1[[#All],[Order ID]],0))</f>
        <v>Laptop</v>
      </c>
    </row>
    <row r="959" spans="1:11" x14ac:dyDescent="0.25">
      <c r="A959" s="6">
        <v>148500</v>
      </c>
      <c r="B959" t="s">
        <v>53</v>
      </c>
      <c r="F959" t="s">
        <v>27</v>
      </c>
      <c r="H959" t="s">
        <v>2066</v>
      </c>
      <c r="I959" t="str">
        <f>VLOOKUP(H959,Table1[#All],8,FALSE)</f>
        <v>Computers</v>
      </c>
      <c r="J959" t="str" cm="1">
        <f t="array" ref="J959">_xlfn.XLOOKUP(H959,Table1[[#All],[Order ID]],Table1[[#All],[Brand]],0)</f>
        <v>Dell</v>
      </c>
      <c r="K959" t="str">
        <f>INDEX(Table1[[#All],[Product Name]],MATCH(Sheet2!H959,Table1[[#All],[Order ID]],0))</f>
        <v>Laptop</v>
      </c>
    </row>
    <row r="960" spans="1:11" x14ac:dyDescent="0.25">
      <c r="A960" s="5">
        <v>198000</v>
      </c>
      <c r="B960" t="s">
        <v>53</v>
      </c>
      <c r="F960" t="s">
        <v>27</v>
      </c>
      <c r="H960" t="s">
        <v>2067</v>
      </c>
      <c r="I960" t="str">
        <f>VLOOKUP(H960,Table1[#All],8,FALSE)</f>
        <v>Computers</v>
      </c>
      <c r="J960" t="str" cm="1">
        <f t="array" ref="J960">_xlfn.XLOOKUP(H960,Table1[[#All],[Order ID]],Table1[[#All],[Brand]],0)</f>
        <v>Dell</v>
      </c>
      <c r="K960" t="str">
        <f>INDEX(Table1[[#All],[Product Name]],MATCH(Sheet2!H960,Table1[[#All],[Order ID]],0))</f>
        <v>Laptop</v>
      </c>
    </row>
    <row r="961" spans="1:11" x14ac:dyDescent="0.25">
      <c r="A961" s="6">
        <v>2700</v>
      </c>
      <c r="B961" t="s">
        <v>68</v>
      </c>
      <c r="F961" t="s">
        <v>27</v>
      </c>
      <c r="H961" t="s">
        <v>2069</v>
      </c>
      <c r="I961" t="str">
        <f>VLOOKUP(H961,Table1[#All],8,FALSE)</f>
        <v>Accessories</v>
      </c>
      <c r="J961" t="str" cm="1">
        <f t="array" ref="J961">_xlfn.XLOOKUP(H961,Table1[[#All],[Order ID]],Table1[[#All],[Brand]],0)</f>
        <v>HP</v>
      </c>
      <c r="K961" t="str">
        <f>INDEX(Table1[[#All],[Product Name]],MATCH(Sheet2!H961,Table1[[#All],[Order ID]],0))</f>
        <v>Keyboard</v>
      </c>
    </row>
    <row r="962" spans="1:11" x14ac:dyDescent="0.25">
      <c r="A962" s="5">
        <v>760</v>
      </c>
      <c r="B962" t="s">
        <v>26</v>
      </c>
      <c r="F962" t="s">
        <v>27</v>
      </c>
      <c r="H962" t="s">
        <v>2070</v>
      </c>
      <c r="I962" t="str">
        <f>VLOOKUP(H962,Table1[#All],8,FALSE)</f>
        <v>Accessories</v>
      </c>
      <c r="J962" t="str" cm="1">
        <f t="array" ref="J962">_xlfn.XLOOKUP(H962,Table1[[#All],[Order ID]],Table1[[#All],[Brand]],0)</f>
        <v>Logitech</v>
      </c>
      <c r="K962" t="str">
        <f>INDEX(Table1[[#All],[Product Name]],MATCH(Sheet2!H962,Table1[[#All],[Order ID]],0))</f>
        <v>Mouse</v>
      </c>
    </row>
    <row r="963" spans="1:11" x14ac:dyDescent="0.25">
      <c r="A963" s="6">
        <v>110000</v>
      </c>
      <c r="B963" t="s">
        <v>53</v>
      </c>
      <c r="F963" t="s">
        <v>27</v>
      </c>
      <c r="H963" t="s">
        <v>2071</v>
      </c>
      <c r="I963" t="str">
        <f>VLOOKUP(H963,Table1[#All],8,FALSE)</f>
        <v>Computers</v>
      </c>
      <c r="J963" t="str" cm="1">
        <f t="array" ref="J963">_xlfn.XLOOKUP(H963,Table1[[#All],[Order ID]],Table1[[#All],[Brand]],0)</f>
        <v>Dell</v>
      </c>
      <c r="K963" t="str">
        <f>INDEX(Table1[[#All],[Product Name]],MATCH(Sheet2!H963,Table1[[#All],[Order ID]],0))</f>
        <v>Laptop</v>
      </c>
    </row>
    <row r="964" spans="1:11" x14ac:dyDescent="0.25">
      <c r="A964" s="5">
        <v>1425</v>
      </c>
      <c r="B964" t="s">
        <v>68</v>
      </c>
      <c r="F964" t="s">
        <v>27</v>
      </c>
      <c r="H964" t="s">
        <v>2073</v>
      </c>
      <c r="I964" t="str">
        <f>VLOOKUP(H964,Table1[#All],8,FALSE)</f>
        <v>Accessories</v>
      </c>
      <c r="J964" t="str" cm="1">
        <f t="array" ref="J964">_xlfn.XLOOKUP(H964,Table1[[#All],[Order ID]],Table1[[#All],[Brand]],0)</f>
        <v>HP</v>
      </c>
      <c r="K964" t="str">
        <f>INDEX(Table1[[#All],[Product Name]],MATCH(Sheet2!H964,Table1[[#All],[Order ID]],0))</f>
        <v>Keyboard</v>
      </c>
    </row>
    <row r="965" spans="1:11" x14ac:dyDescent="0.25">
      <c r="A965" s="6">
        <v>5950</v>
      </c>
      <c r="B965" t="s">
        <v>74</v>
      </c>
      <c r="F965" t="s">
        <v>27</v>
      </c>
      <c r="H965" t="s">
        <v>2075</v>
      </c>
      <c r="I965" t="str">
        <f>VLOOKUP(H965,Table1[#All],8,FALSE)</f>
        <v>Audio</v>
      </c>
      <c r="J965" t="str" cm="1">
        <f t="array" ref="J965">_xlfn.XLOOKUP(H965,Table1[[#All],[Order ID]],Table1[[#All],[Brand]],0)</f>
        <v>Sony</v>
      </c>
      <c r="K965" t="str">
        <f>INDEX(Table1[[#All],[Product Name]],MATCH(Sheet2!H965,Table1[[#All],[Order ID]],0))</f>
        <v>Headphones</v>
      </c>
    </row>
    <row r="966" spans="1:11" x14ac:dyDescent="0.25">
      <c r="A966" s="5">
        <v>11475</v>
      </c>
      <c r="B966" t="s">
        <v>39</v>
      </c>
      <c r="F966" t="s">
        <v>40</v>
      </c>
      <c r="H966" t="s">
        <v>2076</v>
      </c>
      <c r="I966" t="str">
        <f>VLOOKUP(H966,Table1[#All],8,FALSE)</f>
        <v>Office</v>
      </c>
      <c r="J966" t="str" cm="1">
        <f t="array" ref="J966">_xlfn.XLOOKUP(H966,Table1[[#All],[Order ID]],Table1[[#All],[Brand]],0)</f>
        <v>Nilkamal</v>
      </c>
      <c r="K966" t="str">
        <f>INDEX(Table1[[#All],[Product Name]],MATCH(Sheet2!H966,Table1[[#All],[Order ID]],0))</f>
        <v>Chair</v>
      </c>
    </row>
    <row r="967" spans="1:11" x14ac:dyDescent="0.25">
      <c r="A967" s="6">
        <v>15300</v>
      </c>
      <c r="B967" t="s">
        <v>39</v>
      </c>
      <c r="F967" t="s">
        <v>40</v>
      </c>
      <c r="H967" t="s">
        <v>2078</v>
      </c>
      <c r="I967" t="str">
        <f>VLOOKUP(H967,Table1[#All],8,FALSE)</f>
        <v>Office</v>
      </c>
      <c r="J967" t="str" cm="1">
        <f t="array" ref="J967">_xlfn.XLOOKUP(H967,Table1[[#All],[Order ID]],Table1[[#All],[Brand]],0)</f>
        <v>Nilkamal</v>
      </c>
      <c r="K967" t="str">
        <f>INDEX(Table1[[#All],[Product Name]],MATCH(Sheet2!H967,Table1[[#All],[Order ID]],0))</f>
        <v>Chair</v>
      </c>
    </row>
    <row r="968" spans="1:11" x14ac:dyDescent="0.25">
      <c r="A968" s="5">
        <v>13500</v>
      </c>
      <c r="B968" t="s">
        <v>39</v>
      </c>
      <c r="F968" t="s">
        <v>40</v>
      </c>
      <c r="H968" t="s">
        <v>2079</v>
      </c>
      <c r="I968" t="str">
        <f>VLOOKUP(H968,Table1[#All],8,FALSE)</f>
        <v>Office</v>
      </c>
      <c r="J968" t="str" cm="1">
        <f t="array" ref="J968">_xlfn.XLOOKUP(H968,Table1[[#All],[Order ID]],Table1[[#All],[Brand]],0)</f>
        <v>Nilkamal</v>
      </c>
      <c r="K968" t="str">
        <f>INDEX(Table1[[#All],[Product Name]],MATCH(Sheet2!H968,Table1[[#All],[Order ID]],0))</f>
        <v>Chair</v>
      </c>
    </row>
    <row r="969" spans="1:11" x14ac:dyDescent="0.25">
      <c r="A969" s="6">
        <v>187000</v>
      </c>
      <c r="B969" t="s">
        <v>53</v>
      </c>
      <c r="F969" t="s">
        <v>27</v>
      </c>
      <c r="H969" t="s">
        <v>2080</v>
      </c>
      <c r="I969" t="str">
        <f>VLOOKUP(H969,Table1[#All],8,FALSE)</f>
        <v>Computers</v>
      </c>
      <c r="J969" t="str" cm="1">
        <f t="array" ref="J969">_xlfn.XLOOKUP(H969,Table1[[#All],[Order ID]],Table1[[#All],[Brand]],0)</f>
        <v>Dell</v>
      </c>
      <c r="K969" t="str">
        <f>INDEX(Table1[[#All],[Product Name]],MATCH(Sheet2!H969,Table1[[#All],[Order ID]],0))</f>
        <v>Laptop</v>
      </c>
    </row>
    <row r="970" spans="1:11" x14ac:dyDescent="0.25">
      <c r="A970" s="5">
        <v>2880</v>
      </c>
      <c r="B970" t="s">
        <v>26</v>
      </c>
      <c r="F970" t="s">
        <v>27</v>
      </c>
      <c r="H970" t="s">
        <v>2082</v>
      </c>
      <c r="I970" t="str">
        <f>VLOOKUP(H970,Table1[#All],8,FALSE)</f>
        <v>Accessories</v>
      </c>
      <c r="J970" t="str" cm="1">
        <f t="array" ref="J970">_xlfn.XLOOKUP(H970,Table1[[#All],[Order ID]],Table1[[#All],[Brand]],0)</f>
        <v>Logitech</v>
      </c>
      <c r="K970" t="str">
        <f>INDEX(Table1[[#All],[Product Name]],MATCH(Sheet2!H970,Table1[[#All],[Order ID]],0))</f>
        <v>Mouse</v>
      </c>
    </row>
    <row r="971" spans="1:11" x14ac:dyDescent="0.25">
      <c r="A971" s="6">
        <v>140250</v>
      </c>
      <c r="B971" t="s">
        <v>53</v>
      </c>
      <c r="F971" t="s">
        <v>27</v>
      </c>
      <c r="H971" t="s">
        <v>2083</v>
      </c>
      <c r="I971" t="str">
        <f>VLOOKUP(H971,Table1[#All],8,FALSE)</f>
        <v>Computers</v>
      </c>
      <c r="J971" t="str" cm="1">
        <f t="array" ref="J971">_xlfn.XLOOKUP(H971,Table1[[#All],[Order ID]],Table1[[#All],[Brand]],0)</f>
        <v>Dell</v>
      </c>
      <c r="K971" t="str">
        <f>INDEX(Table1[[#All],[Product Name]],MATCH(Sheet2!H971,Table1[[#All],[Order ID]],0))</f>
        <v>Laptop</v>
      </c>
    </row>
    <row r="972" spans="1:11" x14ac:dyDescent="0.25">
      <c r="A972" s="5">
        <v>148500</v>
      </c>
      <c r="B972" t="s">
        <v>53</v>
      </c>
      <c r="F972" t="s">
        <v>27</v>
      </c>
      <c r="H972" t="s">
        <v>2084</v>
      </c>
      <c r="I972" t="str">
        <f>VLOOKUP(H972,Table1[#All],8,FALSE)</f>
        <v>Computers</v>
      </c>
      <c r="J972" t="str" cm="1">
        <f t="array" ref="J972">_xlfn.XLOOKUP(H972,Table1[[#All],[Order ID]],Table1[[#All],[Brand]],0)</f>
        <v>Dell</v>
      </c>
      <c r="K972" t="str">
        <f>INDEX(Table1[[#All],[Product Name]],MATCH(Sheet2!H972,Table1[[#All],[Order ID]],0))</f>
        <v>Laptop</v>
      </c>
    </row>
    <row r="973" spans="1:11" x14ac:dyDescent="0.25">
      <c r="A973" s="6">
        <v>220000</v>
      </c>
      <c r="B973" t="s">
        <v>53</v>
      </c>
      <c r="F973" t="s">
        <v>27</v>
      </c>
      <c r="H973" t="s">
        <v>2085</v>
      </c>
      <c r="I973" t="str">
        <f>VLOOKUP(H973,Table1[#All],8,FALSE)</f>
        <v>Computers</v>
      </c>
      <c r="J973" t="str" cm="1">
        <f t="array" ref="J973">_xlfn.XLOOKUP(H973,Table1[[#All],[Order ID]],Table1[[#All],[Brand]],0)</f>
        <v>Dell</v>
      </c>
      <c r="K973" t="str">
        <f>INDEX(Table1[[#All],[Product Name]],MATCH(Sheet2!H973,Table1[[#All],[Order ID]],0))</f>
        <v>Laptop</v>
      </c>
    </row>
    <row r="974" spans="1:11" x14ac:dyDescent="0.25">
      <c r="A974" s="5">
        <v>187000</v>
      </c>
      <c r="B974" t="s">
        <v>53</v>
      </c>
      <c r="F974" t="s">
        <v>27</v>
      </c>
      <c r="H974" t="s">
        <v>2086</v>
      </c>
      <c r="I974" t="str">
        <f>VLOOKUP(H974,Table1[#All],8,FALSE)</f>
        <v>Computers</v>
      </c>
      <c r="J974" t="str" cm="1">
        <f t="array" ref="J974">_xlfn.XLOOKUP(H974,Table1[[#All],[Order ID]],Table1[[#All],[Brand]],0)</f>
        <v>Dell</v>
      </c>
      <c r="K974" t="str">
        <f>INDEX(Table1[[#All],[Product Name]],MATCH(Sheet2!H974,Table1[[#All],[Order ID]],0))</f>
        <v>Laptop</v>
      </c>
    </row>
    <row r="975" spans="1:11" x14ac:dyDescent="0.25">
      <c r="A975" s="6">
        <v>99000</v>
      </c>
      <c r="B975" t="s">
        <v>53</v>
      </c>
      <c r="F975" t="s">
        <v>27</v>
      </c>
      <c r="H975" t="s">
        <v>2088</v>
      </c>
      <c r="I975" t="str">
        <f>VLOOKUP(H975,Table1[#All],8,FALSE)</f>
        <v>Computers</v>
      </c>
      <c r="J975" t="str" cm="1">
        <f t="array" ref="J975">_xlfn.XLOOKUP(H975,Table1[[#All],[Order ID]],Table1[[#All],[Brand]],0)</f>
        <v>Dell</v>
      </c>
      <c r="K975" t="str">
        <f>INDEX(Table1[[#All],[Product Name]],MATCH(Sheet2!H975,Table1[[#All],[Order ID]],0))</f>
        <v>Laptop</v>
      </c>
    </row>
    <row r="976" spans="1:11" x14ac:dyDescent="0.25">
      <c r="A976" s="5">
        <v>14000</v>
      </c>
      <c r="B976" t="s">
        <v>74</v>
      </c>
      <c r="F976" t="s">
        <v>27</v>
      </c>
      <c r="H976" t="s">
        <v>2090</v>
      </c>
      <c r="I976" t="str">
        <f>VLOOKUP(H976,Table1[#All],8,FALSE)</f>
        <v>Audio</v>
      </c>
      <c r="J976" t="str" cm="1">
        <f t="array" ref="J976">_xlfn.XLOOKUP(H976,Table1[[#All],[Order ID]],Table1[[#All],[Brand]],0)</f>
        <v>Sony</v>
      </c>
      <c r="K976" t="str">
        <f>INDEX(Table1[[#All],[Product Name]],MATCH(Sheet2!H976,Table1[[#All],[Order ID]],0))</f>
        <v>Headphones</v>
      </c>
    </row>
    <row r="977" spans="1:11" x14ac:dyDescent="0.25">
      <c r="A977" s="6">
        <v>6750</v>
      </c>
      <c r="B977" t="s">
        <v>68</v>
      </c>
      <c r="F977" t="s">
        <v>27</v>
      </c>
      <c r="H977" t="s">
        <v>2092</v>
      </c>
      <c r="I977" t="str">
        <f>VLOOKUP(H977,Table1[#All],8,FALSE)</f>
        <v>Accessories</v>
      </c>
      <c r="J977" t="str" cm="1">
        <f t="array" ref="J977">_xlfn.XLOOKUP(H977,Table1[[#All],[Order ID]],Table1[[#All],[Brand]],0)</f>
        <v>HP</v>
      </c>
      <c r="K977" t="str">
        <f>INDEX(Table1[[#All],[Product Name]],MATCH(Sheet2!H977,Table1[[#All],[Order ID]],0))</f>
        <v>Keyboard</v>
      </c>
    </row>
    <row r="978" spans="1:11" x14ac:dyDescent="0.25">
      <c r="A978" s="5">
        <v>2550</v>
      </c>
      <c r="B978" t="s">
        <v>68</v>
      </c>
      <c r="F978" t="s">
        <v>27</v>
      </c>
      <c r="H978" t="s">
        <v>2093</v>
      </c>
      <c r="I978" t="str">
        <f>VLOOKUP(H978,Table1[#All],8,FALSE)</f>
        <v>Accessories</v>
      </c>
      <c r="J978" t="str" cm="1">
        <f t="array" ref="J978">_xlfn.XLOOKUP(H978,Table1[[#All],[Order ID]],Table1[[#All],[Brand]],0)</f>
        <v>HP</v>
      </c>
      <c r="K978" t="str">
        <f>INDEX(Table1[[#All],[Product Name]],MATCH(Sheet2!H978,Table1[[#All],[Order ID]],0))</f>
        <v>Keyboard</v>
      </c>
    </row>
    <row r="979" spans="1:11" x14ac:dyDescent="0.25">
      <c r="A979" s="6">
        <v>760</v>
      </c>
      <c r="B979" t="s">
        <v>26</v>
      </c>
      <c r="F979" t="s">
        <v>27</v>
      </c>
      <c r="H979" t="s">
        <v>2095</v>
      </c>
      <c r="I979" t="str">
        <f>VLOOKUP(H979,Table1[#All],8,FALSE)</f>
        <v>Accessories</v>
      </c>
      <c r="J979" t="str" cm="1">
        <f t="array" ref="J979">_xlfn.XLOOKUP(H979,Table1[[#All],[Order ID]],Table1[[#All],[Brand]],0)</f>
        <v>Logitech</v>
      </c>
      <c r="K979" t="str">
        <f>INDEX(Table1[[#All],[Product Name]],MATCH(Sheet2!H979,Table1[[#All],[Order ID]],0))</f>
        <v>Mouse</v>
      </c>
    </row>
    <row r="980" spans="1:11" x14ac:dyDescent="0.25">
      <c r="A980" s="5">
        <v>7650</v>
      </c>
      <c r="B980" t="s">
        <v>39</v>
      </c>
      <c r="F980" t="s">
        <v>40</v>
      </c>
      <c r="H980" t="s">
        <v>2096</v>
      </c>
      <c r="I980" t="str">
        <f>VLOOKUP(H980,Table1[#All],8,FALSE)</f>
        <v>Office</v>
      </c>
      <c r="J980" t="str" cm="1">
        <f t="array" ref="J980">_xlfn.XLOOKUP(H980,Table1[[#All],[Order ID]],Table1[[#All],[Brand]],0)</f>
        <v>Nilkamal</v>
      </c>
      <c r="K980" t="str">
        <f>INDEX(Table1[[#All],[Product Name]],MATCH(Sheet2!H980,Table1[[#All],[Order ID]],0))</f>
        <v>Chair</v>
      </c>
    </row>
    <row r="981" spans="1:11" x14ac:dyDescent="0.25">
      <c r="A981" s="6">
        <v>104500</v>
      </c>
      <c r="B981" t="s">
        <v>53</v>
      </c>
      <c r="F981" t="s">
        <v>27</v>
      </c>
      <c r="H981" t="s">
        <v>2097</v>
      </c>
      <c r="I981" t="str">
        <f>VLOOKUP(H981,Table1[#All],8,FALSE)</f>
        <v>Computers</v>
      </c>
      <c r="J981" t="str" cm="1">
        <f t="array" ref="J981">_xlfn.XLOOKUP(H981,Table1[[#All],[Order ID]],Table1[[#All],[Brand]],0)</f>
        <v>Dell</v>
      </c>
      <c r="K981" t="str">
        <f>INDEX(Table1[[#All],[Product Name]],MATCH(Sheet2!H981,Table1[[#All],[Order ID]],0))</f>
        <v>Laptop</v>
      </c>
    </row>
    <row r="982" spans="1:11" x14ac:dyDescent="0.25">
      <c r="A982" s="5">
        <v>9000</v>
      </c>
      <c r="B982" t="s">
        <v>39</v>
      </c>
      <c r="F982" t="s">
        <v>40</v>
      </c>
      <c r="H982" t="s">
        <v>2099</v>
      </c>
      <c r="I982" t="str">
        <f>VLOOKUP(H982,Table1[#All],8,FALSE)</f>
        <v>Office</v>
      </c>
      <c r="J982" t="str" cm="1">
        <f t="array" ref="J982">_xlfn.XLOOKUP(H982,Table1[[#All],[Order ID]],Table1[[#All],[Brand]],0)</f>
        <v>Nilkamal</v>
      </c>
      <c r="K982" t="str">
        <f>INDEX(Table1[[#All],[Product Name]],MATCH(Sheet2!H982,Table1[[#All],[Order ID]],0))</f>
        <v>Chair</v>
      </c>
    </row>
    <row r="983" spans="1:11" x14ac:dyDescent="0.25">
      <c r="A983" s="6">
        <v>3825</v>
      </c>
      <c r="B983" t="s">
        <v>68</v>
      </c>
      <c r="F983" t="s">
        <v>27</v>
      </c>
      <c r="H983" t="s">
        <v>2100</v>
      </c>
      <c r="I983" t="str">
        <f>VLOOKUP(H983,Table1[#All],8,FALSE)</f>
        <v>Accessories</v>
      </c>
      <c r="J983" t="str" cm="1">
        <f t="array" ref="J983">_xlfn.XLOOKUP(H983,Table1[[#All],[Order ID]],Table1[[#All],[Brand]],0)</f>
        <v>HP</v>
      </c>
      <c r="K983" t="str">
        <f>INDEX(Table1[[#All],[Product Name]],MATCH(Sheet2!H983,Table1[[#All],[Order ID]],0))</f>
        <v>Keyboard</v>
      </c>
    </row>
    <row r="984" spans="1:11" x14ac:dyDescent="0.25">
      <c r="A984" s="5">
        <v>4050</v>
      </c>
      <c r="B984" t="s">
        <v>68</v>
      </c>
      <c r="F984" t="s">
        <v>27</v>
      </c>
      <c r="H984" t="s">
        <v>2103</v>
      </c>
      <c r="I984" t="str">
        <f>VLOOKUP(H984,Table1[#All],8,FALSE)</f>
        <v>Accessories</v>
      </c>
      <c r="J984" t="str" cm="1">
        <f t="array" ref="J984">_xlfn.XLOOKUP(H984,Table1[[#All],[Order ID]],Table1[[#All],[Brand]],0)</f>
        <v>HP</v>
      </c>
      <c r="K984" t="str">
        <f>INDEX(Table1[[#All],[Product Name]],MATCH(Sheet2!H984,Table1[[#All],[Order ID]],0))</f>
        <v>Keyboard</v>
      </c>
    </row>
    <row r="985" spans="1:11" x14ac:dyDescent="0.25">
      <c r="A985" s="6">
        <v>55000</v>
      </c>
      <c r="B985" t="s">
        <v>53</v>
      </c>
      <c r="F985" t="s">
        <v>27</v>
      </c>
      <c r="H985" t="s">
        <v>2104</v>
      </c>
      <c r="I985" t="str">
        <f>VLOOKUP(H985,Table1[#All],8,FALSE)</f>
        <v>Computers</v>
      </c>
      <c r="J985" t="str" cm="1">
        <f t="array" ref="J985">_xlfn.XLOOKUP(H985,Table1[[#All],[Order ID]],Table1[[#All],[Brand]],0)</f>
        <v>Dell</v>
      </c>
      <c r="K985" t="str">
        <f>INDEX(Table1[[#All],[Product Name]],MATCH(Sheet2!H985,Table1[[#All],[Order ID]],0))</f>
        <v>Laptop</v>
      </c>
    </row>
    <row r="986" spans="1:11" x14ac:dyDescent="0.25">
      <c r="A986" s="5">
        <v>3500</v>
      </c>
      <c r="B986" t="s">
        <v>74</v>
      </c>
      <c r="F986" t="s">
        <v>27</v>
      </c>
      <c r="H986" t="s">
        <v>2106</v>
      </c>
      <c r="I986" t="str">
        <f>VLOOKUP(H986,Table1[#All],8,FALSE)</f>
        <v>Audio</v>
      </c>
      <c r="J986" t="str" cm="1">
        <f t="array" ref="J986">_xlfn.XLOOKUP(H986,Table1[[#All],[Order ID]],Table1[[#All],[Brand]],0)</f>
        <v>Sony</v>
      </c>
      <c r="K986" t="str">
        <f>INDEX(Table1[[#All],[Product Name]],MATCH(Sheet2!H986,Table1[[#All],[Order ID]],0))</f>
        <v>Headphones</v>
      </c>
    </row>
    <row r="987" spans="1:11" x14ac:dyDescent="0.25">
      <c r="A987" s="6">
        <v>2160</v>
      </c>
      <c r="B987" t="s">
        <v>26</v>
      </c>
      <c r="F987" t="s">
        <v>27</v>
      </c>
      <c r="H987" t="s">
        <v>2108</v>
      </c>
      <c r="I987" t="str">
        <f>VLOOKUP(H987,Table1[#All],8,FALSE)</f>
        <v>Accessories</v>
      </c>
      <c r="J987" t="str" cm="1">
        <f t="array" ref="J987">_xlfn.XLOOKUP(H987,Table1[[#All],[Order ID]],Table1[[#All],[Brand]],0)</f>
        <v>Logitech</v>
      </c>
      <c r="K987" t="str">
        <f>INDEX(Table1[[#All],[Product Name]],MATCH(Sheet2!H987,Table1[[#All],[Order ID]],0))</f>
        <v>Mouse</v>
      </c>
    </row>
    <row r="988" spans="1:11" x14ac:dyDescent="0.25">
      <c r="A988" s="5">
        <v>4500</v>
      </c>
      <c r="B988" t="s">
        <v>39</v>
      </c>
      <c r="F988" t="s">
        <v>40</v>
      </c>
      <c r="H988" t="s">
        <v>2109</v>
      </c>
      <c r="I988" t="str">
        <f>VLOOKUP(H988,Table1[#All],8,FALSE)</f>
        <v>Office</v>
      </c>
      <c r="J988" t="str" cm="1">
        <f t="array" ref="J988">_xlfn.XLOOKUP(H988,Table1[[#All],[Order ID]],Table1[[#All],[Brand]],0)</f>
        <v>Nilkamal</v>
      </c>
      <c r="K988" t="str">
        <f>INDEX(Table1[[#All],[Product Name]],MATCH(Sheet2!H988,Table1[[#All],[Order ID]],0))</f>
        <v>Chair</v>
      </c>
    </row>
    <row r="989" spans="1:11" x14ac:dyDescent="0.25">
      <c r="A989" s="6">
        <v>4050</v>
      </c>
      <c r="B989" t="s">
        <v>39</v>
      </c>
      <c r="F989" t="s">
        <v>40</v>
      </c>
      <c r="H989" t="s">
        <v>2110</v>
      </c>
      <c r="I989" t="str">
        <f>VLOOKUP(H989,Table1[#All],8,FALSE)</f>
        <v>Office</v>
      </c>
      <c r="J989" t="str" cm="1">
        <f t="array" ref="J989">_xlfn.XLOOKUP(H989,Table1[[#All],[Order ID]],Table1[[#All],[Brand]],0)</f>
        <v>Nilkamal</v>
      </c>
      <c r="K989" t="str">
        <f>INDEX(Table1[[#All],[Product Name]],MATCH(Sheet2!H989,Table1[[#All],[Order ID]],0))</f>
        <v>Chair</v>
      </c>
    </row>
    <row r="990" spans="1:11" x14ac:dyDescent="0.25">
      <c r="A990" s="5">
        <v>9450</v>
      </c>
      <c r="B990" t="s">
        <v>74</v>
      </c>
      <c r="F990" t="s">
        <v>27</v>
      </c>
      <c r="H990" t="s">
        <v>2111</v>
      </c>
      <c r="I990" t="str">
        <f>VLOOKUP(H990,Table1[#All],8,FALSE)</f>
        <v>Audio</v>
      </c>
      <c r="J990" t="str" cm="1">
        <f t="array" ref="J990">_xlfn.XLOOKUP(H990,Table1[[#All],[Order ID]],Table1[[#All],[Brand]],0)</f>
        <v>Sony</v>
      </c>
      <c r="K990" t="str">
        <f>INDEX(Table1[[#All],[Product Name]],MATCH(Sheet2!H990,Table1[[#All],[Order ID]],0))</f>
        <v>Headphones</v>
      </c>
    </row>
    <row r="991" spans="1:11" x14ac:dyDescent="0.25">
      <c r="A991" s="6">
        <v>2040</v>
      </c>
      <c r="B991" t="s">
        <v>26</v>
      </c>
      <c r="F991" t="s">
        <v>27</v>
      </c>
      <c r="H991" t="s">
        <v>2112</v>
      </c>
      <c r="I991" t="str">
        <f>VLOOKUP(H991,Table1[#All],8,FALSE)</f>
        <v>Accessories</v>
      </c>
      <c r="J991" t="str" cm="1">
        <f t="array" ref="J991">_xlfn.XLOOKUP(H991,Table1[[#All],[Order ID]],Table1[[#All],[Brand]],0)</f>
        <v>Logitech</v>
      </c>
      <c r="K991" t="str">
        <f>INDEX(Table1[[#All],[Product Name]],MATCH(Sheet2!H991,Table1[[#All],[Order ID]],0))</f>
        <v>Mouse</v>
      </c>
    </row>
    <row r="992" spans="1:11" x14ac:dyDescent="0.25">
      <c r="A992" s="5">
        <v>7500</v>
      </c>
      <c r="B992" t="s">
        <v>68</v>
      </c>
      <c r="F992" t="s">
        <v>27</v>
      </c>
      <c r="H992" t="s">
        <v>2114</v>
      </c>
      <c r="I992" t="str">
        <f>VLOOKUP(H992,Table1[#All],8,FALSE)</f>
        <v>Accessories</v>
      </c>
      <c r="J992" t="str" cm="1">
        <f t="array" ref="J992">_xlfn.XLOOKUP(H992,Table1[[#All],[Order ID]],Table1[[#All],[Brand]],0)</f>
        <v>HP</v>
      </c>
      <c r="K992" t="str">
        <f>INDEX(Table1[[#All],[Product Name]],MATCH(Sheet2!H992,Table1[[#All],[Order ID]],0))</f>
        <v>Keyboard</v>
      </c>
    </row>
    <row r="993" spans="1:11" x14ac:dyDescent="0.25">
      <c r="A993" s="6">
        <v>13300</v>
      </c>
      <c r="B993" t="s">
        <v>74</v>
      </c>
      <c r="F993" t="s">
        <v>27</v>
      </c>
      <c r="H993" t="s">
        <v>2115</v>
      </c>
      <c r="I993" t="str">
        <f>VLOOKUP(H993,Table1[#All],8,FALSE)</f>
        <v>Audio</v>
      </c>
      <c r="J993" t="str" cm="1">
        <f t="array" ref="J993">_xlfn.XLOOKUP(H993,Table1[[#All],[Order ID]],Table1[[#All],[Brand]],0)</f>
        <v>Sony</v>
      </c>
      <c r="K993" t="str">
        <f>INDEX(Table1[[#All],[Product Name]],MATCH(Sheet2!H993,Table1[[#All],[Order ID]],0))</f>
        <v>Headphones</v>
      </c>
    </row>
    <row r="994" spans="1:11" x14ac:dyDescent="0.25">
      <c r="A994" s="5">
        <v>14875</v>
      </c>
      <c r="B994" t="s">
        <v>74</v>
      </c>
      <c r="F994" t="s">
        <v>27</v>
      </c>
      <c r="H994" t="s">
        <v>2117</v>
      </c>
      <c r="I994" t="str">
        <f>VLOOKUP(H994,Table1[#All],8,FALSE)</f>
        <v>Audio</v>
      </c>
      <c r="J994" t="str" cm="1">
        <f t="array" ref="J994">_xlfn.XLOOKUP(H994,Table1[[#All],[Order ID]],Table1[[#All],[Brand]],0)</f>
        <v>Sony</v>
      </c>
      <c r="K994" t="str">
        <f>INDEX(Table1[[#All],[Product Name]],MATCH(Sheet2!H994,Table1[[#All],[Order ID]],0))</f>
        <v>Headphones</v>
      </c>
    </row>
    <row r="995" spans="1:11" x14ac:dyDescent="0.25">
      <c r="A995" s="6">
        <v>1500</v>
      </c>
      <c r="B995" t="s">
        <v>68</v>
      </c>
      <c r="F995" t="s">
        <v>27</v>
      </c>
      <c r="H995" t="s">
        <v>2119</v>
      </c>
      <c r="I995" t="str">
        <f>VLOOKUP(H995,Table1[#All],8,FALSE)</f>
        <v>Accessories</v>
      </c>
      <c r="J995" t="str" cm="1">
        <f t="array" ref="J995">_xlfn.XLOOKUP(H995,Table1[[#All],[Order ID]],Table1[[#All],[Brand]],0)</f>
        <v>HP</v>
      </c>
      <c r="K995" t="str">
        <f>INDEX(Table1[[#All],[Product Name]],MATCH(Sheet2!H995,Table1[[#All],[Order ID]],0))</f>
        <v>Keyboard</v>
      </c>
    </row>
    <row r="996" spans="1:11" x14ac:dyDescent="0.25">
      <c r="A996" s="5">
        <v>22500</v>
      </c>
      <c r="B996" t="s">
        <v>39</v>
      </c>
      <c r="F996" t="s">
        <v>40</v>
      </c>
      <c r="H996" t="s">
        <v>2120</v>
      </c>
      <c r="I996" t="str">
        <f>VLOOKUP(H996,Table1[#All],8,FALSE)</f>
        <v>Office</v>
      </c>
      <c r="J996" t="str" cm="1">
        <f t="array" ref="J996">_xlfn.XLOOKUP(H996,Table1[[#All],[Order ID]],Table1[[#All],[Brand]],0)</f>
        <v>Nilkamal</v>
      </c>
      <c r="K996" t="str">
        <f>INDEX(Table1[[#All],[Product Name]],MATCH(Sheet2!H996,Table1[[#All],[Order ID]],0))</f>
        <v>Chair</v>
      </c>
    </row>
    <row r="997" spans="1:11" x14ac:dyDescent="0.25">
      <c r="A997" s="6">
        <v>9450</v>
      </c>
      <c r="B997" t="s">
        <v>74</v>
      </c>
      <c r="F997" t="s">
        <v>27</v>
      </c>
      <c r="H997" t="s">
        <v>2121</v>
      </c>
      <c r="I997" t="str">
        <f>VLOOKUP(H997,Table1[#All],8,FALSE)</f>
        <v>Audio</v>
      </c>
      <c r="J997" t="str" cm="1">
        <f t="array" ref="J997">_xlfn.XLOOKUP(H997,Table1[[#All],[Order ID]],Table1[[#All],[Brand]],0)</f>
        <v>Sony</v>
      </c>
      <c r="K997" t="str">
        <f>INDEX(Table1[[#All],[Product Name]],MATCH(Sheet2!H997,Table1[[#All],[Order ID]],0))</f>
        <v>Headphones</v>
      </c>
    </row>
    <row r="998" spans="1:11" x14ac:dyDescent="0.25">
      <c r="A998" s="5">
        <v>4050</v>
      </c>
      <c r="B998" t="s">
        <v>68</v>
      </c>
      <c r="F998" t="s">
        <v>27</v>
      </c>
      <c r="H998" t="s">
        <v>2123</v>
      </c>
      <c r="I998" t="str">
        <f>VLOOKUP(H998,Table1[#All],8,FALSE)</f>
        <v>Accessories</v>
      </c>
      <c r="J998" t="str" cm="1">
        <f t="array" ref="J998">_xlfn.XLOOKUP(H998,Table1[[#All],[Order ID]],Table1[[#All],[Brand]],0)</f>
        <v>HP</v>
      </c>
      <c r="K998" t="str">
        <f>INDEX(Table1[[#All],[Product Name]],MATCH(Sheet2!H998,Table1[[#All],[Order ID]],0))</f>
        <v>Keyboard</v>
      </c>
    </row>
    <row r="999" spans="1:11" x14ac:dyDescent="0.25">
      <c r="A999" s="6">
        <v>19125</v>
      </c>
      <c r="B999" t="s">
        <v>39</v>
      </c>
      <c r="F999" t="s">
        <v>40</v>
      </c>
      <c r="H999" t="s">
        <v>2124</v>
      </c>
      <c r="I999" t="str">
        <f>VLOOKUP(H999,Table1[#All],8,FALSE)</f>
        <v>Office</v>
      </c>
      <c r="J999" t="str" cm="1">
        <f t="array" ref="J999">_xlfn.XLOOKUP(H999,Table1[[#All],[Order ID]],Table1[[#All],[Brand]],0)</f>
        <v>Nilkamal</v>
      </c>
      <c r="K999" t="str">
        <f>INDEX(Table1[[#All],[Product Name]],MATCH(Sheet2!H999,Table1[[#All],[Order ID]],0))</f>
        <v>Chair</v>
      </c>
    </row>
    <row r="1000" spans="1:11" x14ac:dyDescent="0.25">
      <c r="A1000" s="5">
        <v>9450</v>
      </c>
      <c r="B1000" t="s">
        <v>74</v>
      </c>
      <c r="F1000" t="s">
        <v>27</v>
      </c>
      <c r="H1000" t="s">
        <v>2126</v>
      </c>
      <c r="I1000" t="str">
        <f>VLOOKUP(H1000,Table1[#All],8,FALSE)</f>
        <v>Audio</v>
      </c>
      <c r="J1000" t="str" cm="1">
        <f t="array" ref="J1000">_xlfn.XLOOKUP(H1000,Table1[[#All],[Order ID]],Table1[[#All],[Brand]],0)</f>
        <v>Sony</v>
      </c>
      <c r="K1000" t="str">
        <f>INDEX(Table1[[#All],[Product Name]],MATCH(Sheet2!H1000,Table1[[#All],[Order ID]],0))</f>
        <v>Headphones</v>
      </c>
    </row>
    <row r="1001" spans="1:11" x14ac:dyDescent="0.25">
      <c r="A1001" s="7">
        <v>6000</v>
      </c>
      <c r="B1001" t="s">
        <v>68</v>
      </c>
      <c r="F1001" t="s">
        <v>27</v>
      </c>
      <c r="H1001" t="s">
        <v>2127</v>
      </c>
      <c r="I1001" t="str">
        <f>VLOOKUP(H1001,Table1[#All],8,FALSE)</f>
        <v>Accessories</v>
      </c>
      <c r="J1001" t="str" cm="1">
        <f t="array" ref="J1001">_xlfn.XLOOKUP(H1001,Table1[[#All],[Order ID]],Table1[[#All],[Brand]],0)</f>
        <v>HP</v>
      </c>
      <c r="K1001" t="str">
        <f>INDEX(Table1[[#All],[Product Name]],MATCH(Sheet2!H1001,Table1[[#All],[Order ID]],0))</f>
        <v>Keyboard</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01"/>
  <sheetViews>
    <sheetView workbookViewId="0">
      <selection activeCell="H1000" sqref="H1000"/>
    </sheetView>
  </sheetViews>
  <sheetFormatPr defaultRowHeight="15" x14ac:dyDescent="0.25"/>
  <cols>
    <col min="1" max="1" width="10.5703125" customWidth="1"/>
    <col min="2" max="2" width="12.85546875" style="1" customWidth="1"/>
    <col min="3" max="3" width="14" customWidth="1"/>
    <col min="4" max="4" width="17.42578125" customWidth="1"/>
    <col min="5" max="5" width="12.28515625" customWidth="1"/>
    <col min="6" max="6" width="15.7109375" customWidth="1"/>
    <col min="7" max="7" width="11" customWidth="1"/>
    <col min="8" max="8" width="14.7109375" customWidth="1"/>
    <col min="10" max="10" width="10.85546875" customWidth="1"/>
    <col min="11" max="11" width="11.85546875" customWidth="1"/>
    <col min="12" max="12" width="12.85546875" customWidth="1"/>
    <col min="18" max="18" width="9.28515625" customWidth="1"/>
    <col min="19" max="19" width="16.7109375" customWidth="1"/>
    <col min="20" max="20" width="16.42578125" customWidth="1"/>
    <col min="21" max="21" width="15" customWidth="1"/>
    <col min="23" max="23" width="9.7109375" customWidth="1"/>
  </cols>
  <sheetData>
    <row r="1" spans="1:23" x14ac:dyDescent="0.25">
      <c r="A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2137</v>
      </c>
    </row>
    <row r="2" spans="1:23" x14ac:dyDescent="0.25">
      <c r="A2" t="s">
        <v>22</v>
      </c>
      <c r="B2" s="1">
        <v>45771</v>
      </c>
      <c r="C2" t="s">
        <v>23</v>
      </c>
      <c r="D2" t="s">
        <v>24</v>
      </c>
      <c r="E2" t="s">
        <v>25</v>
      </c>
      <c r="F2" t="s">
        <v>26</v>
      </c>
      <c r="G2" t="s">
        <v>27</v>
      </c>
      <c r="H2" t="s">
        <v>28</v>
      </c>
      <c r="I2" t="s">
        <v>29</v>
      </c>
      <c r="J2">
        <v>2</v>
      </c>
      <c r="K2">
        <v>800</v>
      </c>
      <c r="L2">
        <v>0</v>
      </c>
      <c r="M2">
        <v>1600</v>
      </c>
      <c r="N2">
        <v>1120</v>
      </c>
      <c r="O2">
        <v>480</v>
      </c>
      <c r="P2" t="s">
        <v>30</v>
      </c>
      <c r="Q2" t="s">
        <v>30</v>
      </c>
      <c r="R2" t="s">
        <v>31</v>
      </c>
      <c r="S2" t="s">
        <v>32</v>
      </c>
      <c r="T2" t="s">
        <v>33</v>
      </c>
      <c r="U2" t="s">
        <v>34</v>
      </c>
      <c r="V2">
        <v>4</v>
      </c>
      <c r="W2">
        <f>Table1[[#This Row],[Profit]]/Table1[[#This Row],[Sales]]</f>
        <v>0.3</v>
      </c>
    </row>
    <row r="3" spans="1:23" x14ac:dyDescent="0.25">
      <c r="A3" t="s">
        <v>35</v>
      </c>
      <c r="B3" s="1">
        <v>45955</v>
      </c>
      <c r="C3" t="s">
        <v>36</v>
      </c>
      <c r="D3" t="s">
        <v>37</v>
      </c>
      <c r="E3" t="s">
        <v>38</v>
      </c>
      <c r="F3" t="s">
        <v>39</v>
      </c>
      <c r="G3" t="s">
        <v>40</v>
      </c>
      <c r="H3" t="s">
        <v>41</v>
      </c>
      <c r="I3" t="s">
        <v>42</v>
      </c>
      <c r="J3">
        <v>5</v>
      </c>
      <c r="K3">
        <v>4500</v>
      </c>
      <c r="L3">
        <v>0</v>
      </c>
      <c r="M3">
        <v>22500</v>
      </c>
      <c r="N3">
        <v>15750</v>
      </c>
      <c r="O3">
        <v>6750.0000000000018</v>
      </c>
      <c r="P3" t="s">
        <v>43</v>
      </c>
      <c r="Q3" t="s">
        <v>44</v>
      </c>
      <c r="R3" t="s">
        <v>45</v>
      </c>
      <c r="S3" t="s">
        <v>46</v>
      </c>
      <c r="T3" t="s">
        <v>47</v>
      </c>
      <c r="U3" t="s">
        <v>48</v>
      </c>
      <c r="V3">
        <v>5</v>
      </c>
      <c r="W3">
        <f>Table1[[#This Row],[Profit]]/Table1[[#This Row],[Sales]]</f>
        <v>0.3000000000000001</v>
      </c>
    </row>
    <row r="4" spans="1:23" x14ac:dyDescent="0.25">
      <c r="A4" t="s">
        <v>49</v>
      </c>
      <c r="B4" s="1">
        <v>45734</v>
      </c>
      <c r="C4" t="s">
        <v>50</v>
      </c>
      <c r="D4" t="s">
        <v>51</v>
      </c>
      <c r="E4" t="s">
        <v>52</v>
      </c>
      <c r="F4" t="s">
        <v>53</v>
      </c>
      <c r="G4" t="s">
        <v>27</v>
      </c>
      <c r="H4" t="s">
        <v>54</v>
      </c>
      <c r="I4" t="s">
        <v>55</v>
      </c>
      <c r="J4">
        <v>5</v>
      </c>
      <c r="K4">
        <v>55000</v>
      </c>
      <c r="L4">
        <v>10</v>
      </c>
      <c r="M4">
        <v>247500</v>
      </c>
      <c r="N4">
        <v>192500</v>
      </c>
      <c r="O4">
        <v>55000</v>
      </c>
      <c r="P4" t="s">
        <v>30</v>
      </c>
      <c r="Q4" t="s">
        <v>30</v>
      </c>
      <c r="R4" t="s">
        <v>31</v>
      </c>
      <c r="S4" t="s">
        <v>32</v>
      </c>
      <c r="T4" t="s">
        <v>56</v>
      </c>
      <c r="U4" t="s">
        <v>48</v>
      </c>
      <c r="V4">
        <v>5</v>
      </c>
      <c r="W4">
        <f>Table1[[#This Row],[Profit]]/Table1[[#This Row],[Sales]]</f>
        <v>0.22222222222222221</v>
      </c>
    </row>
    <row r="5" spans="1:23" x14ac:dyDescent="0.25">
      <c r="A5" t="s">
        <v>57</v>
      </c>
      <c r="B5" s="1">
        <v>45753</v>
      </c>
      <c r="C5" t="s">
        <v>58</v>
      </c>
      <c r="D5" t="s">
        <v>59</v>
      </c>
      <c r="E5" t="s">
        <v>38</v>
      </c>
      <c r="F5" t="s">
        <v>39</v>
      </c>
      <c r="G5" t="s">
        <v>40</v>
      </c>
      <c r="H5" t="s">
        <v>41</v>
      </c>
      <c r="I5" t="s">
        <v>42</v>
      </c>
      <c r="J5">
        <v>2</v>
      </c>
      <c r="K5">
        <v>4500</v>
      </c>
      <c r="L5">
        <v>0</v>
      </c>
      <c r="M5">
        <v>9000</v>
      </c>
      <c r="N5">
        <v>6300</v>
      </c>
      <c r="O5">
        <v>2700</v>
      </c>
      <c r="P5" t="s">
        <v>30</v>
      </c>
      <c r="Q5" t="s">
        <v>30</v>
      </c>
      <c r="R5" t="s">
        <v>31</v>
      </c>
      <c r="S5" t="s">
        <v>60</v>
      </c>
      <c r="T5" t="s">
        <v>33</v>
      </c>
      <c r="U5" t="s">
        <v>34</v>
      </c>
      <c r="V5">
        <v>2</v>
      </c>
      <c r="W5">
        <f>Table1[[#This Row],[Profit]]/Table1[[#This Row],[Sales]]</f>
        <v>0.3</v>
      </c>
    </row>
    <row r="6" spans="1:23" x14ac:dyDescent="0.25">
      <c r="A6" t="s">
        <v>61</v>
      </c>
      <c r="B6" s="1">
        <v>45978</v>
      </c>
      <c r="C6" t="s">
        <v>62</v>
      </c>
      <c r="D6" t="s">
        <v>63</v>
      </c>
      <c r="E6" t="s">
        <v>52</v>
      </c>
      <c r="F6" t="s">
        <v>53</v>
      </c>
      <c r="G6" t="s">
        <v>27</v>
      </c>
      <c r="H6" t="s">
        <v>54</v>
      </c>
      <c r="I6" t="s">
        <v>55</v>
      </c>
      <c r="J6">
        <v>3</v>
      </c>
      <c r="K6">
        <v>55000</v>
      </c>
      <c r="L6">
        <v>15</v>
      </c>
      <c r="M6">
        <v>140250</v>
      </c>
      <c r="N6">
        <v>115500</v>
      </c>
      <c r="O6">
        <v>24750.000000000011</v>
      </c>
      <c r="P6" t="s">
        <v>43</v>
      </c>
      <c r="Q6" t="s">
        <v>44</v>
      </c>
      <c r="R6" t="s">
        <v>45</v>
      </c>
      <c r="S6" t="s">
        <v>60</v>
      </c>
      <c r="T6" t="s">
        <v>33</v>
      </c>
      <c r="U6" t="s">
        <v>48</v>
      </c>
      <c r="V6">
        <v>2</v>
      </c>
      <c r="W6">
        <f>Table1[[#This Row],[Profit]]/Table1[[#This Row],[Sales]]</f>
        <v>0.17647058823529418</v>
      </c>
    </row>
    <row r="7" spans="1:23" x14ac:dyDescent="0.25">
      <c r="A7" t="s">
        <v>64</v>
      </c>
      <c r="B7" s="1">
        <v>45992</v>
      </c>
      <c r="C7" t="s">
        <v>65</v>
      </c>
      <c r="D7" t="s">
        <v>66</v>
      </c>
      <c r="E7" t="s">
        <v>67</v>
      </c>
      <c r="F7" t="s">
        <v>68</v>
      </c>
      <c r="G7" t="s">
        <v>27</v>
      </c>
      <c r="H7" t="s">
        <v>28</v>
      </c>
      <c r="I7" t="s">
        <v>69</v>
      </c>
      <c r="J7">
        <v>4</v>
      </c>
      <c r="K7">
        <v>1500</v>
      </c>
      <c r="L7">
        <v>10</v>
      </c>
      <c r="M7">
        <v>5400</v>
      </c>
      <c r="N7">
        <v>4200</v>
      </c>
      <c r="O7">
        <v>1200</v>
      </c>
      <c r="P7" t="s">
        <v>43</v>
      </c>
      <c r="Q7" t="s">
        <v>44</v>
      </c>
      <c r="R7" t="s">
        <v>45</v>
      </c>
      <c r="S7" t="s">
        <v>32</v>
      </c>
      <c r="T7" t="s">
        <v>56</v>
      </c>
      <c r="U7" t="s">
        <v>34</v>
      </c>
      <c r="V7">
        <v>5</v>
      </c>
      <c r="W7">
        <f>Table1[[#This Row],[Profit]]/Table1[[#This Row],[Sales]]</f>
        <v>0.22222222222222221</v>
      </c>
    </row>
    <row r="8" spans="1:23" x14ac:dyDescent="0.25">
      <c r="A8" t="s">
        <v>70</v>
      </c>
      <c r="B8" s="1">
        <v>45914</v>
      </c>
      <c r="C8" t="s">
        <v>71</v>
      </c>
      <c r="D8" t="s">
        <v>72</v>
      </c>
      <c r="E8" t="s">
        <v>73</v>
      </c>
      <c r="F8" t="s">
        <v>74</v>
      </c>
      <c r="G8" t="s">
        <v>27</v>
      </c>
      <c r="H8" t="s">
        <v>75</v>
      </c>
      <c r="I8" t="s">
        <v>76</v>
      </c>
      <c r="J8">
        <v>5</v>
      </c>
      <c r="K8">
        <v>3500</v>
      </c>
      <c r="L8">
        <v>0</v>
      </c>
      <c r="M8">
        <v>17500</v>
      </c>
      <c r="N8">
        <v>12250</v>
      </c>
      <c r="O8">
        <v>5250</v>
      </c>
      <c r="P8" t="s">
        <v>30</v>
      </c>
      <c r="Q8" t="s">
        <v>30</v>
      </c>
      <c r="R8" t="s">
        <v>31</v>
      </c>
      <c r="S8" t="s">
        <v>46</v>
      </c>
      <c r="T8" t="s">
        <v>47</v>
      </c>
      <c r="U8" t="s">
        <v>34</v>
      </c>
      <c r="V8">
        <v>4</v>
      </c>
      <c r="W8">
        <f>Table1[[#This Row],[Profit]]/Table1[[#This Row],[Sales]]</f>
        <v>0.3</v>
      </c>
    </row>
    <row r="9" spans="1:23" x14ac:dyDescent="0.25">
      <c r="A9" t="s">
        <v>77</v>
      </c>
      <c r="B9" s="1">
        <v>45779</v>
      </c>
      <c r="C9" t="s">
        <v>78</v>
      </c>
      <c r="D9" t="s">
        <v>79</v>
      </c>
      <c r="E9" t="s">
        <v>73</v>
      </c>
      <c r="F9" t="s">
        <v>74</v>
      </c>
      <c r="G9" t="s">
        <v>27</v>
      </c>
      <c r="H9" t="s">
        <v>75</v>
      </c>
      <c r="I9" t="s">
        <v>76</v>
      </c>
      <c r="J9">
        <v>4</v>
      </c>
      <c r="K9">
        <v>3500</v>
      </c>
      <c r="L9">
        <v>0</v>
      </c>
      <c r="M9">
        <v>14000</v>
      </c>
      <c r="N9">
        <v>9800</v>
      </c>
      <c r="O9">
        <v>4200</v>
      </c>
      <c r="P9" t="s">
        <v>43</v>
      </c>
      <c r="Q9" t="s">
        <v>44</v>
      </c>
      <c r="R9" t="s">
        <v>45</v>
      </c>
      <c r="S9" t="s">
        <v>32</v>
      </c>
      <c r="T9" t="s">
        <v>33</v>
      </c>
      <c r="U9" t="s">
        <v>34</v>
      </c>
      <c r="V9">
        <v>3</v>
      </c>
      <c r="W9">
        <f>Table1[[#This Row],[Profit]]/Table1[[#This Row],[Sales]]</f>
        <v>0.3</v>
      </c>
    </row>
    <row r="10" spans="1:23" x14ac:dyDescent="0.25">
      <c r="A10" t="s">
        <v>80</v>
      </c>
      <c r="B10" s="1">
        <v>45875</v>
      </c>
      <c r="C10" t="s">
        <v>81</v>
      </c>
      <c r="D10" t="s">
        <v>82</v>
      </c>
      <c r="E10" t="s">
        <v>73</v>
      </c>
      <c r="F10" t="s">
        <v>74</v>
      </c>
      <c r="G10" t="s">
        <v>27</v>
      </c>
      <c r="H10" t="s">
        <v>75</v>
      </c>
      <c r="I10" t="s">
        <v>76</v>
      </c>
      <c r="J10">
        <v>2</v>
      </c>
      <c r="K10">
        <v>3500</v>
      </c>
      <c r="L10">
        <v>15</v>
      </c>
      <c r="M10">
        <v>5950</v>
      </c>
      <c r="N10">
        <v>4900</v>
      </c>
      <c r="O10">
        <v>1050</v>
      </c>
      <c r="P10" t="s">
        <v>30</v>
      </c>
      <c r="Q10" t="s">
        <v>30</v>
      </c>
      <c r="R10" t="s">
        <v>31</v>
      </c>
      <c r="S10" t="s">
        <v>32</v>
      </c>
      <c r="T10" t="s">
        <v>33</v>
      </c>
      <c r="U10" t="s">
        <v>48</v>
      </c>
      <c r="V10">
        <v>3</v>
      </c>
      <c r="W10">
        <f>Table1[[#This Row],[Profit]]/Table1[[#This Row],[Sales]]</f>
        <v>0.17647058823529413</v>
      </c>
    </row>
    <row r="11" spans="1:23" x14ac:dyDescent="0.25">
      <c r="A11" t="s">
        <v>83</v>
      </c>
      <c r="B11" s="1">
        <v>45934</v>
      </c>
      <c r="C11" t="s">
        <v>84</v>
      </c>
      <c r="D11" t="s">
        <v>85</v>
      </c>
      <c r="E11" t="s">
        <v>38</v>
      </c>
      <c r="F11" t="s">
        <v>39</v>
      </c>
      <c r="G11" t="s">
        <v>40</v>
      </c>
      <c r="H11" t="s">
        <v>41</v>
      </c>
      <c r="I11" t="s">
        <v>42</v>
      </c>
      <c r="J11">
        <v>2</v>
      </c>
      <c r="K11">
        <v>4500</v>
      </c>
      <c r="L11">
        <v>10</v>
      </c>
      <c r="M11">
        <v>8100</v>
      </c>
      <c r="N11">
        <v>6300</v>
      </c>
      <c r="O11">
        <v>1800</v>
      </c>
      <c r="P11" t="s">
        <v>43</v>
      </c>
      <c r="Q11" t="s">
        <v>44</v>
      </c>
      <c r="R11" t="s">
        <v>45</v>
      </c>
      <c r="S11" t="s">
        <v>32</v>
      </c>
      <c r="T11" t="s">
        <v>33</v>
      </c>
      <c r="U11" t="s">
        <v>48</v>
      </c>
      <c r="V11">
        <v>5</v>
      </c>
      <c r="W11">
        <f>Table1[[#This Row],[Profit]]/Table1[[#This Row],[Sales]]</f>
        <v>0.22222222222222221</v>
      </c>
    </row>
    <row r="12" spans="1:23" x14ac:dyDescent="0.25">
      <c r="A12" t="s">
        <v>86</v>
      </c>
      <c r="B12" s="1">
        <v>45838</v>
      </c>
      <c r="C12" t="s">
        <v>87</v>
      </c>
      <c r="D12" t="s">
        <v>88</v>
      </c>
      <c r="E12" t="s">
        <v>67</v>
      </c>
      <c r="F12" t="s">
        <v>68</v>
      </c>
      <c r="G12" t="s">
        <v>27</v>
      </c>
      <c r="H12" t="s">
        <v>28</v>
      </c>
      <c r="I12" t="s">
        <v>69</v>
      </c>
      <c r="J12">
        <v>5</v>
      </c>
      <c r="K12">
        <v>1500</v>
      </c>
      <c r="L12">
        <v>10</v>
      </c>
      <c r="M12">
        <v>6750</v>
      </c>
      <c r="N12">
        <v>5250</v>
      </c>
      <c r="O12">
        <v>1500</v>
      </c>
      <c r="P12" t="s">
        <v>30</v>
      </c>
      <c r="Q12" t="s">
        <v>30</v>
      </c>
      <c r="R12" t="s">
        <v>31</v>
      </c>
      <c r="S12" t="s">
        <v>46</v>
      </c>
      <c r="T12" t="s">
        <v>56</v>
      </c>
      <c r="U12" t="s">
        <v>34</v>
      </c>
      <c r="V12">
        <v>1</v>
      </c>
      <c r="W12">
        <f>Table1[[#This Row],[Profit]]/Table1[[#This Row],[Sales]]</f>
        <v>0.22222222222222221</v>
      </c>
    </row>
    <row r="13" spans="1:23" x14ac:dyDescent="0.25">
      <c r="A13" t="s">
        <v>89</v>
      </c>
      <c r="B13" s="1">
        <v>45911</v>
      </c>
      <c r="C13" t="s">
        <v>90</v>
      </c>
      <c r="D13" t="s">
        <v>91</v>
      </c>
      <c r="E13" t="s">
        <v>25</v>
      </c>
      <c r="F13" t="s">
        <v>26</v>
      </c>
      <c r="G13" t="s">
        <v>27</v>
      </c>
      <c r="H13" t="s">
        <v>28</v>
      </c>
      <c r="I13" t="s">
        <v>29</v>
      </c>
      <c r="J13">
        <v>5</v>
      </c>
      <c r="K13">
        <v>800</v>
      </c>
      <c r="L13">
        <v>10</v>
      </c>
      <c r="M13">
        <v>3600</v>
      </c>
      <c r="N13">
        <v>2800</v>
      </c>
      <c r="O13">
        <v>800</v>
      </c>
      <c r="P13" t="s">
        <v>43</v>
      </c>
      <c r="Q13" t="s">
        <v>44</v>
      </c>
      <c r="R13" t="s">
        <v>45</v>
      </c>
      <c r="S13" t="s">
        <v>32</v>
      </c>
      <c r="T13" t="s">
        <v>56</v>
      </c>
      <c r="U13" t="s">
        <v>48</v>
      </c>
      <c r="V13">
        <v>1</v>
      </c>
      <c r="W13">
        <f>Table1[[#This Row],[Profit]]/Table1[[#This Row],[Sales]]</f>
        <v>0.22222222222222221</v>
      </c>
    </row>
    <row r="14" spans="1:23" x14ac:dyDescent="0.25">
      <c r="A14" t="s">
        <v>92</v>
      </c>
      <c r="B14" s="1">
        <v>46007</v>
      </c>
      <c r="C14" t="s">
        <v>93</v>
      </c>
      <c r="D14" t="s">
        <v>94</v>
      </c>
      <c r="E14" t="s">
        <v>38</v>
      </c>
      <c r="F14" t="s">
        <v>39</v>
      </c>
      <c r="G14" t="s">
        <v>40</v>
      </c>
      <c r="H14" t="s">
        <v>41</v>
      </c>
      <c r="I14" t="s">
        <v>42</v>
      </c>
      <c r="J14">
        <v>2</v>
      </c>
      <c r="K14">
        <v>4500</v>
      </c>
      <c r="L14">
        <v>15</v>
      </c>
      <c r="M14">
        <v>7650</v>
      </c>
      <c r="N14">
        <v>6300</v>
      </c>
      <c r="O14">
        <v>1350</v>
      </c>
      <c r="P14" t="s">
        <v>95</v>
      </c>
      <c r="Q14" t="s">
        <v>96</v>
      </c>
      <c r="R14" t="s">
        <v>45</v>
      </c>
      <c r="S14" t="s">
        <v>60</v>
      </c>
      <c r="T14" t="s">
        <v>47</v>
      </c>
      <c r="U14" t="s">
        <v>34</v>
      </c>
      <c r="V14">
        <v>5</v>
      </c>
      <c r="W14">
        <f>Table1[[#This Row],[Profit]]/Table1[[#This Row],[Sales]]</f>
        <v>0.17647058823529413</v>
      </c>
    </row>
    <row r="15" spans="1:23" x14ac:dyDescent="0.25">
      <c r="A15" t="s">
        <v>97</v>
      </c>
      <c r="B15" s="1">
        <v>45908</v>
      </c>
      <c r="C15" t="s">
        <v>98</v>
      </c>
      <c r="D15" t="s">
        <v>99</v>
      </c>
      <c r="E15" t="s">
        <v>67</v>
      </c>
      <c r="F15" t="s">
        <v>68</v>
      </c>
      <c r="G15" t="s">
        <v>27</v>
      </c>
      <c r="H15" t="s">
        <v>28</v>
      </c>
      <c r="I15" t="s">
        <v>69</v>
      </c>
      <c r="J15">
        <v>2</v>
      </c>
      <c r="K15">
        <v>1500</v>
      </c>
      <c r="L15">
        <v>5</v>
      </c>
      <c r="M15">
        <v>2850</v>
      </c>
      <c r="N15">
        <v>2100</v>
      </c>
      <c r="O15">
        <v>750</v>
      </c>
      <c r="P15" t="s">
        <v>43</v>
      </c>
      <c r="Q15" t="s">
        <v>44</v>
      </c>
      <c r="R15" t="s">
        <v>45</v>
      </c>
      <c r="S15" t="s">
        <v>46</v>
      </c>
      <c r="T15" t="s">
        <v>47</v>
      </c>
      <c r="U15" t="s">
        <v>34</v>
      </c>
      <c r="V15">
        <v>5</v>
      </c>
      <c r="W15">
        <f>Table1[[#This Row],[Profit]]/Table1[[#This Row],[Sales]]</f>
        <v>0.26315789473684209</v>
      </c>
    </row>
    <row r="16" spans="1:23" x14ac:dyDescent="0.25">
      <c r="A16" t="s">
        <v>100</v>
      </c>
      <c r="B16" s="1">
        <v>45715</v>
      </c>
      <c r="C16" t="s">
        <v>101</v>
      </c>
      <c r="D16" t="s">
        <v>102</v>
      </c>
      <c r="E16" t="s">
        <v>67</v>
      </c>
      <c r="F16" t="s">
        <v>68</v>
      </c>
      <c r="G16" t="s">
        <v>27</v>
      </c>
      <c r="H16" t="s">
        <v>28</v>
      </c>
      <c r="I16" t="s">
        <v>69</v>
      </c>
      <c r="J16">
        <v>4</v>
      </c>
      <c r="K16">
        <v>1500</v>
      </c>
      <c r="L16">
        <v>10</v>
      </c>
      <c r="M16">
        <v>5400</v>
      </c>
      <c r="N16">
        <v>4200</v>
      </c>
      <c r="O16">
        <v>1200</v>
      </c>
      <c r="P16" t="s">
        <v>95</v>
      </c>
      <c r="Q16" t="s">
        <v>96</v>
      </c>
      <c r="R16" t="s">
        <v>45</v>
      </c>
      <c r="S16" t="s">
        <v>32</v>
      </c>
      <c r="T16" t="s">
        <v>56</v>
      </c>
      <c r="U16" t="s">
        <v>34</v>
      </c>
      <c r="V16">
        <v>1</v>
      </c>
      <c r="W16">
        <f>Table1[[#This Row],[Profit]]/Table1[[#This Row],[Sales]]</f>
        <v>0.22222222222222221</v>
      </c>
    </row>
    <row r="17" spans="1:23" x14ac:dyDescent="0.25">
      <c r="A17" t="s">
        <v>103</v>
      </c>
      <c r="B17" s="1">
        <v>45834</v>
      </c>
      <c r="C17" t="s">
        <v>104</v>
      </c>
      <c r="D17" t="s">
        <v>105</v>
      </c>
      <c r="E17" t="s">
        <v>52</v>
      </c>
      <c r="F17" t="s">
        <v>53</v>
      </c>
      <c r="G17" t="s">
        <v>27</v>
      </c>
      <c r="H17" t="s">
        <v>54</v>
      </c>
      <c r="I17" t="s">
        <v>55</v>
      </c>
      <c r="J17">
        <v>2</v>
      </c>
      <c r="K17">
        <v>55000</v>
      </c>
      <c r="L17">
        <v>15</v>
      </c>
      <c r="M17">
        <v>93500</v>
      </c>
      <c r="N17">
        <v>77000</v>
      </c>
      <c r="O17">
        <v>16500</v>
      </c>
      <c r="P17" t="s">
        <v>95</v>
      </c>
      <c r="Q17" t="s">
        <v>96</v>
      </c>
      <c r="R17" t="s">
        <v>45</v>
      </c>
      <c r="S17" t="s">
        <v>60</v>
      </c>
      <c r="T17" t="s">
        <v>56</v>
      </c>
      <c r="U17" t="s">
        <v>48</v>
      </c>
      <c r="V17">
        <v>5</v>
      </c>
      <c r="W17">
        <f>Table1[[#This Row],[Profit]]/Table1[[#This Row],[Sales]]</f>
        <v>0.17647058823529413</v>
      </c>
    </row>
    <row r="18" spans="1:23" x14ac:dyDescent="0.25">
      <c r="A18" t="s">
        <v>106</v>
      </c>
      <c r="B18" s="1">
        <v>45782</v>
      </c>
      <c r="C18" t="s">
        <v>107</v>
      </c>
      <c r="D18" t="s">
        <v>108</v>
      </c>
      <c r="E18" t="s">
        <v>73</v>
      </c>
      <c r="F18" t="s">
        <v>74</v>
      </c>
      <c r="G18" t="s">
        <v>27</v>
      </c>
      <c r="H18" t="s">
        <v>75</v>
      </c>
      <c r="I18" t="s">
        <v>76</v>
      </c>
      <c r="J18">
        <v>5</v>
      </c>
      <c r="K18">
        <v>3500</v>
      </c>
      <c r="L18">
        <v>15</v>
      </c>
      <c r="M18">
        <v>14875</v>
      </c>
      <c r="N18">
        <v>12250</v>
      </c>
      <c r="O18">
        <v>2625</v>
      </c>
      <c r="P18" t="s">
        <v>109</v>
      </c>
      <c r="Q18" t="s">
        <v>110</v>
      </c>
      <c r="R18" t="s">
        <v>111</v>
      </c>
      <c r="S18" t="s">
        <v>32</v>
      </c>
      <c r="T18" t="s">
        <v>47</v>
      </c>
      <c r="U18" t="s">
        <v>34</v>
      </c>
      <c r="V18">
        <v>5</v>
      </c>
      <c r="W18">
        <f>Table1[[#This Row],[Profit]]/Table1[[#This Row],[Sales]]</f>
        <v>0.17647058823529413</v>
      </c>
    </row>
    <row r="19" spans="1:23" x14ac:dyDescent="0.25">
      <c r="A19" t="s">
        <v>112</v>
      </c>
      <c r="B19" s="1">
        <v>46006</v>
      </c>
      <c r="C19" t="s">
        <v>113</v>
      </c>
      <c r="D19" t="s">
        <v>114</v>
      </c>
      <c r="E19" t="s">
        <v>52</v>
      </c>
      <c r="F19" t="s">
        <v>53</v>
      </c>
      <c r="G19" t="s">
        <v>27</v>
      </c>
      <c r="H19" t="s">
        <v>54</v>
      </c>
      <c r="I19" t="s">
        <v>55</v>
      </c>
      <c r="J19">
        <v>3</v>
      </c>
      <c r="K19">
        <v>55000</v>
      </c>
      <c r="L19">
        <v>10</v>
      </c>
      <c r="M19">
        <v>148500</v>
      </c>
      <c r="N19">
        <v>115500</v>
      </c>
      <c r="O19">
        <v>33000.000000000007</v>
      </c>
      <c r="P19" t="s">
        <v>43</v>
      </c>
      <c r="Q19" t="s">
        <v>44</v>
      </c>
      <c r="R19" t="s">
        <v>45</v>
      </c>
      <c r="S19" t="s">
        <v>60</v>
      </c>
      <c r="T19" t="s">
        <v>33</v>
      </c>
      <c r="U19" t="s">
        <v>48</v>
      </c>
      <c r="V19">
        <v>1</v>
      </c>
      <c r="W19">
        <f>Table1[[#This Row],[Profit]]/Table1[[#This Row],[Sales]]</f>
        <v>0.22222222222222227</v>
      </c>
    </row>
    <row r="20" spans="1:23" x14ac:dyDescent="0.25">
      <c r="A20" t="s">
        <v>115</v>
      </c>
      <c r="B20" s="1">
        <v>45867</v>
      </c>
      <c r="C20" t="s">
        <v>116</v>
      </c>
      <c r="D20" t="s">
        <v>117</v>
      </c>
      <c r="E20" t="s">
        <v>52</v>
      </c>
      <c r="F20" t="s">
        <v>53</v>
      </c>
      <c r="G20" t="s">
        <v>27</v>
      </c>
      <c r="H20" t="s">
        <v>54</v>
      </c>
      <c r="I20" t="s">
        <v>55</v>
      </c>
      <c r="J20">
        <v>4</v>
      </c>
      <c r="K20">
        <v>55000</v>
      </c>
      <c r="L20">
        <v>10</v>
      </c>
      <c r="M20">
        <v>198000</v>
      </c>
      <c r="N20">
        <v>154000</v>
      </c>
      <c r="O20">
        <v>44000</v>
      </c>
      <c r="P20" t="s">
        <v>30</v>
      </c>
      <c r="Q20" t="s">
        <v>30</v>
      </c>
      <c r="R20" t="s">
        <v>31</v>
      </c>
      <c r="S20" t="s">
        <v>32</v>
      </c>
      <c r="T20" t="s">
        <v>56</v>
      </c>
      <c r="U20" t="s">
        <v>48</v>
      </c>
      <c r="V20">
        <v>4</v>
      </c>
      <c r="W20">
        <f>Table1[[#This Row],[Profit]]/Table1[[#This Row],[Sales]]</f>
        <v>0.22222222222222221</v>
      </c>
    </row>
    <row r="21" spans="1:23" x14ac:dyDescent="0.25">
      <c r="A21" t="s">
        <v>118</v>
      </c>
      <c r="B21" s="1">
        <v>45840</v>
      </c>
      <c r="C21" t="s">
        <v>119</v>
      </c>
      <c r="D21" t="s">
        <v>120</v>
      </c>
      <c r="E21" t="s">
        <v>52</v>
      </c>
      <c r="F21" t="s">
        <v>53</v>
      </c>
      <c r="G21" t="s">
        <v>27</v>
      </c>
      <c r="H21" t="s">
        <v>54</v>
      </c>
      <c r="I21" t="s">
        <v>55</v>
      </c>
      <c r="J21">
        <v>1</v>
      </c>
      <c r="K21">
        <v>55000</v>
      </c>
      <c r="L21">
        <v>5</v>
      </c>
      <c r="M21">
        <v>52250</v>
      </c>
      <c r="N21">
        <v>38500</v>
      </c>
      <c r="O21">
        <v>13750</v>
      </c>
      <c r="P21" t="s">
        <v>109</v>
      </c>
      <c r="Q21" t="s">
        <v>110</v>
      </c>
      <c r="R21" t="s">
        <v>111</v>
      </c>
      <c r="S21" t="s">
        <v>60</v>
      </c>
      <c r="T21" t="s">
        <v>47</v>
      </c>
      <c r="U21" t="s">
        <v>48</v>
      </c>
      <c r="V21">
        <v>1</v>
      </c>
      <c r="W21">
        <f>Table1[[#This Row],[Profit]]/Table1[[#This Row],[Sales]]</f>
        <v>0.26315789473684209</v>
      </c>
    </row>
    <row r="22" spans="1:23" x14ac:dyDescent="0.25">
      <c r="A22" t="s">
        <v>121</v>
      </c>
      <c r="B22" s="1">
        <v>45687</v>
      </c>
      <c r="C22" t="s">
        <v>122</v>
      </c>
      <c r="D22" t="s">
        <v>123</v>
      </c>
      <c r="E22" t="s">
        <v>25</v>
      </c>
      <c r="F22" t="s">
        <v>26</v>
      </c>
      <c r="G22" t="s">
        <v>27</v>
      </c>
      <c r="H22" t="s">
        <v>28</v>
      </c>
      <c r="I22" t="s">
        <v>29</v>
      </c>
      <c r="J22">
        <v>1</v>
      </c>
      <c r="K22">
        <v>800</v>
      </c>
      <c r="L22">
        <v>15</v>
      </c>
      <c r="M22">
        <v>680</v>
      </c>
      <c r="N22">
        <v>560</v>
      </c>
      <c r="O22">
        <v>120</v>
      </c>
      <c r="P22" t="s">
        <v>109</v>
      </c>
      <c r="Q22" t="s">
        <v>110</v>
      </c>
      <c r="R22" t="s">
        <v>111</v>
      </c>
      <c r="S22" t="s">
        <v>32</v>
      </c>
      <c r="T22" t="s">
        <v>47</v>
      </c>
      <c r="U22" t="s">
        <v>48</v>
      </c>
      <c r="V22">
        <v>5</v>
      </c>
      <c r="W22">
        <f>Table1[[#This Row],[Profit]]/Table1[[#This Row],[Sales]]</f>
        <v>0.17647058823529413</v>
      </c>
    </row>
    <row r="23" spans="1:23" x14ac:dyDescent="0.25">
      <c r="A23" t="s">
        <v>124</v>
      </c>
      <c r="B23" s="1">
        <v>45978</v>
      </c>
      <c r="C23" t="s">
        <v>125</v>
      </c>
      <c r="D23" t="s">
        <v>126</v>
      </c>
      <c r="E23" t="s">
        <v>38</v>
      </c>
      <c r="F23" t="s">
        <v>39</v>
      </c>
      <c r="G23" t="s">
        <v>40</v>
      </c>
      <c r="H23" t="s">
        <v>41</v>
      </c>
      <c r="I23" t="s">
        <v>42</v>
      </c>
      <c r="J23">
        <v>3</v>
      </c>
      <c r="K23">
        <v>4500</v>
      </c>
      <c r="L23">
        <v>10</v>
      </c>
      <c r="M23">
        <v>12150</v>
      </c>
      <c r="N23">
        <v>9450</v>
      </c>
      <c r="O23">
        <v>2700</v>
      </c>
      <c r="P23" t="s">
        <v>109</v>
      </c>
      <c r="Q23" t="s">
        <v>110</v>
      </c>
      <c r="R23" t="s">
        <v>111</v>
      </c>
      <c r="S23" t="s">
        <v>60</v>
      </c>
      <c r="T23" t="s">
        <v>56</v>
      </c>
      <c r="U23" t="s">
        <v>34</v>
      </c>
      <c r="V23">
        <v>3</v>
      </c>
      <c r="W23">
        <f>Table1[[#This Row],[Profit]]/Table1[[#This Row],[Sales]]</f>
        <v>0.22222222222222221</v>
      </c>
    </row>
    <row r="24" spans="1:23" x14ac:dyDescent="0.25">
      <c r="A24" t="s">
        <v>127</v>
      </c>
      <c r="B24" s="1">
        <v>45895</v>
      </c>
      <c r="C24" t="s">
        <v>128</v>
      </c>
      <c r="D24" t="s">
        <v>129</v>
      </c>
      <c r="E24" t="s">
        <v>38</v>
      </c>
      <c r="F24" t="s">
        <v>39</v>
      </c>
      <c r="G24" t="s">
        <v>40</v>
      </c>
      <c r="H24" t="s">
        <v>41</v>
      </c>
      <c r="I24" t="s">
        <v>42</v>
      </c>
      <c r="J24">
        <v>1</v>
      </c>
      <c r="K24">
        <v>4500</v>
      </c>
      <c r="L24">
        <v>15</v>
      </c>
      <c r="M24">
        <v>3825</v>
      </c>
      <c r="N24">
        <v>3150</v>
      </c>
      <c r="O24">
        <v>675</v>
      </c>
      <c r="P24" t="s">
        <v>43</v>
      </c>
      <c r="Q24" t="s">
        <v>44</v>
      </c>
      <c r="R24" t="s">
        <v>45</v>
      </c>
      <c r="S24" t="s">
        <v>46</v>
      </c>
      <c r="T24" t="s">
        <v>47</v>
      </c>
      <c r="U24" t="s">
        <v>34</v>
      </c>
      <c r="V24">
        <v>2</v>
      </c>
      <c r="W24">
        <f>Table1[[#This Row],[Profit]]/Table1[[#This Row],[Sales]]</f>
        <v>0.17647058823529413</v>
      </c>
    </row>
    <row r="25" spans="1:23" x14ac:dyDescent="0.25">
      <c r="A25" t="s">
        <v>130</v>
      </c>
      <c r="B25" s="1">
        <v>45823</v>
      </c>
      <c r="C25" t="s">
        <v>131</v>
      </c>
      <c r="D25" t="s">
        <v>132</v>
      </c>
      <c r="E25" t="s">
        <v>38</v>
      </c>
      <c r="F25" t="s">
        <v>39</v>
      </c>
      <c r="G25" t="s">
        <v>40</v>
      </c>
      <c r="H25" t="s">
        <v>41</v>
      </c>
      <c r="I25" t="s">
        <v>42</v>
      </c>
      <c r="J25">
        <v>5</v>
      </c>
      <c r="K25">
        <v>4500</v>
      </c>
      <c r="L25">
        <v>0</v>
      </c>
      <c r="M25">
        <v>22500</v>
      </c>
      <c r="N25">
        <v>15750</v>
      </c>
      <c r="O25">
        <v>6750.0000000000018</v>
      </c>
      <c r="P25" t="s">
        <v>109</v>
      </c>
      <c r="Q25" t="s">
        <v>110</v>
      </c>
      <c r="R25" t="s">
        <v>111</v>
      </c>
      <c r="S25" t="s">
        <v>60</v>
      </c>
      <c r="T25" t="s">
        <v>47</v>
      </c>
      <c r="U25" t="s">
        <v>34</v>
      </c>
      <c r="V25">
        <v>2</v>
      </c>
      <c r="W25">
        <f>Table1[[#This Row],[Profit]]/Table1[[#This Row],[Sales]]</f>
        <v>0.3000000000000001</v>
      </c>
    </row>
    <row r="26" spans="1:23" x14ac:dyDescent="0.25">
      <c r="A26" t="s">
        <v>133</v>
      </c>
      <c r="B26" s="1">
        <v>45682</v>
      </c>
      <c r="C26" t="s">
        <v>134</v>
      </c>
      <c r="D26" t="s">
        <v>135</v>
      </c>
      <c r="E26" t="s">
        <v>38</v>
      </c>
      <c r="F26" t="s">
        <v>39</v>
      </c>
      <c r="G26" t="s">
        <v>40</v>
      </c>
      <c r="H26" t="s">
        <v>41</v>
      </c>
      <c r="I26" t="s">
        <v>42</v>
      </c>
      <c r="J26">
        <v>5</v>
      </c>
      <c r="K26">
        <v>4500</v>
      </c>
      <c r="L26">
        <v>0</v>
      </c>
      <c r="M26">
        <v>22500</v>
      </c>
      <c r="N26">
        <v>15750</v>
      </c>
      <c r="O26">
        <v>6750.0000000000018</v>
      </c>
      <c r="P26" t="s">
        <v>109</v>
      </c>
      <c r="Q26" t="s">
        <v>110</v>
      </c>
      <c r="R26" t="s">
        <v>111</v>
      </c>
      <c r="S26" t="s">
        <v>32</v>
      </c>
      <c r="T26" t="s">
        <v>56</v>
      </c>
      <c r="U26" t="s">
        <v>48</v>
      </c>
      <c r="V26">
        <v>5</v>
      </c>
      <c r="W26">
        <f>Table1[[#This Row],[Profit]]/Table1[[#This Row],[Sales]]</f>
        <v>0.3000000000000001</v>
      </c>
    </row>
    <row r="27" spans="1:23" x14ac:dyDescent="0.25">
      <c r="A27" t="s">
        <v>136</v>
      </c>
      <c r="B27" s="1">
        <v>45897</v>
      </c>
      <c r="C27" t="s">
        <v>137</v>
      </c>
      <c r="D27" t="s">
        <v>138</v>
      </c>
      <c r="E27" t="s">
        <v>73</v>
      </c>
      <c r="F27" t="s">
        <v>74</v>
      </c>
      <c r="G27" t="s">
        <v>27</v>
      </c>
      <c r="H27" t="s">
        <v>75</v>
      </c>
      <c r="I27" t="s">
        <v>76</v>
      </c>
      <c r="J27">
        <v>3</v>
      </c>
      <c r="K27">
        <v>3500</v>
      </c>
      <c r="L27">
        <v>10</v>
      </c>
      <c r="M27">
        <v>9450</v>
      </c>
      <c r="N27">
        <v>7349.9999999999991</v>
      </c>
      <c r="O27">
        <v>2100.0000000000009</v>
      </c>
      <c r="P27" t="s">
        <v>95</v>
      </c>
      <c r="Q27" t="s">
        <v>96</v>
      </c>
      <c r="R27" t="s">
        <v>45</v>
      </c>
      <c r="S27" t="s">
        <v>32</v>
      </c>
      <c r="T27" t="s">
        <v>33</v>
      </c>
      <c r="U27" t="s">
        <v>48</v>
      </c>
      <c r="V27">
        <v>3</v>
      </c>
      <c r="W27">
        <f>Table1[[#This Row],[Profit]]/Table1[[#This Row],[Sales]]</f>
        <v>0.22222222222222232</v>
      </c>
    </row>
    <row r="28" spans="1:23" x14ac:dyDescent="0.25">
      <c r="A28" t="s">
        <v>139</v>
      </c>
      <c r="B28" s="1">
        <v>45849</v>
      </c>
      <c r="C28" t="s">
        <v>140</v>
      </c>
      <c r="D28" t="s">
        <v>141</v>
      </c>
      <c r="E28" t="s">
        <v>67</v>
      </c>
      <c r="F28" t="s">
        <v>68</v>
      </c>
      <c r="G28" t="s">
        <v>27</v>
      </c>
      <c r="H28" t="s">
        <v>28</v>
      </c>
      <c r="I28" t="s">
        <v>69</v>
      </c>
      <c r="J28">
        <v>4</v>
      </c>
      <c r="K28">
        <v>1500</v>
      </c>
      <c r="L28">
        <v>10</v>
      </c>
      <c r="M28">
        <v>5400</v>
      </c>
      <c r="N28">
        <v>4200</v>
      </c>
      <c r="O28">
        <v>1200</v>
      </c>
      <c r="P28" t="s">
        <v>109</v>
      </c>
      <c r="Q28" t="s">
        <v>110</v>
      </c>
      <c r="R28" t="s">
        <v>111</v>
      </c>
      <c r="S28" t="s">
        <v>46</v>
      </c>
      <c r="T28" t="s">
        <v>56</v>
      </c>
      <c r="U28" t="s">
        <v>48</v>
      </c>
      <c r="V28">
        <v>3</v>
      </c>
      <c r="W28">
        <f>Table1[[#This Row],[Profit]]/Table1[[#This Row],[Sales]]</f>
        <v>0.22222222222222221</v>
      </c>
    </row>
    <row r="29" spans="1:23" x14ac:dyDescent="0.25">
      <c r="A29" t="s">
        <v>142</v>
      </c>
      <c r="B29" s="1">
        <v>45974</v>
      </c>
      <c r="C29" t="s">
        <v>143</v>
      </c>
      <c r="D29" t="s">
        <v>144</v>
      </c>
      <c r="E29" t="s">
        <v>73</v>
      </c>
      <c r="F29" t="s">
        <v>74</v>
      </c>
      <c r="G29" t="s">
        <v>27</v>
      </c>
      <c r="H29" t="s">
        <v>75</v>
      </c>
      <c r="I29" t="s">
        <v>76</v>
      </c>
      <c r="J29">
        <v>3</v>
      </c>
      <c r="K29">
        <v>3500</v>
      </c>
      <c r="L29">
        <v>0</v>
      </c>
      <c r="M29">
        <v>10500</v>
      </c>
      <c r="N29">
        <v>7349.9999999999991</v>
      </c>
      <c r="O29">
        <v>3150.0000000000009</v>
      </c>
      <c r="P29" t="s">
        <v>109</v>
      </c>
      <c r="Q29" t="s">
        <v>110</v>
      </c>
      <c r="R29" t="s">
        <v>111</v>
      </c>
      <c r="S29" t="s">
        <v>60</v>
      </c>
      <c r="T29" t="s">
        <v>47</v>
      </c>
      <c r="U29" t="s">
        <v>48</v>
      </c>
      <c r="V29">
        <v>3</v>
      </c>
      <c r="W29">
        <f>Table1[[#This Row],[Profit]]/Table1[[#This Row],[Sales]]</f>
        <v>0.3000000000000001</v>
      </c>
    </row>
    <row r="30" spans="1:23" x14ac:dyDescent="0.25">
      <c r="A30" t="s">
        <v>145</v>
      </c>
      <c r="B30" s="1">
        <v>45712</v>
      </c>
      <c r="C30" t="s">
        <v>146</v>
      </c>
      <c r="D30" t="s">
        <v>147</v>
      </c>
      <c r="E30" t="s">
        <v>25</v>
      </c>
      <c r="F30" t="s">
        <v>26</v>
      </c>
      <c r="G30" t="s">
        <v>27</v>
      </c>
      <c r="H30" t="s">
        <v>28</v>
      </c>
      <c r="I30" t="s">
        <v>29</v>
      </c>
      <c r="J30">
        <v>5</v>
      </c>
      <c r="K30">
        <v>800</v>
      </c>
      <c r="L30">
        <v>10</v>
      </c>
      <c r="M30">
        <v>3600</v>
      </c>
      <c r="N30">
        <v>2800</v>
      </c>
      <c r="O30">
        <v>800</v>
      </c>
      <c r="P30" t="s">
        <v>43</v>
      </c>
      <c r="Q30" t="s">
        <v>44</v>
      </c>
      <c r="R30" t="s">
        <v>45</v>
      </c>
      <c r="S30" t="s">
        <v>60</v>
      </c>
      <c r="T30" t="s">
        <v>47</v>
      </c>
      <c r="U30" t="s">
        <v>48</v>
      </c>
      <c r="V30">
        <v>2</v>
      </c>
      <c r="W30">
        <f>Table1[[#This Row],[Profit]]/Table1[[#This Row],[Sales]]</f>
        <v>0.22222222222222221</v>
      </c>
    </row>
    <row r="31" spans="1:23" x14ac:dyDescent="0.25">
      <c r="A31" t="s">
        <v>148</v>
      </c>
      <c r="B31" s="1">
        <v>45781</v>
      </c>
      <c r="C31" t="s">
        <v>149</v>
      </c>
      <c r="D31" t="s">
        <v>150</v>
      </c>
      <c r="E31" t="s">
        <v>38</v>
      </c>
      <c r="F31" t="s">
        <v>39</v>
      </c>
      <c r="G31" t="s">
        <v>40</v>
      </c>
      <c r="H31" t="s">
        <v>41</v>
      </c>
      <c r="I31" t="s">
        <v>42</v>
      </c>
      <c r="J31">
        <v>1</v>
      </c>
      <c r="K31">
        <v>4500</v>
      </c>
      <c r="L31">
        <v>5</v>
      </c>
      <c r="M31">
        <v>4275</v>
      </c>
      <c r="N31">
        <v>3150</v>
      </c>
      <c r="O31">
        <v>1125</v>
      </c>
      <c r="P31" t="s">
        <v>30</v>
      </c>
      <c r="Q31" t="s">
        <v>30</v>
      </c>
      <c r="R31" t="s">
        <v>31</v>
      </c>
      <c r="S31" t="s">
        <v>32</v>
      </c>
      <c r="T31" t="s">
        <v>33</v>
      </c>
      <c r="U31" t="s">
        <v>34</v>
      </c>
      <c r="V31">
        <v>3</v>
      </c>
      <c r="W31">
        <f>Table1[[#This Row],[Profit]]/Table1[[#This Row],[Sales]]</f>
        <v>0.26315789473684209</v>
      </c>
    </row>
    <row r="32" spans="1:23" x14ac:dyDescent="0.25">
      <c r="A32" t="s">
        <v>151</v>
      </c>
      <c r="B32" s="1">
        <v>45817</v>
      </c>
      <c r="C32" t="s">
        <v>152</v>
      </c>
      <c r="D32" t="s">
        <v>153</v>
      </c>
      <c r="E32" t="s">
        <v>25</v>
      </c>
      <c r="F32" t="s">
        <v>26</v>
      </c>
      <c r="G32" t="s">
        <v>27</v>
      </c>
      <c r="H32" t="s">
        <v>28</v>
      </c>
      <c r="I32" t="s">
        <v>29</v>
      </c>
      <c r="J32">
        <v>4</v>
      </c>
      <c r="K32">
        <v>800</v>
      </c>
      <c r="L32">
        <v>15</v>
      </c>
      <c r="M32">
        <v>2720</v>
      </c>
      <c r="N32">
        <v>2240</v>
      </c>
      <c r="O32">
        <v>480</v>
      </c>
      <c r="P32" t="s">
        <v>30</v>
      </c>
      <c r="Q32" t="s">
        <v>30</v>
      </c>
      <c r="R32" t="s">
        <v>31</v>
      </c>
      <c r="S32" t="s">
        <v>60</v>
      </c>
      <c r="T32" t="s">
        <v>33</v>
      </c>
      <c r="U32" t="s">
        <v>48</v>
      </c>
      <c r="V32">
        <v>3</v>
      </c>
      <c r="W32">
        <f>Table1[[#This Row],[Profit]]/Table1[[#This Row],[Sales]]</f>
        <v>0.17647058823529413</v>
      </c>
    </row>
    <row r="33" spans="1:23" x14ac:dyDescent="0.25">
      <c r="A33" t="s">
        <v>154</v>
      </c>
      <c r="B33" s="1">
        <v>45933</v>
      </c>
      <c r="C33" t="s">
        <v>155</v>
      </c>
      <c r="D33" t="s">
        <v>156</v>
      </c>
      <c r="E33" t="s">
        <v>25</v>
      </c>
      <c r="F33" t="s">
        <v>26</v>
      </c>
      <c r="G33" t="s">
        <v>27</v>
      </c>
      <c r="H33" t="s">
        <v>28</v>
      </c>
      <c r="I33" t="s">
        <v>29</v>
      </c>
      <c r="J33">
        <v>4</v>
      </c>
      <c r="K33">
        <v>800</v>
      </c>
      <c r="L33">
        <v>15</v>
      </c>
      <c r="M33">
        <v>2720</v>
      </c>
      <c r="N33">
        <v>2240</v>
      </c>
      <c r="O33">
        <v>480</v>
      </c>
      <c r="P33" t="s">
        <v>95</v>
      </c>
      <c r="Q33" t="s">
        <v>96</v>
      </c>
      <c r="R33" t="s">
        <v>45</v>
      </c>
      <c r="S33" t="s">
        <v>32</v>
      </c>
      <c r="T33" t="s">
        <v>56</v>
      </c>
      <c r="U33" t="s">
        <v>34</v>
      </c>
      <c r="V33">
        <v>4</v>
      </c>
      <c r="W33">
        <f>Table1[[#This Row],[Profit]]/Table1[[#This Row],[Sales]]</f>
        <v>0.17647058823529413</v>
      </c>
    </row>
    <row r="34" spans="1:23" x14ac:dyDescent="0.25">
      <c r="A34" t="s">
        <v>157</v>
      </c>
      <c r="B34" s="1">
        <v>45731</v>
      </c>
      <c r="C34" t="s">
        <v>158</v>
      </c>
      <c r="D34" t="s">
        <v>159</v>
      </c>
      <c r="E34" t="s">
        <v>67</v>
      </c>
      <c r="F34" t="s">
        <v>68</v>
      </c>
      <c r="G34" t="s">
        <v>27</v>
      </c>
      <c r="H34" t="s">
        <v>28</v>
      </c>
      <c r="I34" t="s">
        <v>69</v>
      </c>
      <c r="J34">
        <v>3</v>
      </c>
      <c r="K34">
        <v>1500</v>
      </c>
      <c r="L34">
        <v>15</v>
      </c>
      <c r="M34">
        <v>3825</v>
      </c>
      <c r="N34">
        <v>3150</v>
      </c>
      <c r="O34">
        <v>675</v>
      </c>
      <c r="P34" t="s">
        <v>109</v>
      </c>
      <c r="Q34" t="s">
        <v>110</v>
      </c>
      <c r="R34" t="s">
        <v>111</v>
      </c>
      <c r="S34" t="s">
        <v>46</v>
      </c>
      <c r="T34" t="s">
        <v>47</v>
      </c>
      <c r="U34" t="s">
        <v>34</v>
      </c>
      <c r="V34">
        <v>3</v>
      </c>
      <c r="W34">
        <f>Table1[[#This Row],[Profit]]/Table1[[#This Row],[Sales]]</f>
        <v>0.17647058823529413</v>
      </c>
    </row>
    <row r="35" spans="1:23" x14ac:dyDescent="0.25">
      <c r="A35" t="s">
        <v>160</v>
      </c>
      <c r="B35" s="1">
        <v>45837</v>
      </c>
      <c r="C35" t="s">
        <v>161</v>
      </c>
      <c r="D35" t="s">
        <v>162</v>
      </c>
      <c r="E35" t="s">
        <v>73</v>
      </c>
      <c r="F35" t="s">
        <v>74</v>
      </c>
      <c r="G35" t="s">
        <v>27</v>
      </c>
      <c r="H35" t="s">
        <v>75</v>
      </c>
      <c r="I35" t="s">
        <v>76</v>
      </c>
      <c r="J35">
        <v>1</v>
      </c>
      <c r="K35">
        <v>3500</v>
      </c>
      <c r="L35">
        <v>15</v>
      </c>
      <c r="M35">
        <v>2975</v>
      </c>
      <c r="N35">
        <v>2450</v>
      </c>
      <c r="O35">
        <v>525</v>
      </c>
      <c r="P35" t="s">
        <v>43</v>
      </c>
      <c r="Q35" t="s">
        <v>44</v>
      </c>
      <c r="R35" t="s">
        <v>45</v>
      </c>
      <c r="S35" t="s">
        <v>32</v>
      </c>
      <c r="T35" t="s">
        <v>56</v>
      </c>
      <c r="U35" t="s">
        <v>48</v>
      </c>
      <c r="V35">
        <v>4</v>
      </c>
      <c r="W35">
        <f>Table1[[#This Row],[Profit]]/Table1[[#This Row],[Sales]]</f>
        <v>0.17647058823529413</v>
      </c>
    </row>
    <row r="36" spans="1:23" x14ac:dyDescent="0.25">
      <c r="A36" t="s">
        <v>163</v>
      </c>
      <c r="B36" s="1">
        <v>45765</v>
      </c>
      <c r="C36" t="s">
        <v>164</v>
      </c>
      <c r="D36" t="s">
        <v>165</v>
      </c>
      <c r="E36" t="s">
        <v>38</v>
      </c>
      <c r="F36" t="s">
        <v>39</v>
      </c>
      <c r="G36" t="s">
        <v>40</v>
      </c>
      <c r="H36" t="s">
        <v>41</v>
      </c>
      <c r="I36" t="s">
        <v>42</v>
      </c>
      <c r="J36">
        <v>1</v>
      </c>
      <c r="K36">
        <v>4500</v>
      </c>
      <c r="L36">
        <v>5</v>
      </c>
      <c r="M36">
        <v>4275</v>
      </c>
      <c r="N36">
        <v>3150</v>
      </c>
      <c r="O36">
        <v>1125</v>
      </c>
      <c r="P36" t="s">
        <v>109</v>
      </c>
      <c r="Q36" t="s">
        <v>110</v>
      </c>
      <c r="R36" t="s">
        <v>111</v>
      </c>
      <c r="S36" t="s">
        <v>60</v>
      </c>
      <c r="T36" t="s">
        <v>56</v>
      </c>
      <c r="U36" t="s">
        <v>48</v>
      </c>
      <c r="V36">
        <v>4</v>
      </c>
      <c r="W36">
        <f>Table1[[#This Row],[Profit]]/Table1[[#This Row],[Sales]]</f>
        <v>0.26315789473684209</v>
      </c>
    </row>
    <row r="37" spans="1:23" x14ac:dyDescent="0.25">
      <c r="A37" t="s">
        <v>166</v>
      </c>
      <c r="B37" s="1">
        <v>45922</v>
      </c>
      <c r="C37" t="s">
        <v>167</v>
      </c>
      <c r="D37" t="s">
        <v>168</v>
      </c>
      <c r="E37" t="s">
        <v>52</v>
      </c>
      <c r="F37" t="s">
        <v>53</v>
      </c>
      <c r="G37" t="s">
        <v>27</v>
      </c>
      <c r="H37" t="s">
        <v>54</v>
      </c>
      <c r="I37" t="s">
        <v>55</v>
      </c>
      <c r="J37">
        <v>3</v>
      </c>
      <c r="K37">
        <v>55000</v>
      </c>
      <c r="L37">
        <v>0</v>
      </c>
      <c r="M37">
        <v>165000</v>
      </c>
      <c r="N37">
        <v>115500</v>
      </c>
      <c r="O37">
        <v>49500.000000000007</v>
      </c>
      <c r="P37" t="s">
        <v>95</v>
      </c>
      <c r="Q37" t="s">
        <v>96</v>
      </c>
      <c r="R37" t="s">
        <v>45</v>
      </c>
      <c r="S37" t="s">
        <v>32</v>
      </c>
      <c r="T37" t="s">
        <v>56</v>
      </c>
      <c r="U37" t="s">
        <v>48</v>
      </c>
      <c r="V37">
        <v>3</v>
      </c>
      <c r="W37">
        <f>Table1[[#This Row],[Profit]]/Table1[[#This Row],[Sales]]</f>
        <v>0.30000000000000004</v>
      </c>
    </row>
    <row r="38" spans="1:23" x14ac:dyDescent="0.25">
      <c r="A38" t="s">
        <v>169</v>
      </c>
      <c r="B38" s="1">
        <v>45793</v>
      </c>
      <c r="C38" t="s">
        <v>170</v>
      </c>
      <c r="D38" t="s">
        <v>171</v>
      </c>
      <c r="E38" t="s">
        <v>67</v>
      </c>
      <c r="F38" t="s">
        <v>68</v>
      </c>
      <c r="G38" t="s">
        <v>27</v>
      </c>
      <c r="H38" t="s">
        <v>28</v>
      </c>
      <c r="I38" t="s">
        <v>69</v>
      </c>
      <c r="J38">
        <v>2</v>
      </c>
      <c r="K38">
        <v>1500</v>
      </c>
      <c r="L38">
        <v>5</v>
      </c>
      <c r="M38">
        <v>2850</v>
      </c>
      <c r="N38">
        <v>2100</v>
      </c>
      <c r="O38">
        <v>750</v>
      </c>
      <c r="P38" t="s">
        <v>30</v>
      </c>
      <c r="Q38" t="s">
        <v>30</v>
      </c>
      <c r="R38" t="s">
        <v>31</v>
      </c>
      <c r="S38" t="s">
        <v>32</v>
      </c>
      <c r="T38" t="s">
        <v>47</v>
      </c>
      <c r="U38" t="s">
        <v>34</v>
      </c>
      <c r="V38">
        <v>2</v>
      </c>
      <c r="W38">
        <f>Table1[[#This Row],[Profit]]/Table1[[#This Row],[Sales]]</f>
        <v>0.26315789473684209</v>
      </c>
    </row>
    <row r="39" spans="1:23" x14ac:dyDescent="0.25">
      <c r="A39" t="s">
        <v>172</v>
      </c>
      <c r="B39" s="1">
        <v>45843</v>
      </c>
      <c r="C39" t="s">
        <v>173</v>
      </c>
      <c r="D39" t="s">
        <v>174</v>
      </c>
      <c r="E39" t="s">
        <v>67</v>
      </c>
      <c r="F39" t="s">
        <v>68</v>
      </c>
      <c r="G39" t="s">
        <v>27</v>
      </c>
      <c r="H39" t="s">
        <v>28</v>
      </c>
      <c r="I39" t="s">
        <v>69</v>
      </c>
      <c r="J39">
        <v>1</v>
      </c>
      <c r="K39">
        <v>1500</v>
      </c>
      <c r="L39">
        <v>15</v>
      </c>
      <c r="M39">
        <v>1275</v>
      </c>
      <c r="N39">
        <v>1050</v>
      </c>
      <c r="O39">
        <v>225</v>
      </c>
      <c r="P39" t="s">
        <v>109</v>
      </c>
      <c r="Q39" t="s">
        <v>110</v>
      </c>
      <c r="R39" t="s">
        <v>111</v>
      </c>
      <c r="S39" t="s">
        <v>60</v>
      </c>
      <c r="T39" t="s">
        <v>47</v>
      </c>
      <c r="U39" t="s">
        <v>48</v>
      </c>
      <c r="V39">
        <v>2</v>
      </c>
      <c r="W39">
        <f>Table1[[#This Row],[Profit]]/Table1[[#This Row],[Sales]]</f>
        <v>0.17647058823529413</v>
      </c>
    </row>
    <row r="40" spans="1:23" x14ac:dyDescent="0.25">
      <c r="A40" t="s">
        <v>175</v>
      </c>
      <c r="B40" s="1">
        <v>45916</v>
      </c>
      <c r="C40" t="s">
        <v>176</v>
      </c>
      <c r="D40" t="s">
        <v>24</v>
      </c>
      <c r="E40" t="s">
        <v>38</v>
      </c>
      <c r="F40" t="s">
        <v>39</v>
      </c>
      <c r="G40" t="s">
        <v>40</v>
      </c>
      <c r="H40" t="s">
        <v>41</v>
      </c>
      <c r="I40" t="s">
        <v>42</v>
      </c>
      <c r="J40">
        <v>4</v>
      </c>
      <c r="K40">
        <v>4500</v>
      </c>
      <c r="L40">
        <v>10</v>
      </c>
      <c r="M40">
        <v>16200</v>
      </c>
      <c r="N40">
        <v>12600</v>
      </c>
      <c r="O40">
        <v>3600</v>
      </c>
      <c r="P40" t="s">
        <v>30</v>
      </c>
      <c r="Q40" t="s">
        <v>30</v>
      </c>
      <c r="R40" t="s">
        <v>31</v>
      </c>
      <c r="S40" t="s">
        <v>60</v>
      </c>
      <c r="T40" t="s">
        <v>33</v>
      </c>
      <c r="U40" t="s">
        <v>34</v>
      </c>
      <c r="V40">
        <v>1</v>
      </c>
      <c r="W40">
        <f>Table1[[#This Row],[Profit]]/Table1[[#This Row],[Sales]]</f>
        <v>0.22222222222222221</v>
      </c>
    </row>
    <row r="41" spans="1:23" x14ac:dyDescent="0.25">
      <c r="A41" t="s">
        <v>177</v>
      </c>
      <c r="B41" s="1">
        <v>45995</v>
      </c>
      <c r="C41" t="s">
        <v>178</v>
      </c>
      <c r="D41" t="s">
        <v>179</v>
      </c>
      <c r="E41" t="s">
        <v>52</v>
      </c>
      <c r="F41" t="s">
        <v>53</v>
      </c>
      <c r="G41" t="s">
        <v>27</v>
      </c>
      <c r="H41" t="s">
        <v>54</v>
      </c>
      <c r="I41" t="s">
        <v>55</v>
      </c>
      <c r="J41">
        <v>5</v>
      </c>
      <c r="K41">
        <v>55000</v>
      </c>
      <c r="L41">
        <v>10</v>
      </c>
      <c r="M41">
        <v>247500</v>
      </c>
      <c r="N41">
        <v>192500</v>
      </c>
      <c r="O41">
        <v>55000</v>
      </c>
      <c r="P41" t="s">
        <v>30</v>
      </c>
      <c r="Q41" t="s">
        <v>30</v>
      </c>
      <c r="R41" t="s">
        <v>31</v>
      </c>
      <c r="S41" t="s">
        <v>32</v>
      </c>
      <c r="T41" t="s">
        <v>56</v>
      </c>
      <c r="U41" t="s">
        <v>48</v>
      </c>
      <c r="V41">
        <v>1</v>
      </c>
      <c r="W41">
        <f>Table1[[#This Row],[Profit]]/Table1[[#This Row],[Sales]]</f>
        <v>0.22222222222222221</v>
      </c>
    </row>
    <row r="42" spans="1:23" x14ac:dyDescent="0.25">
      <c r="A42" t="s">
        <v>180</v>
      </c>
      <c r="B42" s="1">
        <v>45875</v>
      </c>
      <c r="C42" t="s">
        <v>181</v>
      </c>
      <c r="D42" t="s">
        <v>182</v>
      </c>
      <c r="E42" t="s">
        <v>25</v>
      </c>
      <c r="F42" t="s">
        <v>26</v>
      </c>
      <c r="G42" t="s">
        <v>27</v>
      </c>
      <c r="H42" t="s">
        <v>28</v>
      </c>
      <c r="I42" t="s">
        <v>29</v>
      </c>
      <c r="J42">
        <v>4</v>
      </c>
      <c r="K42">
        <v>800</v>
      </c>
      <c r="L42">
        <v>0</v>
      </c>
      <c r="M42">
        <v>3200</v>
      </c>
      <c r="N42">
        <v>2240</v>
      </c>
      <c r="O42">
        <v>960</v>
      </c>
      <c r="P42" t="s">
        <v>30</v>
      </c>
      <c r="Q42" t="s">
        <v>30</v>
      </c>
      <c r="R42" t="s">
        <v>31</v>
      </c>
      <c r="S42" t="s">
        <v>46</v>
      </c>
      <c r="T42" t="s">
        <v>56</v>
      </c>
      <c r="U42" t="s">
        <v>34</v>
      </c>
      <c r="V42">
        <v>4</v>
      </c>
      <c r="W42">
        <f>Table1[[#This Row],[Profit]]/Table1[[#This Row],[Sales]]</f>
        <v>0.3</v>
      </c>
    </row>
    <row r="43" spans="1:23" x14ac:dyDescent="0.25">
      <c r="A43" t="s">
        <v>183</v>
      </c>
      <c r="B43" s="1">
        <v>45735</v>
      </c>
      <c r="C43" t="s">
        <v>184</v>
      </c>
      <c r="D43" t="s">
        <v>185</v>
      </c>
      <c r="E43" t="s">
        <v>73</v>
      </c>
      <c r="F43" t="s">
        <v>74</v>
      </c>
      <c r="G43" t="s">
        <v>27</v>
      </c>
      <c r="H43" t="s">
        <v>75</v>
      </c>
      <c r="I43" t="s">
        <v>76</v>
      </c>
      <c r="J43">
        <v>5</v>
      </c>
      <c r="K43">
        <v>3500</v>
      </c>
      <c r="L43">
        <v>10</v>
      </c>
      <c r="M43">
        <v>15750</v>
      </c>
      <c r="N43">
        <v>12250</v>
      </c>
      <c r="O43">
        <v>3500</v>
      </c>
      <c r="P43" t="s">
        <v>30</v>
      </c>
      <c r="Q43" t="s">
        <v>30</v>
      </c>
      <c r="R43" t="s">
        <v>31</v>
      </c>
      <c r="S43" t="s">
        <v>32</v>
      </c>
      <c r="T43" t="s">
        <v>56</v>
      </c>
      <c r="U43" t="s">
        <v>34</v>
      </c>
      <c r="V43">
        <v>2</v>
      </c>
      <c r="W43">
        <f>Table1[[#This Row],[Profit]]/Table1[[#This Row],[Sales]]</f>
        <v>0.22222222222222221</v>
      </c>
    </row>
    <row r="44" spans="1:23" x14ac:dyDescent="0.25">
      <c r="A44" t="s">
        <v>186</v>
      </c>
      <c r="B44" s="1">
        <v>45867</v>
      </c>
      <c r="C44" t="s">
        <v>187</v>
      </c>
      <c r="D44" t="s">
        <v>188</v>
      </c>
      <c r="E44" t="s">
        <v>67</v>
      </c>
      <c r="F44" t="s">
        <v>68</v>
      </c>
      <c r="G44" t="s">
        <v>27</v>
      </c>
      <c r="H44" t="s">
        <v>28</v>
      </c>
      <c r="I44" t="s">
        <v>69</v>
      </c>
      <c r="J44">
        <v>3</v>
      </c>
      <c r="K44">
        <v>1500</v>
      </c>
      <c r="L44">
        <v>5</v>
      </c>
      <c r="M44">
        <v>4275</v>
      </c>
      <c r="N44">
        <v>3150</v>
      </c>
      <c r="O44">
        <v>1125</v>
      </c>
      <c r="P44" t="s">
        <v>109</v>
      </c>
      <c r="Q44" t="s">
        <v>110</v>
      </c>
      <c r="R44" t="s">
        <v>111</v>
      </c>
      <c r="S44" t="s">
        <v>60</v>
      </c>
      <c r="T44" t="s">
        <v>56</v>
      </c>
      <c r="U44" t="s">
        <v>48</v>
      </c>
      <c r="V44">
        <v>1</v>
      </c>
      <c r="W44">
        <f>Table1[[#This Row],[Profit]]/Table1[[#This Row],[Sales]]</f>
        <v>0.26315789473684209</v>
      </c>
    </row>
    <row r="45" spans="1:23" x14ac:dyDescent="0.25">
      <c r="A45" t="s">
        <v>189</v>
      </c>
      <c r="B45" s="1">
        <v>45923</v>
      </c>
      <c r="C45" t="s">
        <v>190</v>
      </c>
      <c r="D45" t="s">
        <v>191</v>
      </c>
      <c r="E45" t="s">
        <v>73</v>
      </c>
      <c r="F45" t="s">
        <v>74</v>
      </c>
      <c r="G45" t="s">
        <v>27</v>
      </c>
      <c r="H45" t="s">
        <v>75</v>
      </c>
      <c r="I45" t="s">
        <v>76</v>
      </c>
      <c r="J45">
        <v>3</v>
      </c>
      <c r="K45">
        <v>3500</v>
      </c>
      <c r="L45">
        <v>0</v>
      </c>
      <c r="M45">
        <v>10500</v>
      </c>
      <c r="N45">
        <v>7349.9999999999991</v>
      </c>
      <c r="O45">
        <v>3150.0000000000009</v>
      </c>
      <c r="P45" t="s">
        <v>95</v>
      </c>
      <c r="Q45" t="s">
        <v>96</v>
      </c>
      <c r="R45" t="s">
        <v>45</v>
      </c>
      <c r="S45" t="s">
        <v>60</v>
      </c>
      <c r="T45" t="s">
        <v>56</v>
      </c>
      <c r="U45" t="s">
        <v>34</v>
      </c>
      <c r="V45">
        <v>1</v>
      </c>
      <c r="W45">
        <f>Table1[[#This Row],[Profit]]/Table1[[#This Row],[Sales]]</f>
        <v>0.3000000000000001</v>
      </c>
    </row>
    <row r="46" spans="1:23" x14ac:dyDescent="0.25">
      <c r="A46" t="s">
        <v>192</v>
      </c>
      <c r="B46" s="1">
        <v>45895</v>
      </c>
      <c r="C46" t="s">
        <v>193</v>
      </c>
      <c r="D46" t="s">
        <v>194</v>
      </c>
      <c r="E46" t="s">
        <v>25</v>
      </c>
      <c r="F46" t="s">
        <v>26</v>
      </c>
      <c r="G46" t="s">
        <v>27</v>
      </c>
      <c r="H46" t="s">
        <v>28</v>
      </c>
      <c r="I46" t="s">
        <v>29</v>
      </c>
      <c r="J46">
        <v>4</v>
      </c>
      <c r="K46">
        <v>800</v>
      </c>
      <c r="L46">
        <v>10</v>
      </c>
      <c r="M46">
        <v>2880</v>
      </c>
      <c r="N46">
        <v>2240</v>
      </c>
      <c r="O46">
        <v>640</v>
      </c>
      <c r="P46" t="s">
        <v>43</v>
      </c>
      <c r="Q46" t="s">
        <v>44</v>
      </c>
      <c r="R46" t="s">
        <v>45</v>
      </c>
      <c r="S46" t="s">
        <v>60</v>
      </c>
      <c r="T46" t="s">
        <v>33</v>
      </c>
      <c r="U46" t="s">
        <v>34</v>
      </c>
      <c r="V46">
        <v>4</v>
      </c>
      <c r="W46">
        <f>Table1[[#This Row],[Profit]]/Table1[[#This Row],[Sales]]</f>
        <v>0.22222222222222221</v>
      </c>
    </row>
    <row r="47" spans="1:23" x14ac:dyDescent="0.25">
      <c r="A47" t="s">
        <v>195</v>
      </c>
      <c r="B47" s="1">
        <v>45683</v>
      </c>
      <c r="C47" t="s">
        <v>196</v>
      </c>
      <c r="D47" t="s">
        <v>197</v>
      </c>
      <c r="E47" t="s">
        <v>25</v>
      </c>
      <c r="F47" t="s">
        <v>26</v>
      </c>
      <c r="G47" t="s">
        <v>27</v>
      </c>
      <c r="H47" t="s">
        <v>28</v>
      </c>
      <c r="I47" t="s">
        <v>29</v>
      </c>
      <c r="J47">
        <v>2</v>
      </c>
      <c r="K47">
        <v>800</v>
      </c>
      <c r="L47">
        <v>10</v>
      </c>
      <c r="M47">
        <v>1440</v>
      </c>
      <c r="N47">
        <v>1120</v>
      </c>
      <c r="O47">
        <v>320</v>
      </c>
      <c r="P47" t="s">
        <v>95</v>
      </c>
      <c r="Q47" t="s">
        <v>96</v>
      </c>
      <c r="R47" t="s">
        <v>45</v>
      </c>
      <c r="S47" t="s">
        <v>46</v>
      </c>
      <c r="T47" t="s">
        <v>33</v>
      </c>
      <c r="U47" t="s">
        <v>48</v>
      </c>
      <c r="V47">
        <v>2</v>
      </c>
      <c r="W47">
        <f>Table1[[#This Row],[Profit]]/Table1[[#This Row],[Sales]]</f>
        <v>0.22222222222222221</v>
      </c>
    </row>
    <row r="48" spans="1:23" x14ac:dyDescent="0.25">
      <c r="A48" t="s">
        <v>198</v>
      </c>
      <c r="B48" s="1">
        <v>45762</v>
      </c>
      <c r="C48" t="s">
        <v>199</v>
      </c>
      <c r="D48" t="s">
        <v>200</v>
      </c>
      <c r="E48" t="s">
        <v>38</v>
      </c>
      <c r="F48" t="s">
        <v>39</v>
      </c>
      <c r="G48" t="s">
        <v>40</v>
      </c>
      <c r="H48" t="s">
        <v>41</v>
      </c>
      <c r="I48" t="s">
        <v>42</v>
      </c>
      <c r="J48">
        <v>5</v>
      </c>
      <c r="K48">
        <v>4500</v>
      </c>
      <c r="L48">
        <v>15</v>
      </c>
      <c r="M48">
        <v>19125</v>
      </c>
      <c r="N48">
        <v>15750</v>
      </c>
      <c r="O48">
        <v>3375.0000000000018</v>
      </c>
      <c r="P48" t="s">
        <v>109</v>
      </c>
      <c r="Q48" t="s">
        <v>110</v>
      </c>
      <c r="R48" t="s">
        <v>111</v>
      </c>
      <c r="S48" t="s">
        <v>46</v>
      </c>
      <c r="T48" t="s">
        <v>47</v>
      </c>
      <c r="U48" t="s">
        <v>34</v>
      </c>
      <c r="V48">
        <v>3</v>
      </c>
      <c r="W48">
        <f>Table1[[#This Row],[Profit]]/Table1[[#This Row],[Sales]]</f>
        <v>0.17647058823529421</v>
      </c>
    </row>
    <row r="49" spans="1:23" x14ac:dyDescent="0.25">
      <c r="A49" t="s">
        <v>201</v>
      </c>
      <c r="B49" s="1">
        <v>45832</v>
      </c>
      <c r="C49" t="s">
        <v>202</v>
      </c>
      <c r="D49" t="s">
        <v>203</v>
      </c>
      <c r="E49" t="s">
        <v>67</v>
      </c>
      <c r="F49" t="s">
        <v>68</v>
      </c>
      <c r="G49" t="s">
        <v>27</v>
      </c>
      <c r="H49" t="s">
        <v>28</v>
      </c>
      <c r="I49" t="s">
        <v>69</v>
      </c>
      <c r="J49">
        <v>2</v>
      </c>
      <c r="K49">
        <v>1500</v>
      </c>
      <c r="L49">
        <v>0</v>
      </c>
      <c r="M49">
        <v>3000</v>
      </c>
      <c r="N49">
        <v>2100</v>
      </c>
      <c r="O49">
        <v>900</v>
      </c>
      <c r="P49" t="s">
        <v>109</v>
      </c>
      <c r="Q49" t="s">
        <v>110</v>
      </c>
      <c r="R49" t="s">
        <v>111</v>
      </c>
      <c r="S49" t="s">
        <v>46</v>
      </c>
      <c r="T49" t="s">
        <v>56</v>
      </c>
      <c r="U49" t="s">
        <v>34</v>
      </c>
      <c r="V49">
        <v>4</v>
      </c>
      <c r="W49">
        <f>Table1[[#This Row],[Profit]]/Table1[[#This Row],[Sales]]</f>
        <v>0.3</v>
      </c>
    </row>
    <row r="50" spans="1:23" x14ac:dyDescent="0.25">
      <c r="A50" t="s">
        <v>204</v>
      </c>
      <c r="B50" s="1">
        <v>45696</v>
      </c>
      <c r="C50" t="s">
        <v>205</v>
      </c>
      <c r="D50" t="s">
        <v>206</v>
      </c>
      <c r="E50" t="s">
        <v>52</v>
      </c>
      <c r="F50" t="s">
        <v>53</v>
      </c>
      <c r="G50" t="s">
        <v>27</v>
      </c>
      <c r="H50" t="s">
        <v>54</v>
      </c>
      <c r="I50" t="s">
        <v>55</v>
      </c>
      <c r="J50">
        <v>3</v>
      </c>
      <c r="K50">
        <v>55000</v>
      </c>
      <c r="L50">
        <v>5</v>
      </c>
      <c r="M50">
        <v>156750</v>
      </c>
      <c r="N50">
        <v>115500</v>
      </c>
      <c r="O50">
        <v>41250.000000000007</v>
      </c>
      <c r="P50" t="s">
        <v>95</v>
      </c>
      <c r="Q50" t="s">
        <v>96</v>
      </c>
      <c r="R50" t="s">
        <v>45</v>
      </c>
      <c r="S50" t="s">
        <v>60</v>
      </c>
      <c r="T50" t="s">
        <v>47</v>
      </c>
      <c r="U50" t="s">
        <v>34</v>
      </c>
      <c r="V50">
        <v>2</v>
      </c>
      <c r="W50">
        <f>Table1[[#This Row],[Profit]]/Table1[[#This Row],[Sales]]</f>
        <v>0.26315789473684215</v>
      </c>
    </row>
    <row r="51" spans="1:23" x14ac:dyDescent="0.25">
      <c r="A51" t="s">
        <v>207</v>
      </c>
      <c r="B51" s="1">
        <v>45997</v>
      </c>
      <c r="C51" t="s">
        <v>208</v>
      </c>
      <c r="D51" t="s">
        <v>209</v>
      </c>
      <c r="E51" t="s">
        <v>52</v>
      </c>
      <c r="F51" t="s">
        <v>53</v>
      </c>
      <c r="G51" t="s">
        <v>27</v>
      </c>
      <c r="H51" t="s">
        <v>54</v>
      </c>
      <c r="I51" t="s">
        <v>55</v>
      </c>
      <c r="J51">
        <v>3</v>
      </c>
      <c r="K51">
        <v>55000</v>
      </c>
      <c r="L51">
        <v>0</v>
      </c>
      <c r="M51">
        <v>165000</v>
      </c>
      <c r="N51">
        <v>115500</v>
      </c>
      <c r="O51">
        <v>49500.000000000007</v>
      </c>
      <c r="P51" t="s">
        <v>43</v>
      </c>
      <c r="Q51" t="s">
        <v>44</v>
      </c>
      <c r="R51" t="s">
        <v>45</v>
      </c>
      <c r="S51" t="s">
        <v>60</v>
      </c>
      <c r="T51" t="s">
        <v>47</v>
      </c>
      <c r="U51" t="s">
        <v>48</v>
      </c>
      <c r="V51">
        <v>1</v>
      </c>
      <c r="W51">
        <f>Table1[[#This Row],[Profit]]/Table1[[#This Row],[Sales]]</f>
        <v>0.30000000000000004</v>
      </c>
    </row>
    <row r="52" spans="1:23" x14ac:dyDescent="0.25">
      <c r="A52" t="s">
        <v>210</v>
      </c>
      <c r="B52" s="1">
        <v>45857</v>
      </c>
      <c r="C52" t="s">
        <v>211</v>
      </c>
      <c r="D52" t="s">
        <v>212</v>
      </c>
      <c r="E52" t="s">
        <v>67</v>
      </c>
      <c r="F52" t="s">
        <v>68</v>
      </c>
      <c r="G52" t="s">
        <v>27</v>
      </c>
      <c r="H52" t="s">
        <v>28</v>
      </c>
      <c r="I52" t="s">
        <v>69</v>
      </c>
      <c r="J52">
        <v>3</v>
      </c>
      <c r="K52">
        <v>1500</v>
      </c>
      <c r="L52">
        <v>15</v>
      </c>
      <c r="M52">
        <v>3825</v>
      </c>
      <c r="N52">
        <v>3150</v>
      </c>
      <c r="O52">
        <v>675</v>
      </c>
      <c r="P52" t="s">
        <v>109</v>
      </c>
      <c r="Q52" t="s">
        <v>110</v>
      </c>
      <c r="R52" t="s">
        <v>111</v>
      </c>
      <c r="S52" t="s">
        <v>32</v>
      </c>
      <c r="T52" t="s">
        <v>47</v>
      </c>
      <c r="U52" t="s">
        <v>34</v>
      </c>
      <c r="V52">
        <v>3</v>
      </c>
      <c r="W52">
        <f>Table1[[#This Row],[Profit]]/Table1[[#This Row],[Sales]]</f>
        <v>0.17647058823529413</v>
      </c>
    </row>
    <row r="53" spans="1:23" x14ac:dyDescent="0.25">
      <c r="A53" t="s">
        <v>213</v>
      </c>
      <c r="B53" s="1">
        <v>45751</v>
      </c>
      <c r="C53" t="s">
        <v>214</v>
      </c>
      <c r="D53" t="s">
        <v>215</v>
      </c>
      <c r="E53" t="s">
        <v>73</v>
      </c>
      <c r="F53" t="s">
        <v>74</v>
      </c>
      <c r="G53" t="s">
        <v>27</v>
      </c>
      <c r="H53" t="s">
        <v>75</v>
      </c>
      <c r="I53" t="s">
        <v>76</v>
      </c>
      <c r="J53">
        <v>4</v>
      </c>
      <c r="K53">
        <v>3500</v>
      </c>
      <c r="L53">
        <v>15</v>
      </c>
      <c r="M53">
        <v>11900</v>
      </c>
      <c r="N53">
        <v>9800</v>
      </c>
      <c r="O53">
        <v>2100</v>
      </c>
      <c r="P53" t="s">
        <v>30</v>
      </c>
      <c r="Q53" t="s">
        <v>30</v>
      </c>
      <c r="R53" t="s">
        <v>31</v>
      </c>
      <c r="S53" t="s">
        <v>60</v>
      </c>
      <c r="T53" t="s">
        <v>47</v>
      </c>
      <c r="U53" t="s">
        <v>48</v>
      </c>
      <c r="V53">
        <v>2</v>
      </c>
      <c r="W53">
        <f>Table1[[#This Row],[Profit]]/Table1[[#This Row],[Sales]]</f>
        <v>0.17647058823529413</v>
      </c>
    </row>
    <row r="54" spans="1:23" x14ac:dyDescent="0.25">
      <c r="A54" t="s">
        <v>216</v>
      </c>
      <c r="B54" s="1">
        <v>45891</v>
      </c>
      <c r="C54" t="s">
        <v>217</v>
      </c>
      <c r="D54" t="s">
        <v>218</v>
      </c>
      <c r="E54" t="s">
        <v>52</v>
      </c>
      <c r="F54" t="s">
        <v>53</v>
      </c>
      <c r="G54" t="s">
        <v>27</v>
      </c>
      <c r="H54" t="s">
        <v>54</v>
      </c>
      <c r="I54" t="s">
        <v>55</v>
      </c>
      <c r="J54">
        <v>2</v>
      </c>
      <c r="K54">
        <v>55000</v>
      </c>
      <c r="L54">
        <v>10</v>
      </c>
      <c r="M54">
        <v>99000</v>
      </c>
      <c r="N54">
        <v>77000</v>
      </c>
      <c r="O54">
        <v>22000</v>
      </c>
      <c r="P54" t="s">
        <v>43</v>
      </c>
      <c r="Q54" t="s">
        <v>44</v>
      </c>
      <c r="R54" t="s">
        <v>45</v>
      </c>
      <c r="S54" t="s">
        <v>32</v>
      </c>
      <c r="T54" t="s">
        <v>33</v>
      </c>
      <c r="U54" t="s">
        <v>48</v>
      </c>
      <c r="V54">
        <v>5</v>
      </c>
      <c r="W54">
        <f>Table1[[#This Row],[Profit]]/Table1[[#This Row],[Sales]]</f>
        <v>0.22222222222222221</v>
      </c>
    </row>
    <row r="55" spans="1:23" x14ac:dyDescent="0.25">
      <c r="A55" t="s">
        <v>219</v>
      </c>
      <c r="B55" s="1">
        <v>45925</v>
      </c>
      <c r="C55" t="s">
        <v>208</v>
      </c>
      <c r="D55" t="s">
        <v>220</v>
      </c>
      <c r="E55" t="s">
        <v>52</v>
      </c>
      <c r="F55" t="s">
        <v>53</v>
      </c>
      <c r="G55" t="s">
        <v>27</v>
      </c>
      <c r="H55" t="s">
        <v>54</v>
      </c>
      <c r="I55" t="s">
        <v>55</v>
      </c>
      <c r="J55">
        <v>4</v>
      </c>
      <c r="K55">
        <v>55000</v>
      </c>
      <c r="L55">
        <v>10</v>
      </c>
      <c r="M55">
        <v>198000</v>
      </c>
      <c r="N55">
        <v>154000</v>
      </c>
      <c r="O55">
        <v>44000</v>
      </c>
      <c r="P55" t="s">
        <v>95</v>
      </c>
      <c r="Q55" t="s">
        <v>96</v>
      </c>
      <c r="R55" t="s">
        <v>45</v>
      </c>
      <c r="S55" t="s">
        <v>32</v>
      </c>
      <c r="T55" t="s">
        <v>33</v>
      </c>
      <c r="U55" t="s">
        <v>34</v>
      </c>
      <c r="V55">
        <v>4</v>
      </c>
      <c r="W55">
        <f>Table1[[#This Row],[Profit]]/Table1[[#This Row],[Sales]]</f>
        <v>0.22222222222222221</v>
      </c>
    </row>
    <row r="56" spans="1:23" x14ac:dyDescent="0.25">
      <c r="A56" t="s">
        <v>221</v>
      </c>
      <c r="B56" s="1">
        <v>45858</v>
      </c>
      <c r="C56" t="s">
        <v>222</v>
      </c>
      <c r="D56" t="s">
        <v>223</v>
      </c>
      <c r="E56" t="s">
        <v>25</v>
      </c>
      <c r="F56" t="s">
        <v>26</v>
      </c>
      <c r="G56" t="s">
        <v>27</v>
      </c>
      <c r="H56" t="s">
        <v>28</v>
      </c>
      <c r="I56" t="s">
        <v>29</v>
      </c>
      <c r="J56">
        <v>5</v>
      </c>
      <c r="K56">
        <v>800</v>
      </c>
      <c r="L56">
        <v>10</v>
      </c>
      <c r="M56">
        <v>3600</v>
      </c>
      <c r="N56">
        <v>2800</v>
      </c>
      <c r="O56">
        <v>800</v>
      </c>
      <c r="P56" t="s">
        <v>43</v>
      </c>
      <c r="Q56" t="s">
        <v>44</v>
      </c>
      <c r="R56" t="s">
        <v>45</v>
      </c>
      <c r="S56" t="s">
        <v>60</v>
      </c>
      <c r="T56" t="s">
        <v>47</v>
      </c>
      <c r="U56" t="s">
        <v>34</v>
      </c>
      <c r="V56">
        <v>5</v>
      </c>
      <c r="W56">
        <f>Table1[[#This Row],[Profit]]/Table1[[#This Row],[Sales]]</f>
        <v>0.22222222222222221</v>
      </c>
    </row>
    <row r="57" spans="1:23" x14ac:dyDescent="0.25">
      <c r="A57" t="s">
        <v>224</v>
      </c>
      <c r="B57" s="1">
        <v>45695</v>
      </c>
      <c r="C57" t="s">
        <v>225</v>
      </c>
      <c r="D57" t="s">
        <v>226</v>
      </c>
      <c r="E57" t="s">
        <v>73</v>
      </c>
      <c r="F57" t="s">
        <v>74</v>
      </c>
      <c r="G57" t="s">
        <v>27</v>
      </c>
      <c r="H57" t="s">
        <v>75</v>
      </c>
      <c r="I57" t="s">
        <v>76</v>
      </c>
      <c r="J57">
        <v>4</v>
      </c>
      <c r="K57">
        <v>3500</v>
      </c>
      <c r="L57">
        <v>10</v>
      </c>
      <c r="M57">
        <v>12600</v>
      </c>
      <c r="N57">
        <v>9800</v>
      </c>
      <c r="O57">
        <v>2800</v>
      </c>
      <c r="P57" t="s">
        <v>30</v>
      </c>
      <c r="Q57" t="s">
        <v>30</v>
      </c>
      <c r="R57" t="s">
        <v>31</v>
      </c>
      <c r="S57" t="s">
        <v>46</v>
      </c>
      <c r="T57" t="s">
        <v>33</v>
      </c>
      <c r="U57" t="s">
        <v>48</v>
      </c>
      <c r="V57">
        <v>2</v>
      </c>
      <c r="W57">
        <f>Table1[[#This Row],[Profit]]/Table1[[#This Row],[Sales]]</f>
        <v>0.22222222222222221</v>
      </c>
    </row>
    <row r="58" spans="1:23" x14ac:dyDescent="0.25">
      <c r="A58" t="s">
        <v>227</v>
      </c>
      <c r="B58" s="1">
        <v>45790</v>
      </c>
      <c r="C58" t="s">
        <v>228</v>
      </c>
      <c r="D58" t="s">
        <v>141</v>
      </c>
      <c r="E58" t="s">
        <v>73</v>
      </c>
      <c r="F58" t="s">
        <v>74</v>
      </c>
      <c r="G58" t="s">
        <v>27</v>
      </c>
      <c r="H58" t="s">
        <v>75</v>
      </c>
      <c r="I58" t="s">
        <v>76</v>
      </c>
      <c r="J58">
        <v>3</v>
      </c>
      <c r="K58">
        <v>3500</v>
      </c>
      <c r="L58">
        <v>15</v>
      </c>
      <c r="M58">
        <v>8925</v>
      </c>
      <c r="N58">
        <v>7349.9999999999991</v>
      </c>
      <c r="O58">
        <v>1575.0000000000009</v>
      </c>
      <c r="P58" t="s">
        <v>95</v>
      </c>
      <c r="Q58" t="s">
        <v>96</v>
      </c>
      <c r="R58" t="s">
        <v>45</v>
      </c>
      <c r="S58" t="s">
        <v>60</v>
      </c>
      <c r="T58" t="s">
        <v>33</v>
      </c>
      <c r="U58" t="s">
        <v>48</v>
      </c>
      <c r="V58">
        <v>3</v>
      </c>
      <c r="W58">
        <f>Table1[[#This Row],[Profit]]/Table1[[#This Row],[Sales]]</f>
        <v>0.17647058823529421</v>
      </c>
    </row>
    <row r="59" spans="1:23" x14ac:dyDescent="0.25">
      <c r="A59" t="s">
        <v>229</v>
      </c>
      <c r="B59" s="1">
        <v>45944</v>
      </c>
      <c r="C59" t="s">
        <v>230</v>
      </c>
      <c r="D59" t="s">
        <v>231</v>
      </c>
      <c r="E59" t="s">
        <v>67</v>
      </c>
      <c r="F59" t="s">
        <v>68</v>
      </c>
      <c r="G59" t="s">
        <v>27</v>
      </c>
      <c r="H59" t="s">
        <v>28</v>
      </c>
      <c r="I59" t="s">
        <v>69</v>
      </c>
      <c r="J59">
        <v>5</v>
      </c>
      <c r="K59">
        <v>1500</v>
      </c>
      <c r="L59">
        <v>5</v>
      </c>
      <c r="M59">
        <v>7125</v>
      </c>
      <c r="N59">
        <v>5250</v>
      </c>
      <c r="O59">
        <v>1875</v>
      </c>
      <c r="P59" t="s">
        <v>109</v>
      </c>
      <c r="Q59" t="s">
        <v>110</v>
      </c>
      <c r="R59" t="s">
        <v>111</v>
      </c>
      <c r="S59" t="s">
        <v>46</v>
      </c>
      <c r="T59" t="s">
        <v>33</v>
      </c>
      <c r="U59" t="s">
        <v>48</v>
      </c>
      <c r="V59">
        <v>1</v>
      </c>
      <c r="W59">
        <f>Table1[[#This Row],[Profit]]/Table1[[#This Row],[Sales]]</f>
        <v>0.26315789473684209</v>
      </c>
    </row>
    <row r="60" spans="1:23" x14ac:dyDescent="0.25">
      <c r="A60" t="s">
        <v>232</v>
      </c>
      <c r="B60" s="1">
        <v>45932</v>
      </c>
      <c r="C60" t="s">
        <v>233</v>
      </c>
      <c r="D60" t="s">
        <v>234</v>
      </c>
      <c r="E60" t="s">
        <v>73</v>
      </c>
      <c r="F60" t="s">
        <v>74</v>
      </c>
      <c r="G60" t="s">
        <v>27</v>
      </c>
      <c r="H60" t="s">
        <v>75</v>
      </c>
      <c r="I60" t="s">
        <v>76</v>
      </c>
      <c r="J60">
        <v>5</v>
      </c>
      <c r="K60">
        <v>3500</v>
      </c>
      <c r="L60">
        <v>5</v>
      </c>
      <c r="M60">
        <v>16625</v>
      </c>
      <c r="N60">
        <v>12250</v>
      </c>
      <c r="O60">
        <v>4375</v>
      </c>
      <c r="P60" t="s">
        <v>43</v>
      </c>
      <c r="Q60" t="s">
        <v>44</v>
      </c>
      <c r="R60" t="s">
        <v>45</v>
      </c>
      <c r="S60" t="s">
        <v>32</v>
      </c>
      <c r="T60" t="s">
        <v>56</v>
      </c>
      <c r="U60" t="s">
        <v>34</v>
      </c>
      <c r="V60">
        <v>4</v>
      </c>
      <c r="W60">
        <f>Table1[[#This Row],[Profit]]/Table1[[#This Row],[Sales]]</f>
        <v>0.26315789473684209</v>
      </c>
    </row>
    <row r="61" spans="1:23" x14ac:dyDescent="0.25">
      <c r="A61" t="s">
        <v>235</v>
      </c>
      <c r="B61" s="1">
        <v>45839</v>
      </c>
      <c r="C61" t="s">
        <v>236</v>
      </c>
      <c r="D61" t="s">
        <v>237</v>
      </c>
      <c r="E61" t="s">
        <v>67</v>
      </c>
      <c r="F61" t="s">
        <v>68</v>
      </c>
      <c r="G61" t="s">
        <v>27</v>
      </c>
      <c r="H61" t="s">
        <v>28</v>
      </c>
      <c r="I61" t="s">
        <v>69</v>
      </c>
      <c r="J61">
        <v>2</v>
      </c>
      <c r="K61">
        <v>1500</v>
      </c>
      <c r="L61">
        <v>15</v>
      </c>
      <c r="M61">
        <v>2550</v>
      </c>
      <c r="N61">
        <v>2100</v>
      </c>
      <c r="O61">
        <v>450</v>
      </c>
      <c r="P61" t="s">
        <v>95</v>
      </c>
      <c r="Q61" t="s">
        <v>96</v>
      </c>
      <c r="R61" t="s">
        <v>45</v>
      </c>
      <c r="S61" t="s">
        <v>46</v>
      </c>
      <c r="T61" t="s">
        <v>56</v>
      </c>
      <c r="U61" t="s">
        <v>48</v>
      </c>
      <c r="V61">
        <v>1</v>
      </c>
      <c r="W61">
        <f>Table1[[#This Row],[Profit]]/Table1[[#This Row],[Sales]]</f>
        <v>0.17647058823529413</v>
      </c>
    </row>
    <row r="62" spans="1:23" x14ac:dyDescent="0.25">
      <c r="A62" t="s">
        <v>238</v>
      </c>
      <c r="B62" s="1">
        <v>45892</v>
      </c>
      <c r="C62" t="s">
        <v>239</v>
      </c>
      <c r="D62" t="s">
        <v>240</v>
      </c>
      <c r="E62" t="s">
        <v>67</v>
      </c>
      <c r="F62" t="s">
        <v>68</v>
      </c>
      <c r="G62" t="s">
        <v>27</v>
      </c>
      <c r="H62" t="s">
        <v>28</v>
      </c>
      <c r="I62" t="s">
        <v>69</v>
      </c>
      <c r="J62">
        <v>3</v>
      </c>
      <c r="K62">
        <v>1500</v>
      </c>
      <c r="L62">
        <v>0</v>
      </c>
      <c r="M62">
        <v>4500</v>
      </c>
      <c r="N62">
        <v>3150</v>
      </c>
      <c r="O62">
        <v>1350</v>
      </c>
      <c r="P62" t="s">
        <v>95</v>
      </c>
      <c r="Q62" t="s">
        <v>96</v>
      </c>
      <c r="R62" t="s">
        <v>45</v>
      </c>
      <c r="S62" t="s">
        <v>32</v>
      </c>
      <c r="T62" t="s">
        <v>56</v>
      </c>
      <c r="U62" t="s">
        <v>48</v>
      </c>
      <c r="V62">
        <v>4</v>
      </c>
      <c r="W62">
        <f>Table1[[#This Row],[Profit]]/Table1[[#This Row],[Sales]]</f>
        <v>0.3</v>
      </c>
    </row>
    <row r="63" spans="1:23" x14ac:dyDescent="0.25">
      <c r="A63" t="s">
        <v>241</v>
      </c>
      <c r="B63" s="1">
        <v>45763</v>
      </c>
      <c r="C63" t="s">
        <v>242</v>
      </c>
      <c r="D63" t="s">
        <v>243</v>
      </c>
      <c r="E63" t="s">
        <v>25</v>
      </c>
      <c r="F63" t="s">
        <v>26</v>
      </c>
      <c r="G63" t="s">
        <v>27</v>
      </c>
      <c r="H63" t="s">
        <v>28</v>
      </c>
      <c r="I63" t="s">
        <v>29</v>
      </c>
      <c r="J63">
        <v>4</v>
      </c>
      <c r="K63">
        <v>800</v>
      </c>
      <c r="L63">
        <v>0</v>
      </c>
      <c r="M63">
        <v>3200</v>
      </c>
      <c r="N63">
        <v>2240</v>
      </c>
      <c r="O63">
        <v>960</v>
      </c>
      <c r="P63" t="s">
        <v>109</v>
      </c>
      <c r="Q63" t="s">
        <v>110</v>
      </c>
      <c r="R63" t="s">
        <v>111</v>
      </c>
      <c r="S63" t="s">
        <v>60</v>
      </c>
      <c r="T63" t="s">
        <v>47</v>
      </c>
      <c r="U63" t="s">
        <v>48</v>
      </c>
      <c r="V63">
        <v>1</v>
      </c>
      <c r="W63">
        <f>Table1[[#This Row],[Profit]]/Table1[[#This Row],[Sales]]</f>
        <v>0.3</v>
      </c>
    </row>
    <row r="64" spans="1:23" x14ac:dyDescent="0.25">
      <c r="A64" t="s">
        <v>244</v>
      </c>
      <c r="B64" s="1">
        <v>45971</v>
      </c>
      <c r="C64" t="s">
        <v>245</v>
      </c>
      <c r="D64" t="s">
        <v>246</v>
      </c>
      <c r="E64" t="s">
        <v>25</v>
      </c>
      <c r="F64" t="s">
        <v>26</v>
      </c>
      <c r="G64" t="s">
        <v>27</v>
      </c>
      <c r="H64" t="s">
        <v>28</v>
      </c>
      <c r="I64" t="s">
        <v>29</v>
      </c>
      <c r="J64">
        <v>1</v>
      </c>
      <c r="K64">
        <v>800</v>
      </c>
      <c r="L64">
        <v>15</v>
      </c>
      <c r="M64">
        <v>680</v>
      </c>
      <c r="N64">
        <v>560</v>
      </c>
      <c r="O64">
        <v>120</v>
      </c>
      <c r="P64" t="s">
        <v>30</v>
      </c>
      <c r="Q64" t="s">
        <v>30</v>
      </c>
      <c r="R64" t="s">
        <v>31</v>
      </c>
      <c r="S64" t="s">
        <v>46</v>
      </c>
      <c r="T64" t="s">
        <v>56</v>
      </c>
      <c r="U64" t="s">
        <v>48</v>
      </c>
      <c r="V64">
        <v>5</v>
      </c>
      <c r="W64">
        <f>Table1[[#This Row],[Profit]]/Table1[[#This Row],[Sales]]</f>
        <v>0.17647058823529413</v>
      </c>
    </row>
    <row r="65" spans="1:23" x14ac:dyDescent="0.25">
      <c r="A65" t="s">
        <v>247</v>
      </c>
      <c r="B65" s="1">
        <v>45849</v>
      </c>
      <c r="C65" t="s">
        <v>248</v>
      </c>
      <c r="D65" t="s">
        <v>249</v>
      </c>
      <c r="E65" t="s">
        <v>73</v>
      </c>
      <c r="F65" t="s">
        <v>74</v>
      </c>
      <c r="G65" t="s">
        <v>27</v>
      </c>
      <c r="H65" t="s">
        <v>75</v>
      </c>
      <c r="I65" t="s">
        <v>76</v>
      </c>
      <c r="J65">
        <v>2</v>
      </c>
      <c r="K65">
        <v>3500</v>
      </c>
      <c r="L65">
        <v>5</v>
      </c>
      <c r="M65">
        <v>6650</v>
      </c>
      <c r="N65">
        <v>4900</v>
      </c>
      <c r="O65">
        <v>1750</v>
      </c>
      <c r="P65" t="s">
        <v>43</v>
      </c>
      <c r="Q65" t="s">
        <v>44</v>
      </c>
      <c r="R65" t="s">
        <v>45</v>
      </c>
      <c r="S65" t="s">
        <v>32</v>
      </c>
      <c r="T65" t="s">
        <v>33</v>
      </c>
      <c r="U65" t="s">
        <v>48</v>
      </c>
      <c r="V65">
        <v>4</v>
      </c>
      <c r="W65">
        <f>Table1[[#This Row],[Profit]]/Table1[[#This Row],[Sales]]</f>
        <v>0.26315789473684209</v>
      </c>
    </row>
    <row r="66" spans="1:23" x14ac:dyDescent="0.25">
      <c r="A66" t="s">
        <v>250</v>
      </c>
      <c r="B66" s="1">
        <v>45974</v>
      </c>
      <c r="C66" t="s">
        <v>251</v>
      </c>
      <c r="D66" t="s">
        <v>252</v>
      </c>
      <c r="E66" t="s">
        <v>73</v>
      </c>
      <c r="F66" t="s">
        <v>74</v>
      </c>
      <c r="G66" t="s">
        <v>27</v>
      </c>
      <c r="H66" t="s">
        <v>75</v>
      </c>
      <c r="I66" t="s">
        <v>76</v>
      </c>
      <c r="J66">
        <v>4</v>
      </c>
      <c r="K66">
        <v>3500</v>
      </c>
      <c r="L66">
        <v>0</v>
      </c>
      <c r="M66">
        <v>14000</v>
      </c>
      <c r="N66">
        <v>9800</v>
      </c>
      <c r="O66">
        <v>4200</v>
      </c>
      <c r="P66" t="s">
        <v>30</v>
      </c>
      <c r="Q66" t="s">
        <v>30</v>
      </c>
      <c r="R66" t="s">
        <v>31</v>
      </c>
      <c r="S66" t="s">
        <v>60</v>
      </c>
      <c r="T66" t="s">
        <v>56</v>
      </c>
      <c r="U66" t="s">
        <v>34</v>
      </c>
      <c r="V66">
        <v>4</v>
      </c>
      <c r="W66">
        <f>Table1[[#This Row],[Profit]]/Table1[[#This Row],[Sales]]</f>
        <v>0.3</v>
      </c>
    </row>
    <row r="67" spans="1:23" x14ac:dyDescent="0.25">
      <c r="A67" t="s">
        <v>253</v>
      </c>
      <c r="B67" s="1">
        <v>45727</v>
      </c>
      <c r="C67" t="s">
        <v>254</v>
      </c>
      <c r="D67" t="s">
        <v>165</v>
      </c>
      <c r="E67" t="s">
        <v>38</v>
      </c>
      <c r="F67" t="s">
        <v>39</v>
      </c>
      <c r="G67" t="s">
        <v>40</v>
      </c>
      <c r="H67" t="s">
        <v>41</v>
      </c>
      <c r="I67" t="s">
        <v>42</v>
      </c>
      <c r="J67">
        <v>5</v>
      </c>
      <c r="K67">
        <v>4500</v>
      </c>
      <c r="L67">
        <v>15</v>
      </c>
      <c r="M67">
        <v>19125</v>
      </c>
      <c r="N67">
        <v>15750</v>
      </c>
      <c r="O67">
        <v>3375.0000000000018</v>
      </c>
      <c r="P67" t="s">
        <v>43</v>
      </c>
      <c r="Q67" t="s">
        <v>44</v>
      </c>
      <c r="R67" t="s">
        <v>45</v>
      </c>
      <c r="S67" t="s">
        <v>60</v>
      </c>
      <c r="T67" t="s">
        <v>56</v>
      </c>
      <c r="U67" t="s">
        <v>34</v>
      </c>
      <c r="V67">
        <v>1</v>
      </c>
      <c r="W67">
        <f>Table1[[#This Row],[Profit]]/Table1[[#This Row],[Sales]]</f>
        <v>0.17647058823529421</v>
      </c>
    </row>
    <row r="68" spans="1:23" x14ac:dyDescent="0.25">
      <c r="A68" t="s">
        <v>255</v>
      </c>
      <c r="B68" s="1">
        <v>45944</v>
      </c>
      <c r="C68" t="s">
        <v>256</v>
      </c>
      <c r="D68" t="s">
        <v>257</v>
      </c>
      <c r="E68" t="s">
        <v>52</v>
      </c>
      <c r="F68" t="s">
        <v>53</v>
      </c>
      <c r="G68" t="s">
        <v>27</v>
      </c>
      <c r="H68" t="s">
        <v>54</v>
      </c>
      <c r="I68" t="s">
        <v>55</v>
      </c>
      <c r="J68">
        <v>5</v>
      </c>
      <c r="K68">
        <v>55000</v>
      </c>
      <c r="L68">
        <v>15</v>
      </c>
      <c r="M68">
        <v>233750</v>
      </c>
      <c r="N68">
        <v>192500</v>
      </c>
      <c r="O68">
        <v>41250</v>
      </c>
      <c r="P68" t="s">
        <v>30</v>
      </c>
      <c r="Q68" t="s">
        <v>30</v>
      </c>
      <c r="R68" t="s">
        <v>31</v>
      </c>
      <c r="S68" t="s">
        <v>46</v>
      </c>
      <c r="T68" t="s">
        <v>33</v>
      </c>
      <c r="U68" t="s">
        <v>34</v>
      </c>
      <c r="V68">
        <v>2</v>
      </c>
      <c r="W68">
        <f>Table1[[#This Row],[Profit]]/Table1[[#This Row],[Sales]]</f>
        <v>0.17647058823529413</v>
      </c>
    </row>
    <row r="69" spans="1:23" x14ac:dyDescent="0.25">
      <c r="A69" t="s">
        <v>258</v>
      </c>
      <c r="B69" s="1">
        <v>45879</v>
      </c>
      <c r="C69" t="s">
        <v>259</v>
      </c>
      <c r="D69" t="s">
        <v>260</v>
      </c>
      <c r="E69" t="s">
        <v>25</v>
      </c>
      <c r="F69" t="s">
        <v>26</v>
      </c>
      <c r="G69" t="s">
        <v>27</v>
      </c>
      <c r="H69" t="s">
        <v>28</v>
      </c>
      <c r="I69" t="s">
        <v>29</v>
      </c>
      <c r="J69">
        <v>5</v>
      </c>
      <c r="K69">
        <v>800</v>
      </c>
      <c r="L69">
        <v>15</v>
      </c>
      <c r="M69">
        <v>3400</v>
      </c>
      <c r="N69">
        <v>2800</v>
      </c>
      <c r="O69">
        <v>600</v>
      </c>
      <c r="P69" t="s">
        <v>109</v>
      </c>
      <c r="Q69" t="s">
        <v>110</v>
      </c>
      <c r="R69" t="s">
        <v>111</v>
      </c>
      <c r="S69" t="s">
        <v>32</v>
      </c>
      <c r="T69" t="s">
        <v>47</v>
      </c>
      <c r="U69" t="s">
        <v>34</v>
      </c>
      <c r="V69">
        <v>5</v>
      </c>
      <c r="W69">
        <f>Table1[[#This Row],[Profit]]/Table1[[#This Row],[Sales]]</f>
        <v>0.17647058823529413</v>
      </c>
    </row>
    <row r="70" spans="1:23" x14ac:dyDescent="0.25">
      <c r="A70" t="s">
        <v>261</v>
      </c>
      <c r="B70" s="1">
        <v>45861</v>
      </c>
      <c r="C70" t="s">
        <v>262</v>
      </c>
      <c r="D70" t="s">
        <v>226</v>
      </c>
      <c r="E70" t="s">
        <v>25</v>
      </c>
      <c r="F70" t="s">
        <v>26</v>
      </c>
      <c r="G70" t="s">
        <v>27</v>
      </c>
      <c r="H70" t="s">
        <v>28</v>
      </c>
      <c r="I70" t="s">
        <v>29</v>
      </c>
      <c r="J70">
        <v>4</v>
      </c>
      <c r="K70">
        <v>800</v>
      </c>
      <c r="L70">
        <v>5</v>
      </c>
      <c r="M70">
        <v>3040</v>
      </c>
      <c r="N70">
        <v>2240</v>
      </c>
      <c r="O70">
        <v>800</v>
      </c>
      <c r="P70" t="s">
        <v>43</v>
      </c>
      <c r="Q70" t="s">
        <v>44</v>
      </c>
      <c r="R70" t="s">
        <v>45</v>
      </c>
      <c r="S70" t="s">
        <v>46</v>
      </c>
      <c r="T70" t="s">
        <v>33</v>
      </c>
      <c r="U70" t="s">
        <v>34</v>
      </c>
      <c r="V70">
        <v>5</v>
      </c>
      <c r="W70">
        <f>Table1[[#This Row],[Profit]]/Table1[[#This Row],[Sales]]</f>
        <v>0.26315789473684209</v>
      </c>
    </row>
    <row r="71" spans="1:23" x14ac:dyDescent="0.25">
      <c r="A71" t="s">
        <v>263</v>
      </c>
      <c r="B71" s="1">
        <v>45941</v>
      </c>
      <c r="C71" t="s">
        <v>264</v>
      </c>
      <c r="D71" t="s">
        <v>265</v>
      </c>
      <c r="E71" t="s">
        <v>52</v>
      </c>
      <c r="F71" t="s">
        <v>53</v>
      </c>
      <c r="G71" t="s">
        <v>27</v>
      </c>
      <c r="H71" t="s">
        <v>54</v>
      </c>
      <c r="I71" t="s">
        <v>55</v>
      </c>
      <c r="J71">
        <v>3</v>
      </c>
      <c r="K71">
        <v>55000</v>
      </c>
      <c r="L71">
        <v>5</v>
      </c>
      <c r="M71">
        <v>156750</v>
      </c>
      <c r="N71">
        <v>115500</v>
      </c>
      <c r="O71">
        <v>41250.000000000007</v>
      </c>
      <c r="P71" t="s">
        <v>30</v>
      </c>
      <c r="Q71" t="s">
        <v>30</v>
      </c>
      <c r="R71" t="s">
        <v>31</v>
      </c>
      <c r="S71" t="s">
        <v>60</v>
      </c>
      <c r="T71" t="s">
        <v>47</v>
      </c>
      <c r="U71" t="s">
        <v>34</v>
      </c>
      <c r="V71">
        <v>2</v>
      </c>
      <c r="W71">
        <f>Table1[[#This Row],[Profit]]/Table1[[#This Row],[Sales]]</f>
        <v>0.26315789473684215</v>
      </c>
    </row>
    <row r="72" spans="1:23" x14ac:dyDescent="0.25">
      <c r="A72" t="s">
        <v>266</v>
      </c>
      <c r="B72" s="1">
        <v>45794</v>
      </c>
      <c r="C72" t="s">
        <v>267</v>
      </c>
      <c r="D72" t="s">
        <v>268</v>
      </c>
      <c r="E72" t="s">
        <v>67</v>
      </c>
      <c r="F72" t="s">
        <v>68</v>
      </c>
      <c r="G72" t="s">
        <v>27</v>
      </c>
      <c r="H72" t="s">
        <v>28</v>
      </c>
      <c r="I72" t="s">
        <v>69</v>
      </c>
      <c r="J72">
        <v>1</v>
      </c>
      <c r="K72">
        <v>1500</v>
      </c>
      <c r="L72">
        <v>5</v>
      </c>
      <c r="M72">
        <v>1425</v>
      </c>
      <c r="N72">
        <v>1050</v>
      </c>
      <c r="O72">
        <v>375</v>
      </c>
      <c r="P72" t="s">
        <v>43</v>
      </c>
      <c r="Q72" t="s">
        <v>44</v>
      </c>
      <c r="R72" t="s">
        <v>45</v>
      </c>
      <c r="S72" t="s">
        <v>46</v>
      </c>
      <c r="T72" t="s">
        <v>47</v>
      </c>
      <c r="U72" t="s">
        <v>48</v>
      </c>
      <c r="V72">
        <v>3</v>
      </c>
      <c r="W72">
        <f>Table1[[#This Row],[Profit]]/Table1[[#This Row],[Sales]]</f>
        <v>0.26315789473684209</v>
      </c>
    </row>
    <row r="73" spans="1:23" x14ac:dyDescent="0.25">
      <c r="A73" t="s">
        <v>269</v>
      </c>
      <c r="B73" s="1">
        <v>45865</v>
      </c>
      <c r="C73" t="s">
        <v>270</v>
      </c>
      <c r="D73" t="s">
        <v>271</v>
      </c>
      <c r="E73" t="s">
        <v>25</v>
      </c>
      <c r="F73" t="s">
        <v>26</v>
      </c>
      <c r="G73" t="s">
        <v>27</v>
      </c>
      <c r="H73" t="s">
        <v>28</v>
      </c>
      <c r="I73" t="s">
        <v>29</v>
      </c>
      <c r="J73">
        <v>3</v>
      </c>
      <c r="K73">
        <v>800</v>
      </c>
      <c r="L73">
        <v>15</v>
      </c>
      <c r="M73">
        <v>2040</v>
      </c>
      <c r="N73">
        <v>1680</v>
      </c>
      <c r="O73">
        <v>360</v>
      </c>
      <c r="P73" t="s">
        <v>43</v>
      </c>
      <c r="Q73" t="s">
        <v>44</v>
      </c>
      <c r="R73" t="s">
        <v>45</v>
      </c>
      <c r="S73" t="s">
        <v>60</v>
      </c>
      <c r="T73" t="s">
        <v>56</v>
      </c>
      <c r="U73" t="s">
        <v>48</v>
      </c>
      <c r="V73">
        <v>4</v>
      </c>
      <c r="W73">
        <f>Table1[[#This Row],[Profit]]/Table1[[#This Row],[Sales]]</f>
        <v>0.17647058823529413</v>
      </c>
    </row>
    <row r="74" spans="1:23" x14ac:dyDescent="0.25">
      <c r="A74" t="s">
        <v>272</v>
      </c>
      <c r="B74" s="1">
        <v>45759</v>
      </c>
      <c r="C74" t="s">
        <v>116</v>
      </c>
      <c r="D74" t="s">
        <v>273</v>
      </c>
      <c r="E74" t="s">
        <v>38</v>
      </c>
      <c r="F74" t="s">
        <v>39</v>
      </c>
      <c r="G74" t="s">
        <v>40</v>
      </c>
      <c r="H74" t="s">
        <v>41</v>
      </c>
      <c r="I74" t="s">
        <v>42</v>
      </c>
      <c r="J74">
        <v>4</v>
      </c>
      <c r="K74">
        <v>4500</v>
      </c>
      <c r="L74">
        <v>10</v>
      </c>
      <c r="M74">
        <v>16200</v>
      </c>
      <c r="N74">
        <v>12600</v>
      </c>
      <c r="O74">
        <v>3600</v>
      </c>
      <c r="P74" t="s">
        <v>109</v>
      </c>
      <c r="Q74" t="s">
        <v>110</v>
      </c>
      <c r="R74" t="s">
        <v>111</v>
      </c>
      <c r="S74" t="s">
        <v>46</v>
      </c>
      <c r="T74" t="s">
        <v>56</v>
      </c>
      <c r="U74" t="s">
        <v>48</v>
      </c>
      <c r="V74">
        <v>2</v>
      </c>
      <c r="W74">
        <f>Table1[[#This Row],[Profit]]/Table1[[#This Row],[Sales]]</f>
        <v>0.22222222222222221</v>
      </c>
    </row>
    <row r="75" spans="1:23" x14ac:dyDescent="0.25">
      <c r="A75" t="s">
        <v>274</v>
      </c>
      <c r="B75" s="1">
        <v>45864</v>
      </c>
      <c r="C75" t="s">
        <v>275</v>
      </c>
      <c r="D75" t="s">
        <v>276</v>
      </c>
      <c r="E75" t="s">
        <v>38</v>
      </c>
      <c r="F75" t="s">
        <v>39</v>
      </c>
      <c r="G75" t="s">
        <v>40</v>
      </c>
      <c r="H75" t="s">
        <v>41</v>
      </c>
      <c r="I75" t="s">
        <v>42</v>
      </c>
      <c r="J75">
        <v>3</v>
      </c>
      <c r="K75">
        <v>4500</v>
      </c>
      <c r="L75">
        <v>10</v>
      </c>
      <c r="M75">
        <v>12150</v>
      </c>
      <c r="N75">
        <v>9450</v>
      </c>
      <c r="O75">
        <v>2700</v>
      </c>
      <c r="P75" t="s">
        <v>95</v>
      </c>
      <c r="Q75" t="s">
        <v>96</v>
      </c>
      <c r="R75" t="s">
        <v>45</v>
      </c>
      <c r="S75" t="s">
        <v>32</v>
      </c>
      <c r="T75" t="s">
        <v>47</v>
      </c>
      <c r="U75" t="s">
        <v>34</v>
      </c>
      <c r="V75">
        <v>2</v>
      </c>
      <c r="W75">
        <f>Table1[[#This Row],[Profit]]/Table1[[#This Row],[Sales]]</f>
        <v>0.22222222222222221</v>
      </c>
    </row>
    <row r="76" spans="1:23" x14ac:dyDescent="0.25">
      <c r="A76" t="s">
        <v>277</v>
      </c>
      <c r="B76" s="1">
        <v>45750</v>
      </c>
      <c r="C76" t="s">
        <v>278</v>
      </c>
      <c r="D76" t="s">
        <v>279</v>
      </c>
      <c r="E76" t="s">
        <v>73</v>
      </c>
      <c r="F76" t="s">
        <v>74</v>
      </c>
      <c r="G76" t="s">
        <v>27</v>
      </c>
      <c r="H76" t="s">
        <v>75</v>
      </c>
      <c r="I76" t="s">
        <v>76</v>
      </c>
      <c r="J76">
        <v>2</v>
      </c>
      <c r="K76">
        <v>3500</v>
      </c>
      <c r="L76">
        <v>10</v>
      </c>
      <c r="M76">
        <v>6300</v>
      </c>
      <c r="N76">
        <v>4900</v>
      </c>
      <c r="O76">
        <v>1400</v>
      </c>
      <c r="P76" t="s">
        <v>30</v>
      </c>
      <c r="Q76" t="s">
        <v>30</v>
      </c>
      <c r="R76" t="s">
        <v>31</v>
      </c>
      <c r="S76" t="s">
        <v>60</v>
      </c>
      <c r="T76" t="s">
        <v>56</v>
      </c>
      <c r="U76" t="s">
        <v>48</v>
      </c>
      <c r="V76">
        <v>2</v>
      </c>
      <c r="W76">
        <f>Table1[[#This Row],[Profit]]/Table1[[#This Row],[Sales]]</f>
        <v>0.22222222222222221</v>
      </c>
    </row>
    <row r="77" spans="1:23" x14ac:dyDescent="0.25">
      <c r="A77" t="s">
        <v>280</v>
      </c>
      <c r="B77" s="1">
        <v>45953</v>
      </c>
      <c r="C77" t="s">
        <v>281</v>
      </c>
      <c r="D77" t="s">
        <v>282</v>
      </c>
      <c r="E77" t="s">
        <v>25</v>
      </c>
      <c r="F77" t="s">
        <v>26</v>
      </c>
      <c r="G77" t="s">
        <v>27</v>
      </c>
      <c r="H77" t="s">
        <v>28</v>
      </c>
      <c r="I77" t="s">
        <v>29</v>
      </c>
      <c r="J77">
        <v>1</v>
      </c>
      <c r="K77">
        <v>800</v>
      </c>
      <c r="L77">
        <v>5</v>
      </c>
      <c r="M77">
        <v>760</v>
      </c>
      <c r="N77">
        <v>560</v>
      </c>
      <c r="O77">
        <v>200</v>
      </c>
      <c r="P77" t="s">
        <v>43</v>
      </c>
      <c r="Q77" t="s">
        <v>44</v>
      </c>
      <c r="R77" t="s">
        <v>45</v>
      </c>
      <c r="S77" t="s">
        <v>32</v>
      </c>
      <c r="T77" t="s">
        <v>33</v>
      </c>
      <c r="U77" t="s">
        <v>48</v>
      </c>
      <c r="V77">
        <v>2</v>
      </c>
      <c r="W77">
        <f>Table1[[#This Row],[Profit]]/Table1[[#This Row],[Sales]]</f>
        <v>0.26315789473684209</v>
      </c>
    </row>
    <row r="78" spans="1:23" x14ac:dyDescent="0.25">
      <c r="A78" t="s">
        <v>283</v>
      </c>
      <c r="B78" s="1">
        <v>45806</v>
      </c>
      <c r="C78" t="s">
        <v>284</v>
      </c>
      <c r="D78" t="s">
        <v>285</v>
      </c>
      <c r="E78" t="s">
        <v>67</v>
      </c>
      <c r="F78" t="s">
        <v>68</v>
      </c>
      <c r="G78" t="s">
        <v>27</v>
      </c>
      <c r="H78" t="s">
        <v>28</v>
      </c>
      <c r="I78" t="s">
        <v>69</v>
      </c>
      <c r="J78">
        <v>4</v>
      </c>
      <c r="K78">
        <v>1500</v>
      </c>
      <c r="L78">
        <v>15</v>
      </c>
      <c r="M78">
        <v>5100</v>
      </c>
      <c r="N78">
        <v>4200</v>
      </c>
      <c r="O78">
        <v>900</v>
      </c>
      <c r="P78" t="s">
        <v>43</v>
      </c>
      <c r="Q78" t="s">
        <v>44</v>
      </c>
      <c r="R78" t="s">
        <v>45</v>
      </c>
      <c r="S78" t="s">
        <v>60</v>
      </c>
      <c r="T78" t="s">
        <v>47</v>
      </c>
      <c r="U78" t="s">
        <v>34</v>
      </c>
      <c r="V78">
        <v>5</v>
      </c>
      <c r="W78">
        <f>Table1[[#This Row],[Profit]]/Table1[[#This Row],[Sales]]</f>
        <v>0.17647058823529413</v>
      </c>
    </row>
    <row r="79" spans="1:23" x14ac:dyDescent="0.25">
      <c r="A79" t="s">
        <v>286</v>
      </c>
      <c r="B79" s="1">
        <v>45809</v>
      </c>
      <c r="C79" t="s">
        <v>287</v>
      </c>
      <c r="D79" t="s">
        <v>288</v>
      </c>
      <c r="E79" t="s">
        <v>52</v>
      </c>
      <c r="F79" t="s">
        <v>53</v>
      </c>
      <c r="G79" t="s">
        <v>27</v>
      </c>
      <c r="H79" t="s">
        <v>54</v>
      </c>
      <c r="I79" t="s">
        <v>55</v>
      </c>
      <c r="J79">
        <v>3</v>
      </c>
      <c r="K79">
        <v>55000</v>
      </c>
      <c r="L79">
        <v>10</v>
      </c>
      <c r="M79">
        <v>148500</v>
      </c>
      <c r="N79">
        <v>115500</v>
      </c>
      <c r="O79">
        <v>33000.000000000007</v>
      </c>
      <c r="P79" t="s">
        <v>43</v>
      </c>
      <c r="Q79" t="s">
        <v>44</v>
      </c>
      <c r="R79" t="s">
        <v>45</v>
      </c>
      <c r="S79" t="s">
        <v>32</v>
      </c>
      <c r="T79" t="s">
        <v>47</v>
      </c>
      <c r="U79" t="s">
        <v>34</v>
      </c>
      <c r="V79">
        <v>2</v>
      </c>
      <c r="W79">
        <f>Table1[[#This Row],[Profit]]/Table1[[#This Row],[Sales]]</f>
        <v>0.22222222222222227</v>
      </c>
    </row>
    <row r="80" spans="1:23" x14ac:dyDescent="0.25">
      <c r="A80" t="s">
        <v>289</v>
      </c>
      <c r="B80" s="1">
        <v>45751</v>
      </c>
      <c r="C80" t="s">
        <v>290</v>
      </c>
      <c r="D80" t="s">
        <v>291</v>
      </c>
      <c r="E80" t="s">
        <v>25</v>
      </c>
      <c r="F80" t="s">
        <v>26</v>
      </c>
      <c r="G80" t="s">
        <v>27</v>
      </c>
      <c r="H80" t="s">
        <v>28</v>
      </c>
      <c r="I80" t="s">
        <v>29</v>
      </c>
      <c r="J80">
        <v>3</v>
      </c>
      <c r="K80">
        <v>800</v>
      </c>
      <c r="L80">
        <v>5</v>
      </c>
      <c r="M80">
        <v>2280</v>
      </c>
      <c r="N80">
        <v>1680</v>
      </c>
      <c r="O80">
        <v>600</v>
      </c>
      <c r="P80" t="s">
        <v>95</v>
      </c>
      <c r="Q80" t="s">
        <v>96</v>
      </c>
      <c r="R80" t="s">
        <v>45</v>
      </c>
      <c r="S80" t="s">
        <v>32</v>
      </c>
      <c r="T80" t="s">
        <v>33</v>
      </c>
      <c r="U80" t="s">
        <v>34</v>
      </c>
      <c r="V80">
        <v>4</v>
      </c>
      <c r="W80">
        <f>Table1[[#This Row],[Profit]]/Table1[[#This Row],[Sales]]</f>
        <v>0.26315789473684209</v>
      </c>
    </row>
    <row r="81" spans="1:23" x14ac:dyDescent="0.25">
      <c r="A81" t="s">
        <v>292</v>
      </c>
      <c r="B81" s="1">
        <v>45887</v>
      </c>
      <c r="C81" t="s">
        <v>293</v>
      </c>
      <c r="D81" t="s">
        <v>294</v>
      </c>
      <c r="E81" t="s">
        <v>25</v>
      </c>
      <c r="F81" t="s">
        <v>26</v>
      </c>
      <c r="G81" t="s">
        <v>27</v>
      </c>
      <c r="H81" t="s">
        <v>28</v>
      </c>
      <c r="I81" t="s">
        <v>29</v>
      </c>
      <c r="J81">
        <v>2</v>
      </c>
      <c r="K81">
        <v>800</v>
      </c>
      <c r="L81">
        <v>15</v>
      </c>
      <c r="M81">
        <v>1360</v>
      </c>
      <c r="N81">
        <v>1120</v>
      </c>
      <c r="O81">
        <v>240</v>
      </c>
      <c r="P81" t="s">
        <v>109</v>
      </c>
      <c r="Q81" t="s">
        <v>110</v>
      </c>
      <c r="R81" t="s">
        <v>111</v>
      </c>
      <c r="S81" t="s">
        <v>32</v>
      </c>
      <c r="T81" t="s">
        <v>47</v>
      </c>
      <c r="U81" t="s">
        <v>48</v>
      </c>
      <c r="V81">
        <v>5</v>
      </c>
      <c r="W81">
        <f>Table1[[#This Row],[Profit]]/Table1[[#This Row],[Sales]]</f>
        <v>0.17647058823529413</v>
      </c>
    </row>
    <row r="82" spans="1:23" x14ac:dyDescent="0.25">
      <c r="A82" t="s">
        <v>295</v>
      </c>
      <c r="B82" s="1">
        <v>45886</v>
      </c>
      <c r="C82" t="s">
        <v>296</v>
      </c>
      <c r="D82" t="s">
        <v>297</v>
      </c>
      <c r="E82" t="s">
        <v>52</v>
      </c>
      <c r="F82" t="s">
        <v>53</v>
      </c>
      <c r="G82" t="s">
        <v>27</v>
      </c>
      <c r="H82" t="s">
        <v>54</v>
      </c>
      <c r="I82" t="s">
        <v>55</v>
      </c>
      <c r="J82">
        <v>1</v>
      </c>
      <c r="K82">
        <v>55000</v>
      </c>
      <c r="L82">
        <v>5</v>
      </c>
      <c r="M82">
        <v>52250</v>
      </c>
      <c r="N82">
        <v>38500</v>
      </c>
      <c r="O82">
        <v>13750</v>
      </c>
      <c r="P82" t="s">
        <v>30</v>
      </c>
      <c r="Q82" t="s">
        <v>30</v>
      </c>
      <c r="R82" t="s">
        <v>31</v>
      </c>
      <c r="S82" t="s">
        <v>46</v>
      </c>
      <c r="T82" t="s">
        <v>56</v>
      </c>
      <c r="U82" t="s">
        <v>48</v>
      </c>
      <c r="V82">
        <v>5</v>
      </c>
      <c r="W82">
        <f>Table1[[#This Row],[Profit]]/Table1[[#This Row],[Sales]]</f>
        <v>0.26315789473684209</v>
      </c>
    </row>
    <row r="83" spans="1:23" x14ac:dyDescent="0.25">
      <c r="A83" t="s">
        <v>298</v>
      </c>
      <c r="B83" s="1">
        <v>45828</v>
      </c>
      <c r="C83" t="s">
        <v>299</v>
      </c>
      <c r="D83" t="s">
        <v>220</v>
      </c>
      <c r="E83" t="s">
        <v>73</v>
      </c>
      <c r="F83" t="s">
        <v>74</v>
      </c>
      <c r="G83" t="s">
        <v>27</v>
      </c>
      <c r="H83" t="s">
        <v>75</v>
      </c>
      <c r="I83" t="s">
        <v>76</v>
      </c>
      <c r="J83">
        <v>1</v>
      </c>
      <c r="K83">
        <v>3500</v>
      </c>
      <c r="L83">
        <v>10</v>
      </c>
      <c r="M83">
        <v>3150</v>
      </c>
      <c r="N83">
        <v>2450</v>
      </c>
      <c r="O83">
        <v>700</v>
      </c>
      <c r="P83" t="s">
        <v>95</v>
      </c>
      <c r="Q83" t="s">
        <v>96</v>
      </c>
      <c r="R83" t="s">
        <v>45</v>
      </c>
      <c r="S83" t="s">
        <v>46</v>
      </c>
      <c r="T83" t="s">
        <v>56</v>
      </c>
      <c r="U83" t="s">
        <v>34</v>
      </c>
      <c r="V83">
        <v>2</v>
      </c>
      <c r="W83">
        <f>Table1[[#This Row],[Profit]]/Table1[[#This Row],[Sales]]</f>
        <v>0.22222222222222221</v>
      </c>
    </row>
    <row r="84" spans="1:23" x14ac:dyDescent="0.25">
      <c r="A84" t="s">
        <v>300</v>
      </c>
      <c r="B84" s="1">
        <v>45940</v>
      </c>
      <c r="C84" t="s">
        <v>301</v>
      </c>
      <c r="D84" t="s">
        <v>99</v>
      </c>
      <c r="E84" t="s">
        <v>25</v>
      </c>
      <c r="F84" t="s">
        <v>26</v>
      </c>
      <c r="G84" t="s">
        <v>27</v>
      </c>
      <c r="H84" t="s">
        <v>28</v>
      </c>
      <c r="I84" t="s">
        <v>29</v>
      </c>
      <c r="J84">
        <v>2</v>
      </c>
      <c r="K84">
        <v>800</v>
      </c>
      <c r="L84">
        <v>15</v>
      </c>
      <c r="M84">
        <v>1360</v>
      </c>
      <c r="N84">
        <v>1120</v>
      </c>
      <c r="O84">
        <v>240</v>
      </c>
      <c r="P84" t="s">
        <v>95</v>
      </c>
      <c r="Q84" t="s">
        <v>96</v>
      </c>
      <c r="R84" t="s">
        <v>45</v>
      </c>
      <c r="S84" t="s">
        <v>46</v>
      </c>
      <c r="T84" t="s">
        <v>33</v>
      </c>
      <c r="U84" t="s">
        <v>48</v>
      </c>
      <c r="V84">
        <v>2</v>
      </c>
      <c r="W84">
        <f>Table1[[#This Row],[Profit]]/Table1[[#This Row],[Sales]]</f>
        <v>0.17647058823529413</v>
      </c>
    </row>
    <row r="85" spans="1:23" x14ac:dyDescent="0.25">
      <c r="A85" t="s">
        <v>302</v>
      </c>
      <c r="B85" s="1">
        <v>45972</v>
      </c>
      <c r="C85" t="s">
        <v>303</v>
      </c>
      <c r="D85" t="s">
        <v>304</v>
      </c>
      <c r="E85" t="s">
        <v>52</v>
      </c>
      <c r="F85" t="s">
        <v>53</v>
      </c>
      <c r="G85" t="s">
        <v>27</v>
      </c>
      <c r="H85" t="s">
        <v>54</v>
      </c>
      <c r="I85" t="s">
        <v>55</v>
      </c>
      <c r="J85">
        <v>1</v>
      </c>
      <c r="K85">
        <v>55000</v>
      </c>
      <c r="L85">
        <v>0</v>
      </c>
      <c r="M85">
        <v>55000</v>
      </c>
      <c r="N85">
        <v>38500</v>
      </c>
      <c r="O85">
        <v>16500</v>
      </c>
      <c r="P85" t="s">
        <v>109</v>
      </c>
      <c r="Q85" t="s">
        <v>110</v>
      </c>
      <c r="R85" t="s">
        <v>111</v>
      </c>
      <c r="S85" t="s">
        <v>60</v>
      </c>
      <c r="T85" t="s">
        <v>56</v>
      </c>
      <c r="U85" t="s">
        <v>34</v>
      </c>
      <c r="V85">
        <v>1</v>
      </c>
      <c r="W85">
        <f>Table1[[#This Row],[Profit]]/Table1[[#This Row],[Sales]]</f>
        <v>0.3</v>
      </c>
    </row>
    <row r="86" spans="1:23" x14ac:dyDescent="0.25">
      <c r="A86" t="s">
        <v>305</v>
      </c>
      <c r="B86" s="1">
        <v>45984</v>
      </c>
      <c r="C86" t="s">
        <v>306</v>
      </c>
      <c r="D86" t="s">
        <v>307</v>
      </c>
      <c r="E86" t="s">
        <v>38</v>
      </c>
      <c r="F86" t="s">
        <v>39</v>
      </c>
      <c r="G86" t="s">
        <v>40</v>
      </c>
      <c r="H86" t="s">
        <v>41</v>
      </c>
      <c r="I86" t="s">
        <v>42</v>
      </c>
      <c r="J86">
        <v>4</v>
      </c>
      <c r="K86">
        <v>4500</v>
      </c>
      <c r="L86">
        <v>15</v>
      </c>
      <c r="M86">
        <v>15300</v>
      </c>
      <c r="N86">
        <v>12600</v>
      </c>
      <c r="O86">
        <v>2700</v>
      </c>
      <c r="P86" t="s">
        <v>43</v>
      </c>
      <c r="Q86" t="s">
        <v>44</v>
      </c>
      <c r="R86" t="s">
        <v>45</v>
      </c>
      <c r="S86" t="s">
        <v>32</v>
      </c>
      <c r="T86" t="s">
        <v>56</v>
      </c>
      <c r="U86" t="s">
        <v>34</v>
      </c>
      <c r="V86">
        <v>4</v>
      </c>
      <c r="W86">
        <f>Table1[[#This Row],[Profit]]/Table1[[#This Row],[Sales]]</f>
        <v>0.17647058823529413</v>
      </c>
    </row>
    <row r="87" spans="1:23" x14ac:dyDescent="0.25">
      <c r="A87" t="s">
        <v>308</v>
      </c>
      <c r="B87" s="1">
        <v>45915</v>
      </c>
      <c r="C87" t="s">
        <v>309</v>
      </c>
      <c r="D87" t="s">
        <v>310</v>
      </c>
      <c r="E87" t="s">
        <v>73</v>
      </c>
      <c r="F87" t="s">
        <v>74</v>
      </c>
      <c r="G87" t="s">
        <v>27</v>
      </c>
      <c r="H87" t="s">
        <v>75</v>
      </c>
      <c r="I87" t="s">
        <v>76</v>
      </c>
      <c r="J87">
        <v>2</v>
      </c>
      <c r="K87">
        <v>3500</v>
      </c>
      <c r="L87">
        <v>5</v>
      </c>
      <c r="M87">
        <v>6650</v>
      </c>
      <c r="N87">
        <v>4900</v>
      </c>
      <c r="O87">
        <v>1750</v>
      </c>
      <c r="P87" t="s">
        <v>43</v>
      </c>
      <c r="Q87" t="s">
        <v>44</v>
      </c>
      <c r="R87" t="s">
        <v>45</v>
      </c>
      <c r="S87" t="s">
        <v>32</v>
      </c>
      <c r="T87" t="s">
        <v>33</v>
      </c>
      <c r="U87" t="s">
        <v>34</v>
      </c>
      <c r="V87">
        <v>4</v>
      </c>
      <c r="W87">
        <f>Table1[[#This Row],[Profit]]/Table1[[#This Row],[Sales]]</f>
        <v>0.26315789473684209</v>
      </c>
    </row>
    <row r="88" spans="1:23" x14ac:dyDescent="0.25">
      <c r="A88" t="s">
        <v>311</v>
      </c>
      <c r="B88" s="1">
        <v>45807</v>
      </c>
      <c r="C88" t="s">
        <v>312</v>
      </c>
      <c r="D88" t="s">
        <v>313</v>
      </c>
      <c r="E88" t="s">
        <v>73</v>
      </c>
      <c r="F88" t="s">
        <v>74</v>
      </c>
      <c r="G88" t="s">
        <v>27</v>
      </c>
      <c r="H88" t="s">
        <v>75</v>
      </c>
      <c r="I88" t="s">
        <v>76</v>
      </c>
      <c r="J88">
        <v>3</v>
      </c>
      <c r="K88">
        <v>3500</v>
      </c>
      <c r="L88">
        <v>5</v>
      </c>
      <c r="M88">
        <v>9975</v>
      </c>
      <c r="N88">
        <v>7349.9999999999991</v>
      </c>
      <c r="O88">
        <v>2625.0000000000009</v>
      </c>
      <c r="P88" t="s">
        <v>109</v>
      </c>
      <c r="Q88" t="s">
        <v>110</v>
      </c>
      <c r="R88" t="s">
        <v>111</v>
      </c>
      <c r="S88" t="s">
        <v>46</v>
      </c>
      <c r="T88" t="s">
        <v>33</v>
      </c>
      <c r="U88" t="s">
        <v>34</v>
      </c>
      <c r="V88">
        <v>3</v>
      </c>
      <c r="W88">
        <f>Table1[[#This Row],[Profit]]/Table1[[#This Row],[Sales]]</f>
        <v>0.2631578947368422</v>
      </c>
    </row>
    <row r="89" spans="1:23" x14ac:dyDescent="0.25">
      <c r="A89" t="s">
        <v>314</v>
      </c>
      <c r="B89" s="1">
        <v>45918</v>
      </c>
      <c r="C89" t="s">
        <v>315</v>
      </c>
      <c r="D89" t="s">
        <v>316</v>
      </c>
      <c r="E89" t="s">
        <v>67</v>
      </c>
      <c r="F89" t="s">
        <v>68</v>
      </c>
      <c r="G89" t="s">
        <v>27</v>
      </c>
      <c r="H89" t="s">
        <v>28</v>
      </c>
      <c r="I89" t="s">
        <v>69</v>
      </c>
      <c r="J89">
        <v>1</v>
      </c>
      <c r="K89">
        <v>1500</v>
      </c>
      <c r="L89">
        <v>0</v>
      </c>
      <c r="M89">
        <v>1500</v>
      </c>
      <c r="N89">
        <v>1050</v>
      </c>
      <c r="O89">
        <v>450</v>
      </c>
      <c r="P89" t="s">
        <v>30</v>
      </c>
      <c r="Q89" t="s">
        <v>30</v>
      </c>
      <c r="R89" t="s">
        <v>31</v>
      </c>
      <c r="S89" t="s">
        <v>46</v>
      </c>
      <c r="T89" t="s">
        <v>56</v>
      </c>
      <c r="U89" t="s">
        <v>34</v>
      </c>
      <c r="V89">
        <v>3</v>
      </c>
      <c r="W89">
        <f>Table1[[#This Row],[Profit]]/Table1[[#This Row],[Sales]]</f>
        <v>0.3</v>
      </c>
    </row>
    <row r="90" spans="1:23" x14ac:dyDescent="0.25">
      <c r="A90" t="s">
        <v>317</v>
      </c>
      <c r="B90" s="1">
        <v>45821</v>
      </c>
      <c r="C90" t="s">
        <v>318</v>
      </c>
      <c r="D90" t="s">
        <v>319</v>
      </c>
      <c r="E90" t="s">
        <v>52</v>
      </c>
      <c r="F90" t="s">
        <v>53</v>
      </c>
      <c r="G90" t="s">
        <v>27</v>
      </c>
      <c r="H90" t="s">
        <v>54</v>
      </c>
      <c r="I90" t="s">
        <v>55</v>
      </c>
      <c r="J90">
        <v>1</v>
      </c>
      <c r="K90">
        <v>55000</v>
      </c>
      <c r="L90">
        <v>5</v>
      </c>
      <c r="M90">
        <v>52250</v>
      </c>
      <c r="N90">
        <v>38500</v>
      </c>
      <c r="O90">
        <v>13750</v>
      </c>
      <c r="P90" t="s">
        <v>30</v>
      </c>
      <c r="Q90" t="s">
        <v>30</v>
      </c>
      <c r="R90" t="s">
        <v>31</v>
      </c>
      <c r="S90" t="s">
        <v>46</v>
      </c>
      <c r="T90" t="s">
        <v>56</v>
      </c>
      <c r="U90" t="s">
        <v>34</v>
      </c>
      <c r="V90">
        <v>1</v>
      </c>
      <c r="W90">
        <f>Table1[[#This Row],[Profit]]/Table1[[#This Row],[Sales]]</f>
        <v>0.26315789473684209</v>
      </c>
    </row>
    <row r="91" spans="1:23" x14ac:dyDescent="0.25">
      <c r="A91" t="s">
        <v>320</v>
      </c>
      <c r="B91" s="1">
        <v>45811</v>
      </c>
      <c r="C91" t="s">
        <v>321</v>
      </c>
      <c r="D91" t="s">
        <v>322</v>
      </c>
      <c r="E91" t="s">
        <v>52</v>
      </c>
      <c r="F91" t="s">
        <v>53</v>
      </c>
      <c r="G91" t="s">
        <v>27</v>
      </c>
      <c r="H91" t="s">
        <v>54</v>
      </c>
      <c r="I91" t="s">
        <v>55</v>
      </c>
      <c r="J91">
        <v>2</v>
      </c>
      <c r="K91">
        <v>55000</v>
      </c>
      <c r="L91">
        <v>5</v>
      </c>
      <c r="M91">
        <v>104500</v>
      </c>
      <c r="N91">
        <v>77000</v>
      </c>
      <c r="O91">
        <v>27500</v>
      </c>
      <c r="P91" t="s">
        <v>30</v>
      </c>
      <c r="Q91" t="s">
        <v>30</v>
      </c>
      <c r="R91" t="s">
        <v>31</v>
      </c>
      <c r="S91" t="s">
        <v>46</v>
      </c>
      <c r="T91" t="s">
        <v>47</v>
      </c>
      <c r="U91" t="s">
        <v>48</v>
      </c>
      <c r="V91">
        <v>5</v>
      </c>
      <c r="W91">
        <f>Table1[[#This Row],[Profit]]/Table1[[#This Row],[Sales]]</f>
        <v>0.26315789473684209</v>
      </c>
    </row>
    <row r="92" spans="1:23" x14ac:dyDescent="0.25">
      <c r="A92" t="s">
        <v>323</v>
      </c>
      <c r="B92" s="1">
        <v>45723</v>
      </c>
      <c r="C92" t="s">
        <v>324</v>
      </c>
      <c r="D92" t="s">
        <v>325</v>
      </c>
      <c r="E92" t="s">
        <v>73</v>
      </c>
      <c r="F92" t="s">
        <v>74</v>
      </c>
      <c r="G92" t="s">
        <v>27</v>
      </c>
      <c r="H92" t="s">
        <v>75</v>
      </c>
      <c r="I92" t="s">
        <v>76</v>
      </c>
      <c r="J92">
        <v>1</v>
      </c>
      <c r="K92">
        <v>3500</v>
      </c>
      <c r="L92">
        <v>10</v>
      </c>
      <c r="M92">
        <v>3150</v>
      </c>
      <c r="N92">
        <v>2450</v>
      </c>
      <c r="O92">
        <v>700</v>
      </c>
      <c r="P92" t="s">
        <v>95</v>
      </c>
      <c r="Q92" t="s">
        <v>96</v>
      </c>
      <c r="R92" t="s">
        <v>45</v>
      </c>
      <c r="S92" t="s">
        <v>60</v>
      </c>
      <c r="T92" t="s">
        <v>33</v>
      </c>
      <c r="U92" t="s">
        <v>34</v>
      </c>
      <c r="V92">
        <v>2</v>
      </c>
      <c r="W92">
        <f>Table1[[#This Row],[Profit]]/Table1[[#This Row],[Sales]]</f>
        <v>0.22222222222222221</v>
      </c>
    </row>
    <row r="93" spans="1:23" x14ac:dyDescent="0.25">
      <c r="A93" t="s">
        <v>326</v>
      </c>
      <c r="B93" s="1">
        <v>45855</v>
      </c>
      <c r="C93" t="s">
        <v>327</v>
      </c>
      <c r="D93" t="s">
        <v>246</v>
      </c>
      <c r="E93" t="s">
        <v>38</v>
      </c>
      <c r="F93" t="s">
        <v>39</v>
      </c>
      <c r="G93" t="s">
        <v>40</v>
      </c>
      <c r="H93" t="s">
        <v>41</v>
      </c>
      <c r="I93" t="s">
        <v>42</v>
      </c>
      <c r="J93">
        <v>3</v>
      </c>
      <c r="K93">
        <v>4500</v>
      </c>
      <c r="L93">
        <v>10</v>
      </c>
      <c r="M93">
        <v>12150</v>
      </c>
      <c r="N93">
        <v>9450</v>
      </c>
      <c r="O93">
        <v>2700</v>
      </c>
      <c r="P93" t="s">
        <v>109</v>
      </c>
      <c r="Q93" t="s">
        <v>110</v>
      </c>
      <c r="R93" t="s">
        <v>111</v>
      </c>
      <c r="S93" t="s">
        <v>32</v>
      </c>
      <c r="T93" t="s">
        <v>56</v>
      </c>
      <c r="U93" t="s">
        <v>34</v>
      </c>
      <c r="V93">
        <v>1</v>
      </c>
      <c r="W93">
        <f>Table1[[#This Row],[Profit]]/Table1[[#This Row],[Sales]]</f>
        <v>0.22222222222222221</v>
      </c>
    </row>
    <row r="94" spans="1:23" x14ac:dyDescent="0.25">
      <c r="A94" t="s">
        <v>328</v>
      </c>
      <c r="B94" s="1">
        <v>45697</v>
      </c>
      <c r="C94" t="s">
        <v>329</v>
      </c>
      <c r="D94" t="s">
        <v>330</v>
      </c>
      <c r="E94" t="s">
        <v>25</v>
      </c>
      <c r="F94" t="s">
        <v>26</v>
      </c>
      <c r="G94" t="s">
        <v>27</v>
      </c>
      <c r="H94" t="s">
        <v>28</v>
      </c>
      <c r="I94" t="s">
        <v>29</v>
      </c>
      <c r="J94">
        <v>4</v>
      </c>
      <c r="K94">
        <v>800</v>
      </c>
      <c r="L94">
        <v>5</v>
      </c>
      <c r="M94">
        <v>3040</v>
      </c>
      <c r="N94">
        <v>2240</v>
      </c>
      <c r="O94">
        <v>800</v>
      </c>
      <c r="P94" t="s">
        <v>43</v>
      </c>
      <c r="Q94" t="s">
        <v>44</v>
      </c>
      <c r="R94" t="s">
        <v>45</v>
      </c>
      <c r="S94" t="s">
        <v>60</v>
      </c>
      <c r="T94" t="s">
        <v>47</v>
      </c>
      <c r="U94" t="s">
        <v>48</v>
      </c>
      <c r="V94">
        <v>4</v>
      </c>
      <c r="W94">
        <f>Table1[[#This Row],[Profit]]/Table1[[#This Row],[Sales]]</f>
        <v>0.26315789473684209</v>
      </c>
    </row>
    <row r="95" spans="1:23" x14ac:dyDescent="0.25">
      <c r="A95" t="s">
        <v>331</v>
      </c>
      <c r="B95" s="1">
        <v>46001</v>
      </c>
      <c r="C95" t="s">
        <v>332</v>
      </c>
      <c r="D95" t="s">
        <v>333</v>
      </c>
      <c r="E95" t="s">
        <v>25</v>
      </c>
      <c r="F95" t="s">
        <v>26</v>
      </c>
      <c r="G95" t="s">
        <v>27</v>
      </c>
      <c r="H95" t="s">
        <v>28</v>
      </c>
      <c r="I95" t="s">
        <v>29</v>
      </c>
      <c r="J95">
        <v>1</v>
      </c>
      <c r="K95">
        <v>800</v>
      </c>
      <c r="L95">
        <v>5</v>
      </c>
      <c r="M95">
        <v>760</v>
      </c>
      <c r="N95">
        <v>560</v>
      </c>
      <c r="O95">
        <v>200</v>
      </c>
      <c r="P95" t="s">
        <v>95</v>
      </c>
      <c r="Q95" t="s">
        <v>96</v>
      </c>
      <c r="R95" t="s">
        <v>45</v>
      </c>
      <c r="S95" t="s">
        <v>60</v>
      </c>
      <c r="T95" t="s">
        <v>33</v>
      </c>
      <c r="U95" t="s">
        <v>34</v>
      </c>
      <c r="V95">
        <v>2</v>
      </c>
      <c r="W95">
        <f>Table1[[#This Row],[Profit]]/Table1[[#This Row],[Sales]]</f>
        <v>0.26315789473684209</v>
      </c>
    </row>
    <row r="96" spans="1:23" x14ac:dyDescent="0.25">
      <c r="A96" t="s">
        <v>334</v>
      </c>
      <c r="B96" s="1">
        <v>45964</v>
      </c>
      <c r="C96" t="s">
        <v>335</v>
      </c>
      <c r="D96" t="s">
        <v>209</v>
      </c>
      <c r="E96" t="s">
        <v>73</v>
      </c>
      <c r="F96" t="s">
        <v>74</v>
      </c>
      <c r="G96" t="s">
        <v>27</v>
      </c>
      <c r="H96" t="s">
        <v>75</v>
      </c>
      <c r="I96" t="s">
        <v>76</v>
      </c>
      <c r="J96">
        <v>5</v>
      </c>
      <c r="K96">
        <v>3500</v>
      </c>
      <c r="L96">
        <v>5</v>
      </c>
      <c r="M96">
        <v>16625</v>
      </c>
      <c r="N96">
        <v>12250</v>
      </c>
      <c r="O96">
        <v>4375</v>
      </c>
      <c r="P96" t="s">
        <v>30</v>
      </c>
      <c r="Q96" t="s">
        <v>30</v>
      </c>
      <c r="R96" t="s">
        <v>31</v>
      </c>
      <c r="S96" t="s">
        <v>60</v>
      </c>
      <c r="T96" t="s">
        <v>47</v>
      </c>
      <c r="U96" t="s">
        <v>48</v>
      </c>
      <c r="V96">
        <v>4</v>
      </c>
      <c r="W96">
        <f>Table1[[#This Row],[Profit]]/Table1[[#This Row],[Sales]]</f>
        <v>0.26315789473684209</v>
      </c>
    </row>
    <row r="97" spans="1:23" x14ac:dyDescent="0.25">
      <c r="A97" t="s">
        <v>336</v>
      </c>
      <c r="B97" s="1">
        <v>45661</v>
      </c>
      <c r="C97" t="s">
        <v>337</v>
      </c>
      <c r="D97" t="s">
        <v>338</v>
      </c>
      <c r="E97" t="s">
        <v>67</v>
      </c>
      <c r="F97" t="s">
        <v>68</v>
      </c>
      <c r="G97" t="s">
        <v>27</v>
      </c>
      <c r="H97" t="s">
        <v>28</v>
      </c>
      <c r="I97" t="s">
        <v>69</v>
      </c>
      <c r="J97">
        <v>5</v>
      </c>
      <c r="K97">
        <v>1500</v>
      </c>
      <c r="L97">
        <v>10</v>
      </c>
      <c r="M97">
        <v>6750</v>
      </c>
      <c r="N97">
        <v>5250</v>
      </c>
      <c r="O97">
        <v>1500</v>
      </c>
      <c r="P97" t="s">
        <v>30</v>
      </c>
      <c r="Q97" t="s">
        <v>30</v>
      </c>
      <c r="R97" t="s">
        <v>31</v>
      </c>
      <c r="S97" t="s">
        <v>32</v>
      </c>
      <c r="T97" t="s">
        <v>56</v>
      </c>
      <c r="U97" t="s">
        <v>48</v>
      </c>
      <c r="V97">
        <v>4</v>
      </c>
      <c r="W97">
        <f>Table1[[#This Row],[Profit]]/Table1[[#This Row],[Sales]]</f>
        <v>0.22222222222222221</v>
      </c>
    </row>
    <row r="98" spans="1:23" x14ac:dyDescent="0.25">
      <c r="A98" t="s">
        <v>339</v>
      </c>
      <c r="B98" s="1">
        <v>46009</v>
      </c>
      <c r="C98" t="s">
        <v>340</v>
      </c>
      <c r="D98" t="s">
        <v>341</v>
      </c>
      <c r="E98" t="s">
        <v>52</v>
      </c>
      <c r="F98" t="s">
        <v>53</v>
      </c>
      <c r="G98" t="s">
        <v>27</v>
      </c>
      <c r="H98" t="s">
        <v>54</v>
      </c>
      <c r="I98" t="s">
        <v>55</v>
      </c>
      <c r="J98">
        <v>3</v>
      </c>
      <c r="K98">
        <v>55000</v>
      </c>
      <c r="L98">
        <v>10</v>
      </c>
      <c r="M98">
        <v>148500</v>
      </c>
      <c r="N98">
        <v>115500</v>
      </c>
      <c r="O98">
        <v>33000.000000000007</v>
      </c>
      <c r="P98" t="s">
        <v>30</v>
      </c>
      <c r="Q98" t="s">
        <v>30</v>
      </c>
      <c r="R98" t="s">
        <v>31</v>
      </c>
      <c r="S98" t="s">
        <v>46</v>
      </c>
      <c r="T98" t="s">
        <v>47</v>
      </c>
      <c r="U98" t="s">
        <v>34</v>
      </c>
      <c r="V98">
        <v>5</v>
      </c>
      <c r="W98">
        <f>Table1[[#This Row],[Profit]]/Table1[[#This Row],[Sales]]</f>
        <v>0.22222222222222227</v>
      </c>
    </row>
    <row r="99" spans="1:23" x14ac:dyDescent="0.25">
      <c r="A99" t="s">
        <v>342</v>
      </c>
      <c r="B99" s="1">
        <v>45998</v>
      </c>
      <c r="C99" t="s">
        <v>343</v>
      </c>
      <c r="D99" t="s">
        <v>344</v>
      </c>
      <c r="E99" t="s">
        <v>67</v>
      </c>
      <c r="F99" t="s">
        <v>68</v>
      </c>
      <c r="G99" t="s">
        <v>27</v>
      </c>
      <c r="H99" t="s">
        <v>28</v>
      </c>
      <c r="I99" t="s">
        <v>69</v>
      </c>
      <c r="J99">
        <v>3</v>
      </c>
      <c r="K99">
        <v>1500</v>
      </c>
      <c r="L99">
        <v>15</v>
      </c>
      <c r="M99">
        <v>3825</v>
      </c>
      <c r="N99">
        <v>3150</v>
      </c>
      <c r="O99">
        <v>675</v>
      </c>
      <c r="P99" t="s">
        <v>95</v>
      </c>
      <c r="Q99" t="s">
        <v>96</v>
      </c>
      <c r="R99" t="s">
        <v>45</v>
      </c>
      <c r="S99" t="s">
        <v>32</v>
      </c>
      <c r="T99" t="s">
        <v>33</v>
      </c>
      <c r="U99" t="s">
        <v>48</v>
      </c>
      <c r="V99">
        <v>4</v>
      </c>
      <c r="W99">
        <f>Table1[[#This Row],[Profit]]/Table1[[#This Row],[Sales]]</f>
        <v>0.17647058823529413</v>
      </c>
    </row>
    <row r="100" spans="1:23" x14ac:dyDescent="0.25">
      <c r="A100" t="s">
        <v>345</v>
      </c>
      <c r="B100" s="1">
        <v>45879</v>
      </c>
      <c r="C100" t="s">
        <v>346</v>
      </c>
      <c r="D100" t="s">
        <v>203</v>
      </c>
      <c r="E100" t="s">
        <v>73</v>
      </c>
      <c r="F100" t="s">
        <v>74</v>
      </c>
      <c r="G100" t="s">
        <v>27</v>
      </c>
      <c r="H100" t="s">
        <v>75</v>
      </c>
      <c r="I100" t="s">
        <v>76</v>
      </c>
      <c r="J100">
        <v>3</v>
      </c>
      <c r="K100">
        <v>3500</v>
      </c>
      <c r="L100">
        <v>10</v>
      </c>
      <c r="M100">
        <v>9450</v>
      </c>
      <c r="N100">
        <v>7349.9999999999991</v>
      </c>
      <c r="O100">
        <v>2100.0000000000009</v>
      </c>
      <c r="P100" t="s">
        <v>30</v>
      </c>
      <c r="Q100" t="s">
        <v>30</v>
      </c>
      <c r="R100" t="s">
        <v>31</v>
      </c>
      <c r="S100" t="s">
        <v>60</v>
      </c>
      <c r="T100" t="s">
        <v>47</v>
      </c>
      <c r="U100" t="s">
        <v>34</v>
      </c>
      <c r="V100">
        <v>2</v>
      </c>
      <c r="W100">
        <f>Table1[[#This Row],[Profit]]/Table1[[#This Row],[Sales]]</f>
        <v>0.22222222222222232</v>
      </c>
    </row>
    <row r="101" spans="1:23" x14ac:dyDescent="0.25">
      <c r="A101" t="s">
        <v>347</v>
      </c>
      <c r="B101" s="1">
        <v>45823</v>
      </c>
      <c r="C101" t="s">
        <v>348</v>
      </c>
      <c r="D101" t="s">
        <v>349</v>
      </c>
      <c r="E101" t="s">
        <v>52</v>
      </c>
      <c r="F101" t="s">
        <v>53</v>
      </c>
      <c r="G101" t="s">
        <v>27</v>
      </c>
      <c r="H101" t="s">
        <v>54</v>
      </c>
      <c r="I101" t="s">
        <v>55</v>
      </c>
      <c r="J101">
        <v>4</v>
      </c>
      <c r="K101">
        <v>55000</v>
      </c>
      <c r="L101">
        <v>5</v>
      </c>
      <c r="M101">
        <v>209000</v>
      </c>
      <c r="N101">
        <v>154000</v>
      </c>
      <c r="O101">
        <v>55000</v>
      </c>
      <c r="P101" t="s">
        <v>95</v>
      </c>
      <c r="Q101" t="s">
        <v>96</v>
      </c>
      <c r="R101" t="s">
        <v>45</v>
      </c>
      <c r="S101" t="s">
        <v>60</v>
      </c>
      <c r="T101" t="s">
        <v>56</v>
      </c>
      <c r="U101" t="s">
        <v>34</v>
      </c>
      <c r="V101">
        <v>5</v>
      </c>
      <c r="W101">
        <f>Table1[[#This Row],[Profit]]/Table1[[#This Row],[Sales]]</f>
        <v>0.26315789473684209</v>
      </c>
    </row>
    <row r="102" spans="1:23" x14ac:dyDescent="0.25">
      <c r="A102" t="s">
        <v>350</v>
      </c>
      <c r="B102" s="1">
        <v>45716</v>
      </c>
      <c r="C102" t="s">
        <v>181</v>
      </c>
      <c r="D102" t="s">
        <v>351</v>
      </c>
      <c r="E102" t="s">
        <v>25</v>
      </c>
      <c r="F102" t="s">
        <v>26</v>
      </c>
      <c r="G102" t="s">
        <v>27</v>
      </c>
      <c r="H102" t="s">
        <v>28</v>
      </c>
      <c r="I102" t="s">
        <v>29</v>
      </c>
      <c r="J102">
        <v>2</v>
      </c>
      <c r="K102">
        <v>800</v>
      </c>
      <c r="L102">
        <v>0</v>
      </c>
      <c r="M102">
        <v>1600</v>
      </c>
      <c r="N102">
        <v>1120</v>
      </c>
      <c r="O102">
        <v>480</v>
      </c>
      <c r="P102" t="s">
        <v>109</v>
      </c>
      <c r="Q102" t="s">
        <v>110</v>
      </c>
      <c r="R102" t="s">
        <v>111</v>
      </c>
      <c r="S102" t="s">
        <v>60</v>
      </c>
      <c r="T102" t="s">
        <v>47</v>
      </c>
      <c r="U102" t="s">
        <v>48</v>
      </c>
      <c r="V102">
        <v>1</v>
      </c>
      <c r="W102">
        <f>Table1[[#This Row],[Profit]]/Table1[[#This Row],[Sales]]</f>
        <v>0.3</v>
      </c>
    </row>
    <row r="103" spans="1:23" x14ac:dyDescent="0.25">
      <c r="A103" t="s">
        <v>352</v>
      </c>
      <c r="B103" s="1">
        <v>45690</v>
      </c>
      <c r="C103" t="s">
        <v>353</v>
      </c>
      <c r="D103" t="s">
        <v>354</v>
      </c>
      <c r="E103" t="s">
        <v>25</v>
      </c>
      <c r="F103" t="s">
        <v>26</v>
      </c>
      <c r="G103" t="s">
        <v>27</v>
      </c>
      <c r="H103" t="s">
        <v>28</v>
      </c>
      <c r="I103" t="s">
        <v>29</v>
      </c>
      <c r="J103">
        <v>4</v>
      </c>
      <c r="K103">
        <v>800</v>
      </c>
      <c r="L103">
        <v>15</v>
      </c>
      <c r="M103">
        <v>2720</v>
      </c>
      <c r="N103">
        <v>2240</v>
      </c>
      <c r="O103">
        <v>480</v>
      </c>
      <c r="P103" t="s">
        <v>95</v>
      </c>
      <c r="Q103" t="s">
        <v>96</v>
      </c>
      <c r="R103" t="s">
        <v>45</v>
      </c>
      <c r="S103" t="s">
        <v>46</v>
      </c>
      <c r="T103" t="s">
        <v>47</v>
      </c>
      <c r="U103" t="s">
        <v>34</v>
      </c>
      <c r="V103">
        <v>4</v>
      </c>
      <c r="W103">
        <f>Table1[[#This Row],[Profit]]/Table1[[#This Row],[Sales]]</f>
        <v>0.17647058823529413</v>
      </c>
    </row>
    <row r="104" spans="1:23" x14ac:dyDescent="0.25">
      <c r="A104" t="s">
        <v>355</v>
      </c>
      <c r="B104" s="1">
        <v>45844</v>
      </c>
      <c r="C104" t="s">
        <v>356</v>
      </c>
      <c r="D104" t="s">
        <v>357</v>
      </c>
      <c r="E104" t="s">
        <v>38</v>
      </c>
      <c r="F104" t="s">
        <v>39</v>
      </c>
      <c r="G104" t="s">
        <v>40</v>
      </c>
      <c r="H104" t="s">
        <v>41</v>
      </c>
      <c r="I104" t="s">
        <v>42</v>
      </c>
      <c r="J104">
        <v>1</v>
      </c>
      <c r="K104">
        <v>4500</v>
      </c>
      <c r="L104">
        <v>5</v>
      </c>
      <c r="M104">
        <v>4275</v>
      </c>
      <c r="N104">
        <v>3150</v>
      </c>
      <c r="O104">
        <v>1125</v>
      </c>
      <c r="P104" t="s">
        <v>95</v>
      </c>
      <c r="Q104" t="s">
        <v>96</v>
      </c>
      <c r="R104" t="s">
        <v>45</v>
      </c>
      <c r="S104" t="s">
        <v>32</v>
      </c>
      <c r="T104" t="s">
        <v>33</v>
      </c>
      <c r="U104" t="s">
        <v>48</v>
      </c>
      <c r="V104">
        <v>5</v>
      </c>
      <c r="W104">
        <f>Table1[[#This Row],[Profit]]/Table1[[#This Row],[Sales]]</f>
        <v>0.26315789473684209</v>
      </c>
    </row>
    <row r="105" spans="1:23" x14ac:dyDescent="0.25">
      <c r="A105" t="s">
        <v>358</v>
      </c>
      <c r="B105" s="1">
        <v>45837</v>
      </c>
      <c r="C105" t="s">
        <v>359</v>
      </c>
      <c r="D105" t="s">
        <v>147</v>
      </c>
      <c r="E105" t="s">
        <v>67</v>
      </c>
      <c r="F105" t="s">
        <v>68</v>
      </c>
      <c r="G105" t="s">
        <v>27</v>
      </c>
      <c r="H105" t="s">
        <v>28</v>
      </c>
      <c r="I105" t="s">
        <v>69</v>
      </c>
      <c r="J105">
        <v>1</v>
      </c>
      <c r="K105">
        <v>1500</v>
      </c>
      <c r="L105">
        <v>10</v>
      </c>
      <c r="M105">
        <v>1350</v>
      </c>
      <c r="N105">
        <v>1050</v>
      </c>
      <c r="O105">
        <v>300</v>
      </c>
      <c r="P105" t="s">
        <v>30</v>
      </c>
      <c r="Q105" t="s">
        <v>30</v>
      </c>
      <c r="R105" t="s">
        <v>31</v>
      </c>
      <c r="S105" t="s">
        <v>32</v>
      </c>
      <c r="T105" t="s">
        <v>33</v>
      </c>
      <c r="U105" t="s">
        <v>48</v>
      </c>
      <c r="V105">
        <v>1</v>
      </c>
      <c r="W105">
        <f>Table1[[#This Row],[Profit]]/Table1[[#This Row],[Sales]]</f>
        <v>0.22222222222222221</v>
      </c>
    </row>
    <row r="106" spans="1:23" x14ac:dyDescent="0.25">
      <c r="A106" t="s">
        <v>360</v>
      </c>
      <c r="B106" s="1">
        <v>45846</v>
      </c>
      <c r="C106" t="s">
        <v>361</v>
      </c>
      <c r="D106" t="s">
        <v>362</v>
      </c>
      <c r="E106" t="s">
        <v>52</v>
      </c>
      <c r="F106" t="s">
        <v>53</v>
      </c>
      <c r="G106" t="s">
        <v>27</v>
      </c>
      <c r="H106" t="s">
        <v>54</v>
      </c>
      <c r="I106" t="s">
        <v>55</v>
      </c>
      <c r="J106">
        <v>3</v>
      </c>
      <c r="K106">
        <v>55000</v>
      </c>
      <c r="L106">
        <v>5</v>
      </c>
      <c r="M106">
        <v>156750</v>
      </c>
      <c r="N106">
        <v>115500</v>
      </c>
      <c r="O106">
        <v>41250.000000000007</v>
      </c>
      <c r="P106" t="s">
        <v>109</v>
      </c>
      <c r="Q106" t="s">
        <v>110</v>
      </c>
      <c r="R106" t="s">
        <v>111</v>
      </c>
      <c r="S106" t="s">
        <v>32</v>
      </c>
      <c r="T106" t="s">
        <v>47</v>
      </c>
      <c r="U106" t="s">
        <v>48</v>
      </c>
      <c r="V106">
        <v>2</v>
      </c>
      <c r="W106">
        <f>Table1[[#This Row],[Profit]]/Table1[[#This Row],[Sales]]</f>
        <v>0.26315789473684215</v>
      </c>
    </row>
    <row r="107" spans="1:23" x14ac:dyDescent="0.25">
      <c r="A107" t="s">
        <v>363</v>
      </c>
      <c r="B107" s="1">
        <v>45954</v>
      </c>
      <c r="C107" t="s">
        <v>364</v>
      </c>
      <c r="D107" t="s">
        <v>365</v>
      </c>
      <c r="E107" t="s">
        <v>73</v>
      </c>
      <c r="F107" t="s">
        <v>74</v>
      </c>
      <c r="G107" t="s">
        <v>27</v>
      </c>
      <c r="H107" t="s">
        <v>75</v>
      </c>
      <c r="I107" t="s">
        <v>76</v>
      </c>
      <c r="J107">
        <v>3</v>
      </c>
      <c r="K107">
        <v>3500</v>
      </c>
      <c r="L107">
        <v>10</v>
      </c>
      <c r="M107">
        <v>9450</v>
      </c>
      <c r="N107">
        <v>7349.9999999999991</v>
      </c>
      <c r="O107">
        <v>2100.0000000000009</v>
      </c>
      <c r="P107" t="s">
        <v>43</v>
      </c>
      <c r="Q107" t="s">
        <v>44</v>
      </c>
      <c r="R107" t="s">
        <v>45</v>
      </c>
      <c r="S107" t="s">
        <v>46</v>
      </c>
      <c r="T107" t="s">
        <v>33</v>
      </c>
      <c r="U107" t="s">
        <v>34</v>
      </c>
      <c r="V107">
        <v>2</v>
      </c>
      <c r="W107">
        <f>Table1[[#This Row],[Profit]]/Table1[[#This Row],[Sales]]</f>
        <v>0.22222222222222232</v>
      </c>
    </row>
    <row r="108" spans="1:23" x14ac:dyDescent="0.25">
      <c r="A108" t="s">
        <v>366</v>
      </c>
      <c r="B108" s="1">
        <v>46010</v>
      </c>
      <c r="C108" t="s">
        <v>367</v>
      </c>
      <c r="D108" t="s">
        <v>368</v>
      </c>
      <c r="E108" t="s">
        <v>52</v>
      </c>
      <c r="F108" t="s">
        <v>53</v>
      </c>
      <c r="G108" t="s">
        <v>27</v>
      </c>
      <c r="H108" t="s">
        <v>54</v>
      </c>
      <c r="I108" t="s">
        <v>55</v>
      </c>
      <c r="J108">
        <v>4</v>
      </c>
      <c r="K108">
        <v>55000</v>
      </c>
      <c r="L108">
        <v>0</v>
      </c>
      <c r="M108">
        <v>220000</v>
      </c>
      <c r="N108">
        <v>154000</v>
      </c>
      <c r="O108">
        <v>66000</v>
      </c>
      <c r="P108" t="s">
        <v>30</v>
      </c>
      <c r="Q108" t="s">
        <v>30</v>
      </c>
      <c r="R108" t="s">
        <v>31</v>
      </c>
      <c r="S108" t="s">
        <v>46</v>
      </c>
      <c r="T108" t="s">
        <v>47</v>
      </c>
      <c r="U108" t="s">
        <v>34</v>
      </c>
      <c r="V108">
        <v>1</v>
      </c>
      <c r="W108">
        <f>Table1[[#This Row],[Profit]]/Table1[[#This Row],[Sales]]</f>
        <v>0.3</v>
      </c>
    </row>
    <row r="109" spans="1:23" x14ac:dyDescent="0.25">
      <c r="A109" t="s">
        <v>369</v>
      </c>
      <c r="B109" s="1">
        <v>45673</v>
      </c>
      <c r="C109" t="s">
        <v>370</v>
      </c>
      <c r="D109" t="s">
        <v>371</v>
      </c>
      <c r="E109" t="s">
        <v>38</v>
      </c>
      <c r="F109" t="s">
        <v>39</v>
      </c>
      <c r="G109" t="s">
        <v>40</v>
      </c>
      <c r="H109" t="s">
        <v>41</v>
      </c>
      <c r="I109" t="s">
        <v>42</v>
      </c>
      <c r="J109">
        <v>2</v>
      </c>
      <c r="K109">
        <v>4500</v>
      </c>
      <c r="L109">
        <v>10</v>
      </c>
      <c r="M109">
        <v>8100</v>
      </c>
      <c r="N109">
        <v>6300</v>
      </c>
      <c r="O109">
        <v>1800</v>
      </c>
      <c r="P109" t="s">
        <v>30</v>
      </c>
      <c r="Q109" t="s">
        <v>30</v>
      </c>
      <c r="R109" t="s">
        <v>31</v>
      </c>
      <c r="S109" t="s">
        <v>46</v>
      </c>
      <c r="T109" t="s">
        <v>47</v>
      </c>
      <c r="U109" t="s">
        <v>48</v>
      </c>
      <c r="V109">
        <v>5</v>
      </c>
      <c r="W109">
        <f>Table1[[#This Row],[Profit]]/Table1[[#This Row],[Sales]]</f>
        <v>0.22222222222222221</v>
      </c>
    </row>
    <row r="110" spans="1:23" x14ac:dyDescent="0.25">
      <c r="A110" t="s">
        <v>372</v>
      </c>
      <c r="B110" s="1">
        <v>45732</v>
      </c>
      <c r="C110" t="s">
        <v>373</v>
      </c>
      <c r="D110" t="s">
        <v>91</v>
      </c>
      <c r="E110" t="s">
        <v>73</v>
      </c>
      <c r="F110" t="s">
        <v>74</v>
      </c>
      <c r="G110" t="s">
        <v>27</v>
      </c>
      <c r="H110" t="s">
        <v>75</v>
      </c>
      <c r="I110" t="s">
        <v>76</v>
      </c>
      <c r="J110">
        <v>4</v>
      </c>
      <c r="K110">
        <v>3500</v>
      </c>
      <c r="L110">
        <v>0</v>
      </c>
      <c r="M110">
        <v>14000</v>
      </c>
      <c r="N110">
        <v>9800</v>
      </c>
      <c r="O110">
        <v>4200</v>
      </c>
      <c r="P110" t="s">
        <v>109</v>
      </c>
      <c r="Q110" t="s">
        <v>110</v>
      </c>
      <c r="R110" t="s">
        <v>111</v>
      </c>
      <c r="S110" t="s">
        <v>46</v>
      </c>
      <c r="T110" t="s">
        <v>47</v>
      </c>
      <c r="U110" t="s">
        <v>34</v>
      </c>
      <c r="V110">
        <v>1</v>
      </c>
      <c r="W110">
        <f>Table1[[#This Row],[Profit]]/Table1[[#This Row],[Sales]]</f>
        <v>0.3</v>
      </c>
    </row>
    <row r="111" spans="1:23" x14ac:dyDescent="0.25">
      <c r="A111" t="s">
        <v>374</v>
      </c>
      <c r="B111" s="1">
        <v>45894</v>
      </c>
      <c r="C111" t="s">
        <v>375</v>
      </c>
      <c r="D111" t="s">
        <v>376</v>
      </c>
      <c r="E111" t="s">
        <v>38</v>
      </c>
      <c r="F111" t="s">
        <v>39</v>
      </c>
      <c r="G111" t="s">
        <v>40</v>
      </c>
      <c r="H111" t="s">
        <v>41</v>
      </c>
      <c r="I111" t="s">
        <v>42</v>
      </c>
      <c r="J111">
        <v>2</v>
      </c>
      <c r="K111">
        <v>4500</v>
      </c>
      <c r="L111">
        <v>10</v>
      </c>
      <c r="M111">
        <v>8100</v>
      </c>
      <c r="N111">
        <v>6300</v>
      </c>
      <c r="O111">
        <v>1800</v>
      </c>
      <c r="P111" t="s">
        <v>30</v>
      </c>
      <c r="Q111" t="s">
        <v>30</v>
      </c>
      <c r="R111" t="s">
        <v>31</v>
      </c>
      <c r="S111" t="s">
        <v>32</v>
      </c>
      <c r="T111" t="s">
        <v>56</v>
      </c>
      <c r="U111" t="s">
        <v>34</v>
      </c>
      <c r="V111">
        <v>3</v>
      </c>
      <c r="W111">
        <f>Table1[[#This Row],[Profit]]/Table1[[#This Row],[Sales]]</f>
        <v>0.22222222222222221</v>
      </c>
    </row>
    <row r="112" spans="1:23" x14ac:dyDescent="0.25">
      <c r="A112" t="s">
        <v>377</v>
      </c>
      <c r="B112" s="1">
        <v>45920</v>
      </c>
      <c r="C112" t="s">
        <v>378</v>
      </c>
      <c r="D112" t="s">
        <v>379</v>
      </c>
      <c r="E112" t="s">
        <v>38</v>
      </c>
      <c r="F112" t="s">
        <v>39</v>
      </c>
      <c r="G112" t="s">
        <v>40</v>
      </c>
      <c r="H112" t="s">
        <v>41</v>
      </c>
      <c r="I112" t="s">
        <v>42</v>
      </c>
      <c r="J112">
        <v>3</v>
      </c>
      <c r="K112">
        <v>4500</v>
      </c>
      <c r="L112">
        <v>15</v>
      </c>
      <c r="M112">
        <v>11475</v>
      </c>
      <c r="N112">
        <v>9450</v>
      </c>
      <c r="O112">
        <v>2025</v>
      </c>
      <c r="P112" t="s">
        <v>30</v>
      </c>
      <c r="Q112" t="s">
        <v>30</v>
      </c>
      <c r="R112" t="s">
        <v>31</v>
      </c>
      <c r="S112" t="s">
        <v>60</v>
      </c>
      <c r="T112" t="s">
        <v>47</v>
      </c>
      <c r="U112" t="s">
        <v>34</v>
      </c>
      <c r="V112">
        <v>5</v>
      </c>
      <c r="W112">
        <f>Table1[[#This Row],[Profit]]/Table1[[#This Row],[Sales]]</f>
        <v>0.17647058823529413</v>
      </c>
    </row>
    <row r="113" spans="1:23" x14ac:dyDescent="0.25">
      <c r="A113" t="s">
        <v>380</v>
      </c>
      <c r="B113" s="1">
        <v>45955</v>
      </c>
      <c r="C113" t="s">
        <v>381</v>
      </c>
      <c r="D113" t="s">
        <v>382</v>
      </c>
      <c r="E113" t="s">
        <v>67</v>
      </c>
      <c r="F113" t="s">
        <v>68</v>
      </c>
      <c r="G113" t="s">
        <v>27</v>
      </c>
      <c r="H113" t="s">
        <v>28</v>
      </c>
      <c r="I113" t="s">
        <v>69</v>
      </c>
      <c r="J113">
        <v>3</v>
      </c>
      <c r="K113">
        <v>1500</v>
      </c>
      <c r="L113">
        <v>0</v>
      </c>
      <c r="M113">
        <v>4500</v>
      </c>
      <c r="N113">
        <v>3150</v>
      </c>
      <c r="O113">
        <v>1350</v>
      </c>
      <c r="P113" t="s">
        <v>30</v>
      </c>
      <c r="Q113" t="s">
        <v>30</v>
      </c>
      <c r="R113" t="s">
        <v>31</v>
      </c>
      <c r="S113" t="s">
        <v>32</v>
      </c>
      <c r="T113" t="s">
        <v>47</v>
      </c>
      <c r="U113" t="s">
        <v>48</v>
      </c>
      <c r="V113">
        <v>4</v>
      </c>
      <c r="W113">
        <f>Table1[[#This Row],[Profit]]/Table1[[#This Row],[Sales]]</f>
        <v>0.3</v>
      </c>
    </row>
    <row r="114" spans="1:23" x14ac:dyDescent="0.25">
      <c r="A114" t="s">
        <v>383</v>
      </c>
      <c r="B114" s="1">
        <v>45861</v>
      </c>
      <c r="C114" t="s">
        <v>318</v>
      </c>
      <c r="D114" t="s">
        <v>384</v>
      </c>
      <c r="E114" t="s">
        <v>67</v>
      </c>
      <c r="F114" t="s">
        <v>68</v>
      </c>
      <c r="G114" t="s">
        <v>27</v>
      </c>
      <c r="H114" t="s">
        <v>28</v>
      </c>
      <c r="I114" t="s">
        <v>69</v>
      </c>
      <c r="J114">
        <v>5</v>
      </c>
      <c r="K114">
        <v>1500</v>
      </c>
      <c r="L114">
        <v>5</v>
      </c>
      <c r="M114">
        <v>7125</v>
      </c>
      <c r="N114">
        <v>5250</v>
      </c>
      <c r="O114">
        <v>1875</v>
      </c>
      <c r="P114" t="s">
        <v>109</v>
      </c>
      <c r="Q114" t="s">
        <v>110</v>
      </c>
      <c r="R114" t="s">
        <v>111</v>
      </c>
      <c r="S114" t="s">
        <v>46</v>
      </c>
      <c r="T114" t="s">
        <v>47</v>
      </c>
      <c r="U114" t="s">
        <v>48</v>
      </c>
      <c r="V114">
        <v>1</v>
      </c>
      <c r="W114">
        <f>Table1[[#This Row],[Profit]]/Table1[[#This Row],[Sales]]</f>
        <v>0.26315789473684209</v>
      </c>
    </row>
    <row r="115" spans="1:23" x14ac:dyDescent="0.25">
      <c r="A115" t="s">
        <v>385</v>
      </c>
      <c r="B115" s="1">
        <v>45902</v>
      </c>
      <c r="C115" t="s">
        <v>386</v>
      </c>
      <c r="D115" t="s">
        <v>387</v>
      </c>
      <c r="E115" t="s">
        <v>67</v>
      </c>
      <c r="F115" t="s">
        <v>68</v>
      </c>
      <c r="G115" t="s">
        <v>27</v>
      </c>
      <c r="H115" t="s">
        <v>28</v>
      </c>
      <c r="I115" t="s">
        <v>69</v>
      </c>
      <c r="J115">
        <v>1</v>
      </c>
      <c r="K115">
        <v>1500</v>
      </c>
      <c r="L115">
        <v>15</v>
      </c>
      <c r="M115">
        <v>1275</v>
      </c>
      <c r="N115">
        <v>1050</v>
      </c>
      <c r="O115">
        <v>225</v>
      </c>
      <c r="P115" t="s">
        <v>30</v>
      </c>
      <c r="Q115" t="s">
        <v>30</v>
      </c>
      <c r="R115" t="s">
        <v>31</v>
      </c>
      <c r="S115" t="s">
        <v>32</v>
      </c>
      <c r="T115" t="s">
        <v>56</v>
      </c>
      <c r="U115" t="s">
        <v>48</v>
      </c>
      <c r="V115">
        <v>2</v>
      </c>
      <c r="W115">
        <f>Table1[[#This Row],[Profit]]/Table1[[#This Row],[Sales]]</f>
        <v>0.17647058823529413</v>
      </c>
    </row>
    <row r="116" spans="1:23" x14ac:dyDescent="0.25">
      <c r="A116" t="s">
        <v>388</v>
      </c>
      <c r="B116" s="1">
        <v>45960</v>
      </c>
      <c r="C116" t="s">
        <v>190</v>
      </c>
      <c r="D116" t="s">
        <v>389</v>
      </c>
      <c r="E116" t="s">
        <v>73</v>
      </c>
      <c r="F116" t="s">
        <v>74</v>
      </c>
      <c r="G116" t="s">
        <v>27</v>
      </c>
      <c r="H116" t="s">
        <v>75</v>
      </c>
      <c r="I116" t="s">
        <v>76</v>
      </c>
      <c r="J116">
        <v>1</v>
      </c>
      <c r="K116">
        <v>3500</v>
      </c>
      <c r="L116">
        <v>15</v>
      </c>
      <c r="M116">
        <v>2975</v>
      </c>
      <c r="N116">
        <v>2450</v>
      </c>
      <c r="O116">
        <v>525</v>
      </c>
      <c r="P116" t="s">
        <v>43</v>
      </c>
      <c r="Q116" t="s">
        <v>44</v>
      </c>
      <c r="R116" t="s">
        <v>45</v>
      </c>
      <c r="S116" t="s">
        <v>32</v>
      </c>
      <c r="T116" t="s">
        <v>56</v>
      </c>
      <c r="U116" t="s">
        <v>34</v>
      </c>
      <c r="V116">
        <v>5</v>
      </c>
      <c r="W116">
        <f>Table1[[#This Row],[Profit]]/Table1[[#This Row],[Sales]]</f>
        <v>0.17647058823529413</v>
      </c>
    </row>
    <row r="117" spans="1:23" x14ac:dyDescent="0.25">
      <c r="A117" t="s">
        <v>390</v>
      </c>
      <c r="B117" s="1">
        <v>46003</v>
      </c>
      <c r="C117" t="s">
        <v>391</v>
      </c>
      <c r="D117" t="s">
        <v>392</v>
      </c>
      <c r="E117" t="s">
        <v>25</v>
      </c>
      <c r="F117" t="s">
        <v>26</v>
      </c>
      <c r="G117" t="s">
        <v>27</v>
      </c>
      <c r="H117" t="s">
        <v>28</v>
      </c>
      <c r="I117" t="s">
        <v>29</v>
      </c>
      <c r="J117">
        <v>2</v>
      </c>
      <c r="K117">
        <v>800</v>
      </c>
      <c r="L117">
        <v>5</v>
      </c>
      <c r="M117">
        <v>1520</v>
      </c>
      <c r="N117">
        <v>1120</v>
      </c>
      <c r="O117">
        <v>400</v>
      </c>
      <c r="P117" t="s">
        <v>109</v>
      </c>
      <c r="Q117" t="s">
        <v>110</v>
      </c>
      <c r="R117" t="s">
        <v>111</v>
      </c>
      <c r="S117" t="s">
        <v>32</v>
      </c>
      <c r="T117" t="s">
        <v>56</v>
      </c>
      <c r="U117" t="s">
        <v>48</v>
      </c>
      <c r="V117">
        <v>4</v>
      </c>
      <c r="W117">
        <f>Table1[[#This Row],[Profit]]/Table1[[#This Row],[Sales]]</f>
        <v>0.26315789473684209</v>
      </c>
    </row>
    <row r="118" spans="1:23" x14ac:dyDescent="0.25">
      <c r="A118" t="s">
        <v>393</v>
      </c>
      <c r="B118" s="1">
        <v>45844</v>
      </c>
      <c r="C118" t="s">
        <v>394</v>
      </c>
      <c r="D118" t="s">
        <v>171</v>
      </c>
      <c r="E118" t="s">
        <v>25</v>
      </c>
      <c r="F118" t="s">
        <v>26</v>
      </c>
      <c r="G118" t="s">
        <v>27</v>
      </c>
      <c r="H118" t="s">
        <v>28</v>
      </c>
      <c r="I118" t="s">
        <v>29</v>
      </c>
      <c r="J118">
        <v>5</v>
      </c>
      <c r="K118">
        <v>800</v>
      </c>
      <c r="L118">
        <v>5</v>
      </c>
      <c r="M118">
        <v>3800</v>
      </c>
      <c r="N118">
        <v>2800</v>
      </c>
      <c r="O118">
        <v>1000</v>
      </c>
      <c r="P118" t="s">
        <v>30</v>
      </c>
      <c r="Q118" t="s">
        <v>30</v>
      </c>
      <c r="R118" t="s">
        <v>31</v>
      </c>
      <c r="S118" t="s">
        <v>32</v>
      </c>
      <c r="T118" t="s">
        <v>47</v>
      </c>
      <c r="U118" t="s">
        <v>34</v>
      </c>
      <c r="V118">
        <v>4</v>
      </c>
      <c r="W118">
        <f>Table1[[#This Row],[Profit]]/Table1[[#This Row],[Sales]]</f>
        <v>0.26315789473684209</v>
      </c>
    </row>
    <row r="119" spans="1:23" x14ac:dyDescent="0.25">
      <c r="A119" t="s">
        <v>395</v>
      </c>
      <c r="B119" s="1">
        <v>45688</v>
      </c>
      <c r="C119" t="s">
        <v>396</v>
      </c>
      <c r="D119" t="s">
        <v>397</v>
      </c>
      <c r="E119" t="s">
        <v>67</v>
      </c>
      <c r="F119" t="s">
        <v>68</v>
      </c>
      <c r="G119" t="s">
        <v>27</v>
      </c>
      <c r="H119" t="s">
        <v>28</v>
      </c>
      <c r="I119" t="s">
        <v>69</v>
      </c>
      <c r="J119">
        <v>4</v>
      </c>
      <c r="K119">
        <v>1500</v>
      </c>
      <c r="L119">
        <v>10</v>
      </c>
      <c r="M119">
        <v>5400</v>
      </c>
      <c r="N119">
        <v>4200</v>
      </c>
      <c r="O119">
        <v>1200</v>
      </c>
      <c r="P119" t="s">
        <v>109</v>
      </c>
      <c r="Q119" t="s">
        <v>110</v>
      </c>
      <c r="R119" t="s">
        <v>111</v>
      </c>
      <c r="S119" t="s">
        <v>46</v>
      </c>
      <c r="T119" t="s">
        <v>56</v>
      </c>
      <c r="U119" t="s">
        <v>34</v>
      </c>
      <c r="V119">
        <v>2</v>
      </c>
      <c r="W119">
        <f>Table1[[#This Row],[Profit]]/Table1[[#This Row],[Sales]]</f>
        <v>0.22222222222222221</v>
      </c>
    </row>
    <row r="120" spans="1:23" x14ac:dyDescent="0.25">
      <c r="A120" t="s">
        <v>398</v>
      </c>
      <c r="B120" s="1">
        <v>45844</v>
      </c>
      <c r="C120" t="s">
        <v>399</v>
      </c>
      <c r="D120" t="s">
        <v>400</v>
      </c>
      <c r="E120" t="s">
        <v>25</v>
      </c>
      <c r="F120" t="s">
        <v>26</v>
      </c>
      <c r="G120" t="s">
        <v>27</v>
      </c>
      <c r="H120" t="s">
        <v>28</v>
      </c>
      <c r="I120" t="s">
        <v>29</v>
      </c>
      <c r="J120">
        <v>1</v>
      </c>
      <c r="K120">
        <v>800</v>
      </c>
      <c r="L120">
        <v>0</v>
      </c>
      <c r="M120">
        <v>800</v>
      </c>
      <c r="N120">
        <v>560</v>
      </c>
      <c r="O120">
        <v>240</v>
      </c>
      <c r="P120" t="s">
        <v>95</v>
      </c>
      <c r="Q120" t="s">
        <v>96</v>
      </c>
      <c r="R120" t="s">
        <v>45</v>
      </c>
      <c r="S120" t="s">
        <v>60</v>
      </c>
      <c r="T120" t="s">
        <v>33</v>
      </c>
      <c r="U120" t="s">
        <v>48</v>
      </c>
      <c r="V120">
        <v>2</v>
      </c>
      <c r="W120">
        <f>Table1[[#This Row],[Profit]]/Table1[[#This Row],[Sales]]</f>
        <v>0.3</v>
      </c>
    </row>
    <row r="121" spans="1:23" x14ac:dyDescent="0.25">
      <c r="A121" t="s">
        <v>401</v>
      </c>
      <c r="B121" s="1">
        <v>45856</v>
      </c>
      <c r="C121" t="s">
        <v>402</v>
      </c>
      <c r="D121" t="s">
        <v>333</v>
      </c>
      <c r="E121" t="s">
        <v>67</v>
      </c>
      <c r="F121" t="s">
        <v>68</v>
      </c>
      <c r="G121" t="s">
        <v>27</v>
      </c>
      <c r="H121" t="s">
        <v>28</v>
      </c>
      <c r="I121" t="s">
        <v>69</v>
      </c>
      <c r="J121">
        <v>4</v>
      </c>
      <c r="K121">
        <v>1500</v>
      </c>
      <c r="L121">
        <v>0</v>
      </c>
      <c r="M121">
        <v>6000</v>
      </c>
      <c r="N121">
        <v>4200</v>
      </c>
      <c r="O121">
        <v>1800</v>
      </c>
      <c r="P121" t="s">
        <v>95</v>
      </c>
      <c r="Q121" t="s">
        <v>96</v>
      </c>
      <c r="R121" t="s">
        <v>45</v>
      </c>
      <c r="S121" t="s">
        <v>32</v>
      </c>
      <c r="T121" t="s">
        <v>33</v>
      </c>
      <c r="U121" t="s">
        <v>34</v>
      </c>
      <c r="V121">
        <v>1</v>
      </c>
      <c r="W121">
        <f>Table1[[#This Row],[Profit]]/Table1[[#This Row],[Sales]]</f>
        <v>0.3</v>
      </c>
    </row>
    <row r="122" spans="1:23" x14ac:dyDescent="0.25">
      <c r="A122" t="s">
        <v>403</v>
      </c>
      <c r="B122" s="1">
        <v>45919</v>
      </c>
      <c r="C122" t="s">
        <v>404</v>
      </c>
      <c r="D122" t="s">
        <v>162</v>
      </c>
      <c r="E122" t="s">
        <v>25</v>
      </c>
      <c r="F122" t="s">
        <v>26</v>
      </c>
      <c r="G122" t="s">
        <v>27</v>
      </c>
      <c r="H122" t="s">
        <v>28</v>
      </c>
      <c r="I122" t="s">
        <v>29</v>
      </c>
      <c r="J122">
        <v>4</v>
      </c>
      <c r="K122">
        <v>800</v>
      </c>
      <c r="L122">
        <v>10</v>
      </c>
      <c r="M122">
        <v>2880</v>
      </c>
      <c r="N122">
        <v>2240</v>
      </c>
      <c r="O122">
        <v>640</v>
      </c>
      <c r="P122" t="s">
        <v>30</v>
      </c>
      <c r="Q122" t="s">
        <v>30</v>
      </c>
      <c r="R122" t="s">
        <v>31</v>
      </c>
      <c r="S122" t="s">
        <v>46</v>
      </c>
      <c r="T122" t="s">
        <v>47</v>
      </c>
      <c r="U122" t="s">
        <v>34</v>
      </c>
      <c r="V122">
        <v>2</v>
      </c>
      <c r="W122">
        <f>Table1[[#This Row],[Profit]]/Table1[[#This Row],[Sales]]</f>
        <v>0.22222222222222221</v>
      </c>
    </row>
    <row r="123" spans="1:23" x14ac:dyDescent="0.25">
      <c r="A123" t="s">
        <v>405</v>
      </c>
      <c r="B123" s="1">
        <v>45863</v>
      </c>
      <c r="C123" t="s">
        <v>406</v>
      </c>
      <c r="D123" t="s">
        <v>407</v>
      </c>
      <c r="E123" t="s">
        <v>38</v>
      </c>
      <c r="F123" t="s">
        <v>39</v>
      </c>
      <c r="G123" t="s">
        <v>40</v>
      </c>
      <c r="H123" t="s">
        <v>41</v>
      </c>
      <c r="I123" t="s">
        <v>42</v>
      </c>
      <c r="J123">
        <v>3</v>
      </c>
      <c r="K123">
        <v>4500</v>
      </c>
      <c r="L123">
        <v>15</v>
      </c>
      <c r="M123">
        <v>11475</v>
      </c>
      <c r="N123">
        <v>9450</v>
      </c>
      <c r="O123">
        <v>2025</v>
      </c>
      <c r="P123" t="s">
        <v>30</v>
      </c>
      <c r="Q123" t="s">
        <v>30</v>
      </c>
      <c r="R123" t="s">
        <v>31</v>
      </c>
      <c r="S123" t="s">
        <v>32</v>
      </c>
      <c r="T123" t="s">
        <v>33</v>
      </c>
      <c r="U123" t="s">
        <v>34</v>
      </c>
      <c r="V123">
        <v>1</v>
      </c>
      <c r="W123">
        <f>Table1[[#This Row],[Profit]]/Table1[[#This Row],[Sales]]</f>
        <v>0.17647058823529413</v>
      </c>
    </row>
    <row r="124" spans="1:23" x14ac:dyDescent="0.25">
      <c r="A124" t="s">
        <v>408</v>
      </c>
      <c r="B124" s="1">
        <v>45724</v>
      </c>
      <c r="C124" t="s">
        <v>409</v>
      </c>
      <c r="D124" t="s">
        <v>410</v>
      </c>
      <c r="E124" t="s">
        <v>67</v>
      </c>
      <c r="F124" t="s">
        <v>68</v>
      </c>
      <c r="G124" t="s">
        <v>27</v>
      </c>
      <c r="H124" t="s">
        <v>28</v>
      </c>
      <c r="I124" t="s">
        <v>69</v>
      </c>
      <c r="J124">
        <v>3</v>
      </c>
      <c r="K124">
        <v>1500</v>
      </c>
      <c r="L124">
        <v>15</v>
      </c>
      <c r="M124">
        <v>3825</v>
      </c>
      <c r="N124">
        <v>3150</v>
      </c>
      <c r="O124">
        <v>675</v>
      </c>
      <c r="P124" t="s">
        <v>43</v>
      </c>
      <c r="Q124" t="s">
        <v>44</v>
      </c>
      <c r="R124" t="s">
        <v>45</v>
      </c>
      <c r="S124" t="s">
        <v>60</v>
      </c>
      <c r="T124" t="s">
        <v>33</v>
      </c>
      <c r="U124" t="s">
        <v>48</v>
      </c>
      <c r="V124">
        <v>5</v>
      </c>
      <c r="W124">
        <f>Table1[[#This Row],[Profit]]/Table1[[#This Row],[Sales]]</f>
        <v>0.17647058823529413</v>
      </c>
    </row>
    <row r="125" spans="1:23" x14ac:dyDescent="0.25">
      <c r="A125" t="s">
        <v>411</v>
      </c>
      <c r="B125" s="1">
        <v>45902</v>
      </c>
      <c r="C125" t="s">
        <v>412</v>
      </c>
      <c r="D125" t="s">
        <v>413</v>
      </c>
      <c r="E125" t="s">
        <v>25</v>
      </c>
      <c r="F125" t="s">
        <v>26</v>
      </c>
      <c r="G125" t="s">
        <v>27</v>
      </c>
      <c r="H125" t="s">
        <v>28</v>
      </c>
      <c r="I125" t="s">
        <v>29</v>
      </c>
      <c r="J125">
        <v>5</v>
      </c>
      <c r="K125">
        <v>800</v>
      </c>
      <c r="L125">
        <v>5</v>
      </c>
      <c r="M125">
        <v>3800</v>
      </c>
      <c r="N125">
        <v>2800</v>
      </c>
      <c r="O125">
        <v>1000</v>
      </c>
      <c r="P125" t="s">
        <v>30</v>
      </c>
      <c r="Q125" t="s">
        <v>30</v>
      </c>
      <c r="R125" t="s">
        <v>31</v>
      </c>
      <c r="S125" t="s">
        <v>32</v>
      </c>
      <c r="T125" t="s">
        <v>33</v>
      </c>
      <c r="U125" t="s">
        <v>34</v>
      </c>
      <c r="V125">
        <v>3</v>
      </c>
      <c r="W125">
        <f>Table1[[#This Row],[Profit]]/Table1[[#This Row],[Sales]]</f>
        <v>0.26315789473684209</v>
      </c>
    </row>
    <row r="126" spans="1:23" x14ac:dyDescent="0.25">
      <c r="A126" t="s">
        <v>414</v>
      </c>
      <c r="B126" s="1">
        <v>45836</v>
      </c>
      <c r="C126" t="s">
        <v>65</v>
      </c>
      <c r="D126" t="s">
        <v>415</v>
      </c>
      <c r="E126" t="s">
        <v>25</v>
      </c>
      <c r="F126" t="s">
        <v>26</v>
      </c>
      <c r="G126" t="s">
        <v>27</v>
      </c>
      <c r="H126" t="s">
        <v>28</v>
      </c>
      <c r="I126" t="s">
        <v>29</v>
      </c>
      <c r="J126">
        <v>2</v>
      </c>
      <c r="K126">
        <v>800</v>
      </c>
      <c r="L126">
        <v>15</v>
      </c>
      <c r="M126">
        <v>1360</v>
      </c>
      <c r="N126">
        <v>1120</v>
      </c>
      <c r="O126">
        <v>240</v>
      </c>
      <c r="P126" t="s">
        <v>109</v>
      </c>
      <c r="Q126" t="s">
        <v>110</v>
      </c>
      <c r="R126" t="s">
        <v>111</v>
      </c>
      <c r="S126" t="s">
        <v>60</v>
      </c>
      <c r="T126" t="s">
        <v>47</v>
      </c>
      <c r="U126" t="s">
        <v>34</v>
      </c>
      <c r="V126">
        <v>3</v>
      </c>
      <c r="W126">
        <f>Table1[[#This Row],[Profit]]/Table1[[#This Row],[Sales]]</f>
        <v>0.17647058823529413</v>
      </c>
    </row>
    <row r="127" spans="1:23" x14ac:dyDescent="0.25">
      <c r="A127" t="s">
        <v>416</v>
      </c>
      <c r="B127" s="1">
        <v>45972</v>
      </c>
      <c r="C127" t="s">
        <v>417</v>
      </c>
      <c r="D127" t="s">
        <v>418</v>
      </c>
      <c r="E127" t="s">
        <v>52</v>
      </c>
      <c r="F127" t="s">
        <v>53</v>
      </c>
      <c r="G127" t="s">
        <v>27</v>
      </c>
      <c r="H127" t="s">
        <v>54</v>
      </c>
      <c r="I127" t="s">
        <v>55</v>
      </c>
      <c r="J127">
        <v>4</v>
      </c>
      <c r="K127">
        <v>55000</v>
      </c>
      <c r="L127">
        <v>5</v>
      </c>
      <c r="M127">
        <v>209000</v>
      </c>
      <c r="N127">
        <v>154000</v>
      </c>
      <c r="O127">
        <v>55000</v>
      </c>
      <c r="P127" t="s">
        <v>30</v>
      </c>
      <c r="Q127" t="s">
        <v>30</v>
      </c>
      <c r="R127" t="s">
        <v>31</v>
      </c>
      <c r="S127" t="s">
        <v>60</v>
      </c>
      <c r="T127" t="s">
        <v>56</v>
      </c>
      <c r="U127" t="s">
        <v>34</v>
      </c>
      <c r="V127">
        <v>5</v>
      </c>
      <c r="W127">
        <f>Table1[[#This Row],[Profit]]/Table1[[#This Row],[Sales]]</f>
        <v>0.26315789473684209</v>
      </c>
    </row>
    <row r="128" spans="1:23" x14ac:dyDescent="0.25">
      <c r="A128" t="s">
        <v>419</v>
      </c>
      <c r="B128" s="1">
        <v>45776</v>
      </c>
      <c r="C128" t="s">
        <v>420</v>
      </c>
      <c r="D128" t="s">
        <v>421</v>
      </c>
      <c r="E128" t="s">
        <v>52</v>
      </c>
      <c r="F128" t="s">
        <v>53</v>
      </c>
      <c r="G128" t="s">
        <v>27</v>
      </c>
      <c r="H128" t="s">
        <v>54</v>
      </c>
      <c r="I128" t="s">
        <v>55</v>
      </c>
      <c r="J128">
        <v>5</v>
      </c>
      <c r="K128">
        <v>55000</v>
      </c>
      <c r="L128">
        <v>15</v>
      </c>
      <c r="M128">
        <v>233750</v>
      </c>
      <c r="N128">
        <v>192500</v>
      </c>
      <c r="O128">
        <v>41250</v>
      </c>
      <c r="P128" t="s">
        <v>43</v>
      </c>
      <c r="Q128" t="s">
        <v>44</v>
      </c>
      <c r="R128" t="s">
        <v>45</v>
      </c>
      <c r="S128" t="s">
        <v>46</v>
      </c>
      <c r="T128" t="s">
        <v>33</v>
      </c>
      <c r="U128" t="s">
        <v>48</v>
      </c>
      <c r="V128">
        <v>4</v>
      </c>
      <c r="W128">
        <f>Table1[[#This Row],[Profit]]/Table1[[#This Row],[Sales]]</f>
        <v>0.17647058823529413</v>
      </c>
    </row>
    <row r="129" spans="1:23" x14ac:dyDescent="0.25">
      <c r="A129" t="s">
        <v>422</v>
      </c>
      <c r="B129" s="1">
        <v>45837</v>
      </c>
      <c r="C129" t="s">
        <v>423</v>
      </c>
      <c r="D129" t="s">
        <v>424</v>
      </c>
      <c r="E129" t="s">
        <v>73</v>
      </c>
      <c r="F129" t="s">
        <v>74</v>
      </c>
      <c r="G129" t="s">
        <v>27</v>
      </c>
      <c r="H129" t="s">
        <v>75</v>
      </c>
      <c r="I129" t="s">
        <v>76</v>
      </c>
      <c r="J129">
        <v>3</v>
      </c>
      <c r="K129">
        <v>3500</v>
      </c>
      <c r="L129">
        <v>10</v>
      </c>
      <c r="M129">
        <v>9450</v>
      </c>
      <c r="N129">
        <v>7349.9999999999991</v>
      </c>
      <c r="O129">
        <v>2100.0000000000009</v>
      </c>
      <c r="P129" t="s">
        <v>43</v>
      </c>
      <c r="Q129" t="s">
        <v>44</v>
      </c>
      <c r="R129" t="s">
        <v>45</v>
      </c>
      <c r="S129" t="s">
        <v>60</v>
      </c>
      <c r="T129" t="s">
        <v>47</v>
      </c>
      <c r="U129" t="s">
        <v>48</v>
      </c>
      <c r="V129">
        <v>3</v>
      </c>
      <c r="W129">
        <f>Table1[[#This Row],[Profit]]/Table1[[#This Row],[Sales]]</f>
        <v>0.22222222222222232</v>
      </c>
    </row>
    <row r="130" spans="1:23" x14ac:dyDescent="0.25">
      <c r="A130" t="s">
        <v>425</v>
      </c>
      <c r="B130" s="1">
        <v>45733</v>
      </c>
      <c r="C130" t="s">
        <v>426</v>
      </c>
      <c r="D130" t="s">
        <v>413</v>
      </c>
      <c r="E130" t="s">
        <v>38</v>
      </c>
      <c r="F130" t="s">
        <v>39</v>
      </c>
      <c r="G130" t="s">
        <v>40</v>
      </c>
      <c r="H130" t="s">
        <v>41</v>
      </c>
      <c r="I130" t="s">
        <v>42</v>
      </c>
      <c r="J130">
        <v>3</v>
      </c>
      <c r="K130">
        <v>4500</v>
      </c>
      <c r="L130">
        <v>10</v>
      </c>
      <c r="M130">
        <v>12150</v>
      </c>
      <c r="N130">
        <v>9450</v>
      </c>
      <c r="O130">
        <v>2700</v>
      </c>
      <c r="P130" t="s">
        <v>30</v>
      </c>
      <c r="Q130" t="s">
        <v>30</v>
      </c>
      <c r="R130" t="s">
        <v>31</v>
      </c>
      <c r="S130" t="s">
        <v>46</v>
      </c>
      <c r="T130" t="s">
        <v>56</v>
      </c>
      <c r="U130" t="s">
        <v>48</v>
      </c>
      <c r="V130">
        <v>3</v>
      </c>
      <c r="W130">
        <f>Table1[[#This Row],[Profit]]/Table1[[#This Row],[Sales]]</f>
        <v>0.22222222222222221</v>
      </c>
    </row>
    <row r="131" spans="1:23" x14ac:dyDescent="0.25">
      <c r="A131" t="s">
        <v>427</v>
      </c>
      <c r="B131" s="1">
        <v>45831</v>
      </c>
      <c r="C131" t="s">
        <v>428</v>
      </c>
      <c r="D131" t="s">
        <v>429</v>
      </c>
      <c r="E131" t="s">
        <v>38</v>
      </c>
      <c r="F131" t="s">
        <v>39</v>
      </c>
      <c r="G131" t="s">
        <v>40</v>
      </c>
      <c r="H131" t="s">
        <v>41</v>
      </c>
      <c r="I131" t="s">
        <v>42</v>
      </c>
      <c r="J131">
        <v>2</v>
      </c>
      <c r="K131">
        <v>4500</v>
      </c>
      <c r="L131">
        <v>5</v>
      </c>
      <c r="M131">
        <v>8550</v>
      </c>
      <c r="N131">
        <v>6300</v>
      </c>
      <c r="O131">
        <v>2250</v>
      </c>
      <c r="P131" t="s">
        <v>109</v>
      </c>
      <c r="Q131" t="s">
        <v>110</v>
      </c>
      <c r="R131" t="s">
        <v>111</v>
      </c>
      <c r="S131" t="s">
        <v>46</v>
      </c>
      <c r="T131" t="s">
        <v>33</v>
      </c>
      <c r="U131" t="s">
        <v>48</v>
      </c>
      <c r="V131">
        <v>2</v>
      </c>
      <c r="W131">
        <f>Table1[[#This Row],[Profit]]/Table1[[#This Row],[Sales]]</f>
        <v>0.26315789473684209</v>
      </c>
    </row>
    <row r="132" spans="1:23" x14ac:dyDescent="0.25">
      <c r="A132" t="s">
        <v>430</v>
      </c>
      <c r="B132" s="1">
        <v>45696</v>
      </c>
      <c r="C132" t="s">
        <v>431</v>
      </c>
      <c r="D132" t="s">
        <v>432</v>
      </c>
      <c r="E132" t="s">
        <v>52</v>
      </c>
      <c r="F132" t="s">
        <v>53</v>
      </c>
      <c r="G132" t="s">
        <v>27</v>
      </c>
      <c r="H132" t="s">
        <v>54</v>
      </c>
      <c r="I132" t="s">
        <v>55</v>
      </c>
      <c r="J132">
        <v>5</v>
      </c>
      <c r="K132">
        <v>55000</v>
      </c>
      <c r="L132">
        <v>0</v>
      </c>
      <c r="M132">
        <v>275000</v>
      </c>
      <c r="N132">
        <v>192500</v>
      </c>
      <c r="O132">
        <v>82500</v>
      </c>
      <c r="P132" t="s">
        <v>109</v>
      </c>
      <c r="Q132" t="s">
        <v>110</v>
      </c>
      <c r="R132" t="s">
        <v>111</v>
      </c>
      <c r="S132" t="s">
        <v>60</v>
      </c>
      <c r="T132" t="s">
        <v>56</v>
      </c>
      <c r="U132" t="s">
        <v>48</v>
      </c>
      <c r="V132">
        <v>2</v>
      </c>
      <c r="W132">
        <f>Table1[[#This Row],[Profit]]/Table1[[#This Row],[Sales]]</f>
        <v>0.3</v>
      </c>
    </row>
    <row r="133" spans="1:23" x14ac:dyDescent="0.25">
      <c r="A133" t="s">
        <v>433</v>
      </c>
      <c r="B133" s="1">
        <v>45803</v>
      </c>
      <c r="C133" t="s">
        <v>434</v>
      </c>
      <c r="D133" t="s">
        <v>435</v>
      </c>
      <c r="E133" t="s">
        <v>73</v>
      </c>
      <c r="F133" t="s">
        <v>74</v>
      </c>
      <c r="G133" t="s">
        <v>27</v>
      </c>
      <c r="H133" t="s">
        <v>75</v>
      </c>
      <c r="I133" t="s">
        <v>76</v>
      </c>
      <c r="J133">
        <v>1</v>
      </c>
      <c r="K133">
        <v>3500</v>
      </c>
      <c r="L133">
        <v>15</v>
      </c>
      <c r="M133">
        <v>2975</v>
      </c>
      <c r="N133">
        <v>2450</v>
      </c>
      <c r="O133">
        <v>525</v>
      </c>
      <c r="P133" t="s">
        <v>109</v>
      </c>
      <c r="Q133" t="s">
        <v>110</v>
      </c>
      <c r="R133" t="s">
        <v>111</v>
      </c>
      <c r="S133" t="s">
        <v>60</v>
      </c>
      <c r="T133" t="s">
        <v>56</v>
      </c>
      <c r="U133" t="s">
        <v>34</v>
      </c>
      <c r="V133">
        <v>4</v>
      </c>
      <c r="W133">
        <f>Table1[[#This Row],[Profit]]/Table1[[#This Row],[Sales]]</f>
        <v>0.17647058823529413</v>
      </c>
    </row>
    <row r="134" spans="1:23" x14ac:dyDescent="0.25">
      <c r="A134" t="s">
        <v>436</v>
      </c>
      <c r="B134" s="1">
        <v>45672</v>
      </c>
      <c r="C134" t="s">
        <v>437</v>
      </c>
      <c r="D134" t="s">
        <v>438</v>
      </c>
      <c r="E134" t="s">
        <v>67</v>
      </c>
      <c r="F134" t="s">
        <v>68</v>
      </c>
      <c r="G134" t="s">
        <v>27</v>
      </c>
      <c r="H134" t="s">
        <v>28</v>
      </c>
      <c r="I134" t="s">
        <v>69</v>
      </c>
      <c r="J134">
        <v>4</v>
      </c>
      <c r="K134">
        <v>1500</v>
      </c>
      <c r="L134">
        <v>0</v>
      </c>
      <c r="M134">
        <v>6000</v>
      </c>
      <c r="N134">
        <v>4200</v>
      </c>
      <c r="O134">
        <v>1800</v>
      </c>
      <c r="P134" t="s">
        <v>43</v>
      </c>
      <c r="Q134" t="s">
        <v>44</v>
      </c>
      <c r="R134" t="s">
        <v>45</v>
      </c>
      <c r="S134" t="s">
        <v>46</v>
      </c>
      <c r="T134" t="s">
        <v>47</v>
      </c>
      <c r="U134" t="s">
        <v>34</v>
      </c>
      <c r="V134">
        <v>3</v>
      </c>
      <c r="W134">
        <f>Table1[[#This Row],[Profit]]/Table1[[#This Row],[Sales]]</f>
        <v>0.3</v>
      </c>
    </row>
    <row r="135" spans="1:23" x14ac:dyDescent="0.25">
      <c r="A135" t="s">
        <v>439</v>
      </c>
      <c r="B135" s="1">
        <v>45993</v>
      </c>
      <c r="C135" t="s">
        <v>440</v>
      </c>
      <c r="D135" t="s">
        <v>441</v>
      </c>
      <c r="E135" t="s">
        <v>52</v>
      </c>
      <c r="F135" t="s">
        <v>53</v>
      </c>
      <c r="G135" t="s">
        <v>27</v>
      </c>
      <c r="H135" t="s">
        <v>54</v>
      </c>
      <c r="I135" t="s">
        <v>55</v>
      </c>
      <c r="J135">
        <v>3</v>
      </c>
      <c r="K135">
        <v>55000</v>
      </c>
      <c r="L135">
        <v>10</v>
      </c>
      <c r="M135">
        <v>148500</v>
      </c>
      <c r="N135">
        <v>115500</v>
      </c>
      <c r="O135">
        <v>33000.000000000007</v>
      </c>
      <c r="P135" t="s">
        <v>109</v>
      </c>
      <c r="Q135" t="s">
        <v>110</v>
      </c>
      <c r="R135" t="s">
        <v>111</v>
      </c>
      <c r="S135" t="s">
        <v>32</v>
      </c>
      <c r="T135" t="s">
        <v>56</v>
      </c>
      <c r="U135" t="s">
        <v>48</v>
      </c>
      <c r="V135">
        <v>3</v>
      </c>
      <c r="W135">
        <f>Table1[[#This Row],[Profit]]/Table1[[#This Row],[Sales]]</f>
        <v>0.22222222222222227</v>
      </c>
    </row>
    <row r="136" spans="1:23" x14ac:dyDescent="0.25">
      <c r="A136" t="s">
        <v>442</v>
      </c>
      <c r="B136" s="1">
        <v>45963</v>
      </c>
      <c r="C136" t="s">
        <v>443</v>
      </c>
      <c r="D136" t="s">
        <v>246</v>
      </c>
      <c r="E136" t="s">
        <v>73</v>
      </c>
      <c r="F136" t="s">
        <v>74</v>
      </c>
      <c r="G136" t="s">
        <v>27</v>
      </c>
      <c r="H136" t="s">
        <v>75</v>
      </c>
      <c r="I136" t="s">
        <v>76</v>
      </c>
      <c r="J136">
        <v>3</v>
      </c>
      <c r="K136">
        <v>3500</v>
      </c>
      <c r="L136">
        <v>5</v>
      </c>
      <c r="M136">
        <v>9975</v>
      </c>
      <c r="N136">
        <v>7349.9999999999991</v>
      </c>
      <c r="O136">
        <v>2625.0000000000009</v>
      </c>
      <c r="P136" t="s">
        <v>43</v>
      </c>
      <c r="Q136" t="s">
        <v>44</v>
      </c>
      <c r="R136" t="s">
        <v>45</v>
      </c>
      <c r="S136" t="s">
        <v>32</v>
      </c>
      <c r="T136" t="s">
        <v>56</v>
      </c>
      <c r="U136" t="s">
        <v>34</v>
      </c>
      <c r="V136">
        <v>5</v>
      </c>
      <c r="W136">
        <f>Table1[[#This Row],[Profit]]/Table1[[#This Row],[Sales]]</f>
        <v>0.2631578947368422</v>
      </c>
    </row>
    <row r="137" spans="1:23" x14ac:dyDescent="0.25">
      <c r="A137" t="s">
        <v>444</v>
      </c>
      <c r="B137" s="1">
        <v>45956</v>
      </c>
      <c r="C137" t="s">
        <v>445</v>
      </c>
      <c r="D137" t="s">
        <v>446</v>
      </c>
      <c r="E137" t="s">
        <v>38</v>
      </c>
      <c r="F137" t="s">
        <v>39</v>
      </c>
      <c r="G137" t="s">
        <v>40</v>
      </c>
      <c r="H137" t="s">
        <v>41</v>
      </c>
      <c r="I137" t="s">
        <v>42</v>
      </c>
      <c r="J137">
        <v>2</v>
      </c>
      <c r="K137">
        <v>4500</v>
      </c>
      <c r="L137">
        <v>5</v>
      </c>
      <c r="M137">
        <v>8550</v>
      </c>
      <c r="N137">
        <v>6300</v>
      </c>
      <c r="O137">
        <v>2250</v>
      </c>
      <c r="P137" t="s">
        <v>30</v>
      </c>
      <c r="Q137" t="s">
        <v>30</v>
      </c>
      <c r="R137" t="s">
        <v>31</v>
      </c>
      <c r="S137" t="s">
        <v>60</v>
      </c>
      <c r="T137" t="s">
        <v>47</v>
      </c>
      <c r="U137" t="s">
        <v>34</v>
      </c>
      <c r="V137">
        <v>5</v>
      </c>
      <c r="W137">
        <f>Table1[[#This Row],[Profit]]/Table1[[#This Row],[Sales]]</f>
        <v>0.26315789473684209</v>
      </c>
    </row>
    <row r="138" spans="1:23" x14ac:dyDescent="0.25">
      <c r="A138" t="s">
        <v>447</v>
      </c>
      <c r="B138" s="1">
        <v>45949</v>
      </c>
      <c r="C138" t="s">
        <v>448</v>
      </c>
      <c r="D138" t="s">
        <v>429</v>
      </c>
      <c r="E138" t="s">
        <v>67</v>
      </c>
      <c r="F138" t="s">
        <v>68</v>
      </c>
      <c r="G138" t="s">
        <v>27</v>
      </c>
      <c r="H138" t="s">
        <v>28</v>
      </c>
      <c r="I138" t="s">
        <v>69</v>
      </c>
      <c r="J138">
        <v>2</v>
      </c>
      <c r="K138">
        <v>1500</v>
      </c>
      <c r="L138">
        <v>0</v>
      </c>
      <c r="M138">
        <v>3000</v>
      </c>
      <c r="N138">
        <v>2100</v>
      </c>
      <c r="O138">
        <v>900</v>
      </c>
      <c r="P138" t="s">
        <v>30</v>
      </c>
      <c r="Q138" t="s">
        <v>30</v>
      </c>
      <c r="R138" t="s">
        <v>31</v>
      </c>
      <c r="S138" t="s">
        <v>32</v>
      </c>
      <c r="T138" t="s">
        <v>56</v>
      </c>
      <c r="U138" t="s">
        <v>48</v>
      </c>
      <c r="V138">
        <v>4</v>
      </c>
      <c r="W138">
        <f>Table1[[#This Row],[Profit]]/Table1[[#This Row],[Sales]]</f>
        <v>0.3</v>
      </c>
    </row>
    <row r="139" spans="1:23" x14ac:dyDescent="0.25">
      <c r="A139" t="s">
        <v>449</v>
      </c>
      <c r="B139" s="1">
        <v>45851</v>
      </c>
      <c r="C139" t="s">
        <v>370</v>
      </c>
      <c r="D139" t="s">
        <v>450</v>
      </c>
      <c r="E139" t="s">
        <v>25</v>
      </c>
      <c r="F139" t="s">
        <v>26</v>
      </c>
      <c r="G139" t="s">
        <v>27</v>
      </c>
      <c r="H139" t="s">
        <v>28</v>
      </c>
      <c r="I139" t="s">
        <v>29</v>
      </c>
      <c r="J139">
        <v>3</v>
      </c>
      <c r="K139">
        <v>800</v>
      </c>
      <c r="L139">
        <v>15</v>
      </c>
      <c r="M139">
        <v>2040</v>
      </c>
      <c r="N139">
        <v>1680</v>
      </c>
      <c r="O139">
        <v>360</v>
      </c>
      <c r="P139" t="s">
        <v>43</v>
      </c>
      <c r="Q139" t="s">
        <v>44</v>
      </c>
      <c r="R139" t="s">
        <v>45</v>
      </c>
      <c r="S139" t="s">
        <v>32</v>
      </c>
      <c r="T139" t="s">
        <v>47</v>
      </c>
      <c r="U139" t="s">
        <v>34</v>
      </c>
      <c r="V139">
        <v>2</v>
      </c>
      <c r="W139">
        <f>Table1[[#This Row],[Profit]]/Table1[[#This Row],[Sales]]</f>
        <v>0.17647058823529413</v>
      </c>
    </row>
    <row r="140" spans="1:23" x14ac:dyDescent="0.25">
      <c r="A140" t="s">
        <v>451</v>
      </c>
      <c r="B140" s="1">
        <v>45908</v>
      </c>
      <c r="C140" t="s">
        <v>452</v>
      </c>
      <c r="D140" t="s">
        <v>282</v>
      </c>
      <c r="E140" t="s">
        <v>52</v>
      </c>
      <c r="F140" t="s">
        <v>53</v>
      </c>
      <c r="G140" t="s">
        <v>27</v>
      </c>
      <c r="H140" t="s">
        <v>54</v>
      </c>
      <c r="I140" t="s">
        <v>55</v>
      </c>
      <c r="J140">
        <v>1</v>
      </c>
      <c r="K140">
        <v>55000</v>
      </c>
      <c r="L140">
        <v>5</v>
      </c>
      <c r="M140">
        <v>52250</v>
      </c>
      <c r="N140">
        <v>38500</v>
      </c>
      <c r="O140">
        <v>13750</v>
      </c>
      <c r="P140" t="s">
        <v>109</v>
      </c>
      <c r="Q140" t="s">
        <v>110</v>
      </c>
      <c r="R140" t="s">
        <v>111</v>
      </c>
      <c r="S140" t="s">
        <v>46</v>
      </c>
      <c r="T140" t="s">
        <v>33</v>
      </c>
      <c r="U140" t="s">
        <v>48</v>
      </c>
      <c r="V140">
        <v>3</v>
      </c>
      <c r="W140">
        <f>Table1[[#This Row],[Profit]]/Table1[[#This Row],[Sales]]</f>
        <v>0.26315789473684209</v>
      </c>
    </row>
    <row r="141" spans="1:23" x14ac:dyDescent="0.25">
      <c r="A141" t="s">
        <v>453</v>
      </c>
      <c r="B141" s="1">
        <v>45777</v>
      </c>
      <c r="C141" t="s">
        <v>454</v>
      </c>
      <c r="D141" t="s">
        <v>455</v>
      </c>
      <c r="E141" t="s">
        <v>73</v>
      </c>
      <c r="F141" t="s">
        <v>74</v>
      </c>
      <c r="G141" t="s">
        <v>27</v>
      </c>
      <c r="H141" t="s">
        <v>75</v>
      </c>
      <c r="I141" t="s">
        <v>76</v>
      </c>
      <c r="J141">
        <v>3</v>
      </c>
      <c r="K141">
        <v>3500</v>
      </c>
      <c r="L141">
        <v>10</v>
      </c>
      <c r="M141">
        <v>9450</v>
      </c>
      <c r="N141">
        <v>7349.9999999999991</v>
      </c>
      <c r="O141">
        <v>2100.0000000000009</v>
      </c>
      <c r="P141" t="s">
        <v>109</v>
      </c>
      <c r="Q141" t="s">
        <v>110</v>
      </c>
      <c r="R141" t="s">
        <v>111</v>
      </c>
      <c r="S141" t="s">
        <v>32</v>
      </c>
      <c r="T141" t="s">
        <v>56</v>
      </c>
      <c r="U141" t="s">
        <v>34</v>
      </c>
      <c r="V141">
        <v>1</v>
      </c>
      <c r="W141">
        <f>Table1[[#This Row],[Profit]]/Table1[[#This Row],[Sales]]</f>
        <v>0.22222222222222232</v>
      </c>
    </row>
    <row r="142" spans="1:23" x14ac:dyDescent="0.25">
      <c r="A142" t="s">
        <v>456</v>
      </c>
      <c r="B142" s="1">
        <v>45974</v>
      </c>
      <c r="C142" t="s">
        <v>457</v>
      </c>
      <c r="D142" t="s">
        <v>458</v>
      </c>
      <c r="E142" t="s">
        <v>73</v>
      </c>
      <c r="F142" t="s">
        <v>74</v>
      </c>
      <c r="G142" t="s">
        <v>27</v>
      </c>
      <c r="H142" t="s">
        <v>75</v>
      </c>
      <c r="I142" t="s">
        <v>76</v>
      </c>
      <c r="J142">
        <v>5</v>
      </c>
      <c r="K142">
        <v>3500</v>
      </c>
      <c r="L142">
        <v>5</v>
      </c>
      <c r="M142">
        <v>16625</v>
      </c>
      <c r="N142">
        <v>12250</v>
      </c>
      <c r="O142">
        <v>4375</v>
      </c>
      <c r="P142" t="s">
        <v>95</v>
      </c>
      <c r="Q142" t="s">
        <v>96</v>
      </c>
      <c r="R142" t="s">
        <v>45</v>
      </c>
      <c r="S142" t="s">
        <v>46</v>
      </c>
      <c r="T142" t="s">
        <v>33</v>
      </c>
      <c r="U142" t="s">
        <v>48</v>
      </c>
      <c r="V142">
        <v>1</v>
      </c>
      <c r="W142">
        <f>Table1[[#This Row],[Profit]]/Table1[[#This Row],[Sales]]</f>
        <v>0.26315789473684209</v>
      </c>
    </row>
    <row r="143" spans="1:23" x14ac:dyDescent="0.25">
      <c r="A143" t="s">
        <v>459</v>
      </c>
      <c r="B143" s="1">
        <v>45988</v>
      </c>
      <c r="C143" t="s">
        <v>460</v>
      </c>
      <c r="D143" t="s">
        <v>461</v>
      </c>
      <c r="E143" t="s">
        <v>73</v>
      </c>
      <c r="F143" t="s">
        <v>74</v>
      </c>
      <c r="G143" t="s">
        <v>27</v>
      </c>
      <c r="H143" t="s">
        <v>75</v>
      </c>
      <c r="I143" t="s">
        <v>76</v>
      </c>
      <c r="J143">
        <v>2</v>
      </c>
      <c r="K143">
        <v>3500</v>
      </c>
      <c r="L143">
        <v>10</v>
      </c>
      <c r="M143">
        <v>6300</v>
      </c>
      <c r="N143">
        <v>4900</v>
      </c>
      <c r="O143">
        <v>1400</v>
      </c>
      <c r="P143" t="s">
        <v>95</v>
      </c>
      <c r="Q143" t="s">
        <v>96</v>
      </c>
      <c r="R143" t="s">
        <v>45</v>
      </c>
      <c r="S143" t="s">
        <v>32</v>
      </c>
      <c r="T143" t="s">
        <v>56</v>
      </c>
      <c r="U143" t="s">
        <v>48</v>
      </c>
      <c r="V143">
        <v>4</v>
      </c>
      <c r="W143">
        <f>Table1[[#This Row],[Profit]]/Table1[[#This Row],[Sales]]</f>
        <v>0.22222222222222221</v>
      </c>
    </row>
    <row r="144" spans="1:23" x14ac:dyDescent="0.25">
      <c r="A144" t="s">
        <v>462</v>
      </c>
      <c r="B144" s="1">
        <v>45739</v>
      </c>
      <c r="C144" t="s">
        <v>463</v>
      </c>
      <c r="D144" t="s">
        <v>464</v>
      </c>
      <c r="E144" t="s">
        <v>67</v>
      </c>
      <c r="F144" t="s">
        <v>68</v>
      </c>
      <c r="G144" t="s">
        <v>27</v>
      </c>
      <c r="H144" t="s">
        <v>28</v>
      </c>
      <c r="I144" t="s">
        <v>69</v>
      </c>
      <c r="J144">
        <v>2</v>
      </c>
      <c r="K144">
        <v>1500</v>
      </c>
      <c r="L144">
        <v>10</v>
      </c>
      <c r="M144">
        <v>2700</v>
      </c>
      <c r="N144">
        <v>2100</v>
      </c>
      <c r="O144">
        <v>600</v>
      </c>
      <c r="P144" t="s">
        <v>109</v>
      </c>
      <c r="Q144" t="s">
        <v>110</v>
      </c>
      <c r="R144" t="s">
        <v>111</v>
      </c>
      <c r="S144" t="s">
        <v>32</v>
      </c>
      <c r="T144" t="s">
        <v>47</v>
      </c>
      <c r="U144" t="s">
        <v>48</v>
      </c>
      <c r="V144">
        <v>2</v>
      </c>
      <c r="W144">
        <f>Table1[[#This Row],[Profit]]/Table1[[#This Row],[Sales]]</f>
        <v>0.22222222222222221</v>
      </c>
    </row>
    <row r="145" spans="1:23" x14ac:dyDescent="0.25">
      <c r="A145" t="s">
        <v>465</v>
      </c>
      <c r="B145" s="1">
        <v>45838</v>
      </c>
      <c r="C145" t="s">
        <v>466</v>
      </c>
      <c r="D145" t="s">
        <v>179</v>
      </c>
      <c r="E145" t="s">
        <v>73</v>
      </c>
      <c r="F145" t="s">
        <v>74</v>
      </c>
      <c r="G145" t="s">
        <v>27</v>
      </c>
      <c r="H145" t="s">
        <v>75</v>
      </c>
      <c r="I145" t="s">
        <v>76</v>
      </c>
      <c r="J145">
        <v>3</v>
      </c>
      <c r="K145">
        <v>3500</v>
      </c>
      <c r="L145">
        <v>15</v>
      </c>
      <c r="M145">
        <v>8925</v>
      </c>
      <c r="N145">
        <v>7349.9999999999991</v>
      </c>
      <c r="O145">
        <v>1575.0000000000009</v>
      </c>
      <c r="P145" t="s">
        <v>43</v>
      </c>
      <c r="Q145" t="s">
        <v>44</v>
      </c>
      <c r="R145" t="s">
        <v>45</v>
      </c>
      <c r="S145" t="s">
        <v>32</v>
      </c>
      <c r="T145" t="s">
        <v>33</v>
      </c>
      <c r="U145" t="s">
        <v>48</v>
      </c>
      <c r="V145">
        <v>1</v>
      </c>
      <c r="W145">
        <f>Table1[[#This Row],[Profit]]/Table1[[#This Row],[Sales]]</f>
        <v>0.17647058823529421</v>
      </c>
    </row>
    <row r="146" spans="1:23" x14ac:dyDescent="0.25">
      <c r="A146" t="s">
        <v>467</v>
      </c>
      <c r="B146" s="1">
        <v>45664</v>
      </c>
      <c r="C146" t="s">
        <v>23</v>
      </c>
      <c r="D146" t="s">
        <v>468</v>
      </c>
      <c r="E146" t="s">
        <v>25</v>
      </c>
      <c r="F146" t="s">
        <v>26</v>
      </c>
      <c r="G146" t="s">
        <v>27</v>
      </c>
      <c r="H146" t="s">
        <v>28</v>
      </c>
      <c r="I146" t="s">
        <v>29</v>
      </c>
      <c r="J146">
        <v>3</v>
      </c>
      <c r="K146">
        <v>800</v>
      </c>
      <c r="L146">
        <v>5</v>
      </c>
      <c r="M146">
        <v>2280</v>
      </c>
      <c r="N146">
        <v>1680</v>
      </c>
      <c r="O146">
        <v>600</v>
      </c>
      <c r="P146" t="s">
        <v>30</v>
      </c>
      <c r="Q146" t="s">
        <v>30</v>
      </c>
      <c r="R146" t="s">
        <v>31</v>
      </c>
      <c r="S146" t="s">
        <v>46</v>
      </c>
      <c r="T146" t="s">
        <v>56</v>
      </c>
      <c r="U146" t="s">
        <v>34</v>
      </c>
      <c r="V146">
        <v>2</v>
      </c>
      <c r="W146">
        <f>Table1[[#This Row],[Profit]]/Table1[[#This Row],[Sales]]</f>
        <v>0.26315789473684209</v>
      </c>
    </row>
    <row r="147" spans="1:23" x14ac:dyDescent="0.25">
      <c r="A147" t="s">
        <v>469</v>
      </c>
      <c r="B147" s="1">
        <v>45790</v>
      </c>
      <c r="C147" t="s">
        <v>470</v>
      </c>
      <c r="D147" t="s">
        <v>471</v>
      </c>
      <c r="E147" t="s">
        <v>73</v>
      </c>
      <c r="F147" t="s">
        <v>74</v>
      </c>
      <c r="G147" t="s">
        <v>27</v>
      </c>
      <c r="H147" t="s">
        <v>75</v>
      </c>
      <c r="I147" t="s">
        <v>76</v>
      </c>
      <c r="J147">
        <v>1</v>
      </c>
      <c r="K147">
        <v>3500</v>
      </c>
      <c r="L147">
        <v>10</v>
      </c>
      <c r="M147">
        <v>3150</v>
      </c>
      <c r="N147">
        <v>2450</v>
      </c>
      <c r="O147">
        <v>700</v>
      </c>
      <c r="P147" t="s">
        <v>43</v>
      </c>
      <c r="Q147" t="s">
        <v>44</v>
      </c>
      <c r="R147" t="s">
        <v>45</v>
      </c>
      <c r="S147" t="s">
        <v>46</v>
      </c>
      <c r="T147" t="s">
        <v>47</v>
      </c>
      <c r="U147" t="s">
        <v>48</v>
      </c>
      <c r="V147">
        <v>2</v>
      </c>
      <c r="W147">
        <f>Table1[[#This Row],[Profit]]/Table1[[#This Row],[Sales]]</f>
        <v>0.22222222222222221</v>
      </c>
    </row>
    <row r="148" spans="1:23" x14ac:dyDescent="0.25">
      <c r="A148" t="s">
        <v>472</v>
      </c>
      <c r="B148" s="1">
        <v>45828</v>
      </c>
      <c r="C148" t="s">
        <v>473</v>
      </c>
      <c r="D148" t="s">
        <v>474</v>
      </c>
      <c r="E148" t="s">
        <v>25</v>
      </c>
      <c r="F148" t="s">
        <v>26</v>
      </c>
      <c r="G148" t="s">
        <v>27</v>
      </c>
      <c r="H148" t="s">
        <v>28</v>
      </c>
      <c r="I148" t="s">
        <v>29</v>
      </c>
      <c r="J148">
        <v>4</v>
      </c>
      <c r="K148">
        <v>800</v>
      </c>
      <c r="L148">
        <v>0</v>
      </c>
      <c r="M148">
        <v>3200</v>
      </c>
      <c r="N148">
        <v>2240</v>
      </c>
      <c r="O148">
        <v>960</v>
      </c>
      <c r="P148" t="s">
        <v>30</v>
      </c>
      <c r="Q148" t="s">
        <v>30</v>
      </c>
      <c r="R148" t="s">
        <v>31</v>
      </c>
      <c r="S148" t="s">
        <v>46</v>
      </c>
      <c r="T148" t="s">
        <v>56</v>
      </c>
      <c r="U148" t="s">
        <v>34</v>
      </c>
      <c r="V148">
        <v>5</v>
      </c>
      <c r="W148">
        <f>Table1[[#This Row],[Profit]]/Table1[[#This Row],[Sales]]</f>
        <v>0.3</v>
      </c>
    </row>
    <row r="149" spans="1:23" x14ac:dyDescent="0.25">
      <c r="A149" t="s">
        <v>475</v>
      </c>
      <c r="B149" s="1">
        <v>45909</v>
      </c>
      <c r="C149" t="s">
        <v>476</v>
      </c>
      <c r="D149" t="s">
        <v>413</v>
      </c>
      <c r="E149" t="s">
        <v>67</v>
      </c>
      <c r="F149" t="s">
        <v>68</v>
      </c>
      <c r="G149" t="s">
        <v>27</v>
      </c>
      <c r="H149" t="s">
        <v>28</v>
      </c>
      <c r="I149" t="s">
        <v>69</v>
      </c>
      <c r="J149">
        <v>2</v>
      </c>
      <c r="K149">
        <v>1500</v>
      </c>
      <c r="L149">
        <v>15</v>
      </c>
      <c r="M149">
        <v>2550</v>
      </c>
      <c r="N149">
        <v>2100</v>
      </c>
      <c r="O149">
        <v>450</v>
      </c>
      <c r="P149" t="s">
        <v>109</v>
      </c>
      <c r="Q149" t="s">
        <v>110</v>
      </c>
      <c r="R149" t="s">
        <v>111</v>
      </c>
      <c r="S149" t="s">
        <v>32</v>
      </c>
      <c r="T149" t="s">
        <v>33</v>
      </c>
      <c r="U149" t="s">
        <v>34</v>
      </c>
      <c r="V149">
        <v>3</v>
      </c>
      <c r="W149">
        <f>Table1[[#This Row],[Profit]]/Table1[[#This Row],[Sales]]</f>
        <v>0.17647058823529413</v>
      </c>
    </row>
    <row r="150" spans="1:23" x14ac:dyDescent="0.25">
      <c r="A150" t="s">
        <v>477</v>
      </c>
      <c r="B150" s="1">
        <v>45830</v>
      </c>
      <c r="C150" t="s">
        <v>478</v>
      </c>
      <c r="D150" t="s">
        <v>479</v>
      </c>
      <c r="E150" t="s">
        <v>38</v>
      </c>
      <c r="F150" t="s">
        <v>39</v>
      </c>
      <c r="G150" t="s">
        <v>40</v>
      </c>
      <c r="H150" t="s">
        <v>41</v>
      </c>
      <c r="I150" t="s">
        <v>42</v>
      </c>
      <c r="J150">
        <v>5</v>
      </c>
      <c r="K150">
        <v>4500</v>
      </c>
      <c r="L150">
        <v>5</v>
      </c>
      <c r="M150">
        <v>21375</v>
      </c>
      <c r="N150">
        <v>15750</v>
      </c>
      <c r="O150">
        <v>5625.0000000000018</v>
      </c>
      <c r="P150" t="s">
        <v>109</v>
      </c>
      <c r="Q150" t="s">
        <v>110</v>
      </c>
      <c r="R150" t="s">
        <v>111</v>
      </c>
      <c r="S150" t="s">
        <v>32</v>
      </c>
      <c r="T150" t="s">
        <v>47</v>
      </c>
      <c r="U150" t="s">
        <v>34</v>
      </c>
      <c r="V150">
        <v>5</v>
      </c>
      <c r="W150">
        <f>Table1[[#This Row],[Profit]]/Table1[[#This Row],[Sales]]</f>
        <v>0.2631578947368422</v>
      </c>
    </row>
    <row r="151" spans="1:23" x14ac:dyDescent="0.25">
      <c r="A151" t="s">
        <v>480</v>
      </c>
      <c r="B151" s="1">
        <v>45774</v>
      </c>
      <c r="C151" t="s">
        <v>481</v>
      </c>
      <c r="D151" t="s">
        <v>482</v>
      </c>
      <c r="E151" t="s">
        <v>73</v>
      </c>
      <c r="F151" t="s">
        <v>74</v>
      </c>
      <c r="G151" t="s">
        <v>27</v>
      </c>
      <c r="H151" t="s">
        <v>75</v>
      </c>
      <c r="I151" t="s">
        <v>76</v>
      </c>
      <c r="J151">
        <v>2</v>
      </c>
      <c r="K151">
        <v>3500</v>
      </c>
      <c r="L151">
        <v>15</v>
      </c>
      <c r="M151">
        <v>5950</v>
      </c>
      <c r="N151">
        <v>4900</v>
      </c>
      <c r="O151">
        <v>1050</v>
      </c>
      <c r="P151" t="s">
        <v>30</v>
      </c>
      <c r="Q151" t="s">
        <v>30</v>
      </c>
      <c r="R151" t="s">
        <v>31</v>
      </c>
      <c r="S151" t="s">
        <v>60</v>
      </c>
      <c r="T151" t="s">
        <v>56</v>
      </c>
      <c r="U151" t="s">
        <v>34</v>
      </c>
      <c r="V151">
        <v>5</v>
      </c>
      <c r="W151">
        <f>Table1[[#This Row],[Profit]]/Table1[[#This Row],[Sales]]</f>
        <v>0.17647058823529413</v>
      </c>
    </row>
    <row r="152" spans="1:23" x14ac:dyDescent="0.25">
      <c r="A152" t="s">
        <v>483</v>
      </c>
      <c r="B152" s="1">
        <v>45971</v>
      </c>
      <c r="C152" t="s">
        <v>484</v>
      </c>
      <c r="D152" t="s">
        <v>485</v>
      </c>
      <c r="E152" t="s">
        <v>25</v>
      </c>
      <c r="F152" t="s">
        <v>26</v>
      </c>
      <c r="G152" t="s">
        <v>27</v>
      </c>
      <c r="H152" t="s">
        <v>28</v>
      </c>
      <c r="I152" t="s">
        <v>29</v>
      </c>
      <c r="J152">
        <v>3</v>
      </c>
      <c r="K152">
        <v>800</v>
      </c>
      <c r="L152">
        <v>0</v>
      </c>
      <c r="M152">
        <v>2400</v>
      </c>
      <c r="N152">
        <v>1680</v>
      </c>
      <c r="O152">
        <v>720</v>
      </c>
      <c r="P152" t="s">
        <v>109</v>
      </c>
      <c r="Q152" t="s">
        <v>110</v>
      </c>
      <c r="R152" t="s">
        <v>111</v>
      </c>
      <c r="S152" t="s">
        <v>32</v>
      </c>
      <c r="T152" t="s">
        <v>33</v>
      </c>
      <c r="U152" t="s">
        <v>34</v>
      </c>
      <c r="V152">
        <v>1</v>
      </c>
      <c r="W152">
        <f>Table1[[#This Row],[Profit]]/Table1[[#This Row],[Sales]]</f>
        <v>0.3</v>
      </c>
    </row>
    <row r="153" spans="1:23" x14ac:dyDescent="0.25">
      <c r="A153" t="s">
        <v>486</v>
      </c>
      <c r="B153" s="1">
        <v>45910</v>
      </c>
      <c r="C153" t="s">
        <v>251</v>
      </c>
      <c r="D153" t="s">
        <v>487</v>
      </c>
      <c r="E153" t="s">
        <v>73</v>
      </c>
      <c r="F153" t="s">
        <v>74</v>
      </c>
      <c r="G153" t="s">
        <v>27</v>
      </c>
      <c r="H153" t="s">
        <v>75</v>
      </c>
      <c r="I153" t="s">
        <v>76</v>
      </c>
      <c r="J153">
        <v>4</v>
      </c>
      <c r="K153">
        <v>3500</v>
      </c>
      <c r="L153">
        <v>5</v>
      </c>
      <c r="M153">
        <v>13300</v>
      </c>
      <c r="N153">
        <v>9800</v>
      </c>
      <c r="O153">
        <v>3500</v>
      </c>
      <c r="P153" t="s">
        <v>30</v>
      </c>
      <c r="Q153" t="s">
        <v>30</v>
      </c>
      <c r="R153" t="s">
        <v>31</v>
      </c>
      <c r="S153" t="s">
        <v>46</v>
      </c>
      <c r="T153" t="s">
        <v>56</v>
      </c>
      <c r="U153" t="s">
        <v>48</v>
      </c>
      <c r="V153">
        <v>2</v>
      </c>
      <c r="W153">
        <f>Table1[[#This Row],[Profit]]/Table1[[#This Row],[Sales]]</f>
        <v>0.26315789473684209</v>
      </c>
    </row>
    <row r="154" spans="1:23" x14ac:dyDescent="0.25">
      <c r="A154" t="s">
        <v>488</v>
      </c>
      <c r="B154" s="1">
        <v>45979</v>
      </c>
      <c r="C154" t="s">
        <v>489</v>
      </c>
      <c r="D154" t="s">
        <v>490</v>
      </c>
      <c r="E154" t="s">
        <v>67</v>
      </c>
      <c r="F154" t="s">
        <v>68</v>
      </c>
      <c r="G154" t="s">
        <v>27</v>
      </c>
      <c r="H154" t="s">
        <v>28</v>
      </c>
      <c r="I154" t="s">
        <v>69</v>
      </c>
      <c r="J154">
        <v>1</v>
      </c>
      <c r="K154">
        <v>1500</v>
      </c>
      <c r="L154">
        <v>5</v>
      </c>
      <c r="M154">
        <v>1425</v>
      </c>
      <c r="N154">
        <v>1050</v>
      </c>
      <c r="O154">
        <v>375</v>
      </c>
      <c r="P154" t="s">
        <v>95</v>
      </c>
      <c r="Q154" t="s">
        <v>96</v>
      </c>
      <c r="R154" t="s">
        <v>45</v>
      </c>
      <c r="S154" t="s">
        <v>32</v>
      </c>
      <c r="T154" t="s">
        <v>56</v>
      </c>
      <c r="U154" t="s">
        <v>34</v>
      </c>
      <c r="V154">
        <v>1</v>
      </c>
      <c r="W154">
        <f>Table1[[#This Row],[Profit]]/Table1[[#This Row],[Sales]]</f>
        <v>0.26315789473684209</v>
      </c>
    </row>
    <row r="155" spans="1:23" x14ac:dyDescent="0.25">
      <c r="A155" t="s">
        <v>491</v>
      </c>
      <c r="B155" s="1">
        <v>45902</v>
      </c>
      <c r="C155" t="s">
        <v>492</v>
      </c>
      <c r="D155" t="s">
        <v>117</v>
      </c>
      <c r="E155" t="s">
        <v>52</v>
      </c>
      <c r="F155" t="s">
        <v>53</v>
      </c>
      <c r="G155" t="s">
        <v>27</v>
      </c>
      <c r="H155" t="s">
        <v>54</v>
      </c>
      <c r="I155" t="s">
        <v>55</v>
      </c>
      <c r="J155">
        <v>1</v>
      </c>
      <c r="K155">
        <v>55000</v>
      </c>
      <c r="L155">
        <v>5</v>
      </c>
      <c r="M155">
        <v>52250</v>
      </c>
      <c r="N155">
        <v>38500</v>
      </c>
      <c r="O155">
        <v>13750</v>
      </c>
      <c r="P155" t="s">
        <v>43</v>
      </c>
      <c r="Q155" t="s">
        <v>44</v>
      </c>
      <c r="R155" t="s">
        <v>45</v>
      </c>
      <c r="S155" t="s">
        <v>60</v>
      </c>
      <c r="T155" t="s">
        <v>47</v>
      </c>
      <c r="U155" t="s">
        <v>34</v>
      </c>
      <c r="V155">
        <v>5</v>
      </c>
      <c r="W155">
        <f>Table1[[#This Row],[Profit]]/Table1[[#This Row],[Sales]]</f>
        <v>0.26315789473684209</v>
      </c>
    </row>
    <row r="156" spans="1:23" x14ac:dyDescent="0.25">
      <c r="A156" t="s">
        <v>493</v>
      </c>
      <c r="B156" s="1">
        <v>45977</v>
      </c>
      <c r="C156" t="s">
        <v>494</v>
      </c>
      <c r="D156" t="s">
        <v>495</v>
      </c>
      <c r="E156" t="s">
        <v>38</v>
      </c>
      <c r="F156" t="s">
        <v>39</v>
      </c>
      <c r="G156" t="s">
        <v>40</v>
      </c>
      <c r="H156" t="s">
        <v>41</v>
      </c>
      <c r="I156" t="s">
        <v>42</v>
      </c>
      <c r="J156">
        <v>2</v>
      </c>
      <c r="K156">
        <v>4500</v>
      </c>
      <c r="L156">
        <v>15</v>
      </c>
      <c r="M156">
        <v>7650</v>
      </c>
      <c r="N156">
        <v>6300</v>
      </c>
      <c r="O156">
        <v>1350</v>
      </c>
      <c r="P156" t="s">
        <v>30</v>
      </c>
      <c r="Q156" t="s">
        <v>30</v>
      </c>
      <c r="R156" t="s">
        <v>31</v>
      </c>
      <c r="S156" t="s">
        <v>60</v>
      </c>
      <c r="T156" t="s">
        <v>47</v>
      </c>
      <c r="U156" t="s">
        <v>48</v>
      </c>
      <c r="V156">
        <v>2</v>
      </c>
      <c r="W156">
        <f>Table1[[#This Row],[Profit]]/Table1[[#This Row],[Sales]]</f>
        <v>0.17647058823529413</v>
      </c>
    </row>
    <row r="157" spans="1:23" x14ac:dyDescent="0.25">
      <c r="A157" t="s">
        <v>496</v>
      </c>
      <c r="B157" s="1">
        <v>46012</v>
      </c>
      <c r="C157" t="s">
        <v>466</v>
      </c>
      <c r="D157" t="s">
        <v>497</v>
      </c>
      <c r="E157" t="s">
        <v>52</v>
      </c>
      <c r="F157" t="s">
        <v>53</v>
      </c>
      <c r="G157" t="s">
        <v>27</v>
      </c>
      <c r="H157" t="s">
        <v>54</v>
      </c>
      <c r="I157" t="s">
        <v>55</v>
      </c>
      <c r="J157">
        <v>3</v>
      </c>
      <c r="K157">
        <v>55000</v>
      </c>
      <c r="L157">
        <v>0</v>
      </c>
      <c r="M157">
        <v>165000</v>
      </c>
      <c r="N157">
        <v>115500</v>
      </c>
      <c r="O157">
        <v>49500.000000000007</v>
      </c>
      <c r="P157" t="s">
        <v>43</v>
      </c>
      <c r="Q157" t="s">
        <v>44</v>
      </c>
      <c r="R157" t="s">
        <v>45</v>
      </c>
      <c r="S157" t="s">
        <v>60</v>
      </c>
      <c r="T157" t="s">
        <v>33</v>
      </c>
      <c r="U157" t="s">
        <v>34</v>
      </c>
      <c r="V157">
        <v>4</v>
      </c>
      <c r="W157">
        <f>Table1[[#This Row],[Profit]]/Table1[[#This Row],[Sales]]</f>
        <v>0.30000000000000004</v>
      </c>
    </row>
    <row r="158" spans="1:23" x14ac:dyDescent="0.25">
      <c r="A158" t="s">
        <v>498</v>
      </c>
      <c r="B158" s="1">
        <v>45730</v>
      </c>
      <c r="C158" t="s">
        <v>214</v>
      </c>
      <c r="D158" t="s">
        <v>37</v>
      </c>
      <c r="E158" t="s">
        <v>52</v>
      </c>
      <c r="F158" t="s">
        <v>53</v>
      </c>
      <c r="G158" t="s">
        <v>27</v>
      </c>
      <c r="H158" t="s">
        <v>54</v>
      </c>
      <c r="I158" t="s">
        <v>55</v>
      </c>
      <c r="J158">
        <v>3</v>
      </c>
      <c r="K158">
        <v>55000</v>
      </c>
      <c r="L158">
        <v>0</v>
      </c>
      <c r="M158">
        <v>165000</v>
      </c>
      <c r="N158">
        <v>115500</v>
      </c>
      <c r="O158">
        <v>49500.000000000007</v>
      </c>
      <c r="P158" t="s">
        <v>109</v>
      </c>
      <c r="Q158" t="s">
        <v>110</v>
      </c>
      <c r="R158" t="s">
        <v>111</v>
      </c>
      <c r="S158" t="s">
        <v>32</v>
      </c>
      <c r="T158" t="s">
        <v>33</v>
      </c>
      <c r="U158" t="s">
        <v>48</v>
      </c>
      <c r="V158">
        <v>5</v>
      </c>
      <c r="W158">
        <f>Table1[[#This Row],[Profit]]/Table1[[#This Row],[Sales]]</f>
        <v>0.30000000000000004</v>
      </c>
    </row>
    <row r="159" spans="1:23" x14ac:dyDescent="0.25">
      <c r="A159" t="s">
        <v>499</v>
      </c>
      <c r="B159" s="1">
        <v>45991</v>
      </c>
      <c r="C159" t="s">
        <v>500</v>
      </c>
      <c r="D159" t="s">
        <v>501</v>
      </c>
      <c r="E159" t="s">
        <v>73</v>
      </c>
      <c r="F159" t="s">
        <v>74</v>
      </c>
      <c r="G159" t="s">
        <v>27</v>
      </c>
      <c r="H159" t="s">
        <v>75</v>
      </c>
      <c r="I159" t="s">
        <v>76</v>
      </c>
      <c r="J159">
        <v>4</v>
      </c>
      <c r="K159">
        <v>3500</v>
      </c>
      <c r="L159">
        <v>10</v>
      </c>
      <c r="M159">
        <v>12600</v>
      </c>
      <c r="N159">
        <v>9800</v>
      </c>
      <c r="O159">
        <v>2800</v>
      </c>
      <c r="P159" t="s">
        <v>95</v>
      </c>
      <c r="Q159" t="s">
        <v>96</v>
      </c>
      <c r="R159" t="s">
        <v>45</v>
      </c>
      <c r="S159" t="s">
        <v>32</v>
      </c>
      <c r="T159" t="s">
        <v>47</v>
      </c>
      <c r="U159" t="s">
        <v>34</v>
      </c>
      <c r="V159">
        <v>1</v>
      </c>
      <c r="W159">
        <f>Table1[[#This Row],[Profit]]/Table1[[#This Row],[Sales]]</f>
        <v>0.22222222222222221</v>
      </c>
    </row>
    <row r="160" spans="1:23" x14ac:dyDescent="0.25">
      <c r="A160" t="s">
        <v>502</v>
      </c>
      <c r="B160" s="1">
        <v>45736</v>
      </c>
      <c r="C160" t="s">
        <v>503</v>
      </c>
      <c r="D160" t="s">
        <v>504</v>
      </c>
      <c r="E160" t="s">
        <v>73</v>
      </c>
      <c r="F160" t="s">
        <v>74</v>
      </c>
      <c r="G160" t="s">
        <v>27</v>
      </c>
      <c r="H160" t="s">
        <v>75</v>
      </c>
      <c r="I160" t="s">
        <v>76</v>
      </c>
      <c r="J160">
        <v>5</v>
      </c>
      <c r="K160">
        <v>3500</v>
      </c>
      <c r="L160">
        <v>10</v>
      </c>
      <c r="M160">
        <v>15750</v>
      </c>
      <c r="N160">
        <v>12250</v>
      </c>
      <c r="O160">
        <v>3500</v>
      </c>
      <c r="P160" t="s">
        <v>30</v>
      </c>
      <c r="Q160" t="s">
        <v>30</v>
      </c>
      <c r="R160" t="s">
        <v>31</v>
      </c>
      <c r="S160" t="s">
        <v>60</v>
      </c>
      <c r="T160" t="s">
        <v>33</v>
      </c>
      <c r="U160" t="s">
        <v>34</v>
      </c>
      <c r="V160">
        <v>2</v>
      </c>
      <c r="W160">
        <f>Table1[[#This Row],[Profit]]/Table1[[#This Row],[Sales]]</f>
        <v>0.22222222222222221</v>
      </c>
    </row>
    <row r="161" spans="1:23" x14ac:dyDescent="0.25">
      <c r="A161" t="s">
        <v>505</v>
      </c>
      <c r="B161" s="1">
        <v>45992</v>
      </c>
      <c r="C161" t="s">
        <v>506</v>
      </c>
      <c r="D161" t="s">
        <v>507</v>
      </c>
      <c r="E161" t="s">
        <v>38</v>
      </c>
      <c r="F161" t="s">
        <v>39</v>
      </c>
      <c r="G161" t="s">
        <v>40</v>
      </c>
      <c r="H161" t="s">
        <v>41</v>
      </c>
      <c r="I161" t="s">
        <v>42</v>
      </c>
      <c r="J161">
        <v>4</v>
      </c>
      <c r="K161">
        <v>4500</v>
      </c>
      <c r="L161">
        <v>0</v>
      </c>
      <c r="M161">
        <v>18000</v>
      </c>
      <c r="N161">
        <v>12600</v>
      </c>
      <c r="O161">
        <v>5400</v>
      </c>
      <c r="P161" t="s">
        <v>95</v>
      </c>
      <c r="Q161" t="s">
        <v>96</v>
      </c>
      <c r="R161" t="s">
        <v>45</v>
      </c>
      <c r="S161" t="s">
        <v>46</v>
      </c>
      <c r="T161" t="s">
        <v>56</v>
      </c>
      <c r="U161" t="s">
        <v>34</v>
      </c>
      <c r="V161">
        <v>4</v>
      </c>
      <c r="W161">
        <f>Table1[[#This Row],[Profit]]/Table1[[#This Row],[Sales]]</f>
        <v>0.3</v>
      </c>
    </row>
    <row r="162" spans="1:23" x14ac:dyDescent="0.25">
      <c r="A162" t="s">
        <v>508</v>
      </c>
      <c r="B162" s="1">
        <v>45860</v>
      </c>
      <c r="C162" t="s">
        <v>208</v>
      </c>
      <c r="D162" t="s">
        <v>509</v>
      </c>
      <c r="E162" t="s">
        <v>38</v>
      </c>
      <c r="F162" t="s">
        <v>39</v>
      </c>
      <c r="G162" t="s">
        <v>40</v>
      </c>
      <c r="H162" t="s">
        <v>41</v>
      </c>
      <c r="I162" t="s">
        <v>42</v>
      </c>
      <c r="J162">
        <v>4</v>
      </c>
      <c r="K162">
        <v>4500</v>
      </c>
      <c r="L162">
        <v>0</v>
      </c>
      <c r="M162">
        <v>18000</v>
      </c>
      <c r="N162">
        <v>12600</v>
      </c>
      <c r="O162">
        <v>5400</v>
      </c>
      <c r="P162" t="s">
        <v>109</v>
      </c>
      <c r="Q162" t="s">
        <v>110</v>
      </c>
      <c r="R162" t="s">
        <v>111</v>
      </c>
      <c r="S162" t="s">
        <v>32</v>
      </c>
      <c r="T162" t="s">
        <v>56</v>
      </c>
      <c r="U162" t="s">
        <v>48</v>
      </c>
      <c r="V162">
        <v>4</v>
      </c>
      <c r="W162">
        <f>Table1[[#This Row],[Profit]]/Table1[[#This Row],[Sales]]</f>
        <v>0.3</v>
      </c>
    </row>
    <row r="163" spans="1:23" x14ac:dyDescent="0.25">
      <c r="A163" t="s">
        <v>510</v>
      </c>
      <c r="B163" s="1">
        <v>45778</v>
      </c>
      <c r="C163" t="s">
        <v>511</v>
      </c>
      <c r="D163" t="s">
        <v>512</v>
      </c>
      <c r="E163" t="s">
        <v>67</v>
      </c>
      <c r="F163" t="s">
        <v>68</v>
      </c>
      <c r="G163" t="s">
        <v>27</v>
      </c>
      <c r="H163" t="s">
        <v>28</v>
      </c>
      <c r="I163" t="s">
        <v>69</v>
      </c>
      <c r="J163">
        <v>1</v>
      </c>
      <c r="K163">
        <v>1500</v>
      </c>
      <c r="L163">
        <v>15</v>
      </c>
      <c r="M163">
        <v>1275</v>
      </c>
      <c r="N163">
        <v>1050</v>
      </c>
      <c r="O163">
        <v>225</v>
      </c>
      <c r="P163" t="s">
        <v>30</v>
      </c>
      <c r="Q163" t="s">
        <v>30</v>
      </c>
      <c r="R163" t="s">
        <v>31</v>
      </c>
      <c r="S163" t="s">
        <v>60</v>
      </c>
      <c r="T163" t="s">
        <v>47</v>
      </c>
      <c r="U163" t="s">
        <v>48</v>
      </c>
      <c r="V163">
        <v>5</v>
      </c>
      <c r="W163">
        <f>Table1[[#This Row],[Profit]]/Table1[[#This Row],[Sales]]</f>
        <v>0.17647058823529413</v>
      </c>
    </row>
    <row r="164" spans="1:23" x14ac:dyDescent="0.25">
      <c r="A164" t="s">
        <v>513</v>
      </c>
      <c r="B164" s="1">
        <v>45777</v>
      </c>
      <c r="C164" t="s">
        <v>514</v>
      </c>
      <c r="D164" t="s">
        <v>515</v>
      </c>
      <c r="E164" t="s">
        <v>73</v>
      </c>
      <c r="F164" t="s">
        <v>74</v>
      </c>
      <c r="G164" t="s">
        <v>27</v>
      </c>
      <c r="H164" t="s">
        <v>75</v>
      </c>
      <c r="I164" t="s">
        <v>76</v>
      </c>
      <c r="J164">
        <v>1</v>
      </c>
      <c r="K164">
        <v>3500</v>
      </c>
      <c r="L164">
        <v>5</v>
      </c>
      <c r="M164">
        <v>3325</v>
      </c>
      <c r="N164">
        <v>2450</v>
      </c>
      <c r="O164">
        <v>875</v>
      </c>
      <c r="P164" t="s">
        <v>109</v>
      </c>
      <c r="Q164" t="s">
        <v>110</v>
      </c>
      <c r="R164" t="s">
        <v>111</v>
      </c>
      <c r="S164" t="s">
        <v>60</v>
      </c>
      <c r="T164" t="s">
        <v>33</v>
      </c>
      <c r="U164" t="s">
        <v>48</v>
      </c>
      <c r="V164">
        <v>1</v>
      </c>
      <c r="W164">
        <f>Table1[[#This Row],[Profit]]/Table1[[#This Row],[Sales]]</f>
        <v>0.26315789473684209</v>
      </c>
    </row>
    <row r="165" spans="1:23" x14ac:dyDescent="0.25">
      <c r="A165" t="s">
        <v>516</v>
      </c>
      <c r="B165" s="1">
        <v>45922</v>
      </c>
      <c r="C165" t="s">
        <v>517</v>
      </c>
      <c r="D165" t="s">
        <v>518</v>
      </c>
      <c r="E165" t="s">
        <v>25</v>
      </c>
      <c r="F165" t="s">
        <v>26</v>
      </c>
      <c r="G165" t="s">
        <v>27</v>
      </c>
      <c r="H165" t="s">
        <v>28</v>
      </c>
      <c r="I165" t="s">
        <v>29</v>
      </c>
      <c r="J165">
        <v>1</v>
      </c>
      <c r="K165">
        <v>800</v>
      </c>
      <c r="L165">
        <v>0</v>
      </c>
      <c r="M165">
        <v>800</v>
      </c>
      <c r="N165">
        <v>560</v>
      </c>
      <c r="O165">
        <v>240</v>
      </c>
      <c r="P165" t="s">
        <v>30</v>
      </c>
      <c r="Q165" t="s">
        <v>30</v>
      </c>
      <c r="R165" t="s">
        <v>31</v>
      </c>
      <c r="S165" t="s">
        <v>32</v>
      </c>
      <c r="T165" t="s">
        <v>33</v>
      </c>
      <c r="U165" t="s">
        <v>48</v>
      </c>
      <c r="V165">
        <v>1</v>
      </c>
      <c r="W165">
        <f>Table1[[#This Row],[Profit]]/Table1[[#This Row],[Sales]]</f>
        <v>0.3</v>
      </c>
    </row>
    <row r="166" spans="1:23" x14ac:dyDescent="0.25">
      <c r="A166" t="s">
        <v>519</v>
      </c>
      <c r="B166" s="1">
        <v>45791</v>
      </c>
      <c r="C166" t="s">
        <v>205</v>
      </c>
      <c r="D166" t="s">
        <v>520</v>
      </c>
      <c r="E166" t="s">
        <v>73</v>
      </c>
      <c r="F166" t="s">
        <v>74</v>
      </c>
      <c r="G166" t="s">
        <v>27</v>
      </c>
      <c r="H166" t="s">
        <v>75</v>
      </c>
      <c r="I166" t="s">
        <v>76</v>
      </c>
      <c r="J166">
        <v>4</v>
      </c>
      <c r="K166">
        <v>3500</v>
      </c>
      <c r="L166">
        <v>15</v>
      </c>
      <c r="M166">
        <v>11900</v>
      </c>
      <c r="N166">
        <v>9800</v>
      </c>
      <c r="O166">
        <v>2100</v>
      </c>
      <c r="P166" t="s">
        <v>30</v>
      </c>
      <c r="Q166" t="s">
        <v>30</v>
      </c>
      <c r="R166" t="s">
        <v>31</v>
      </c>
      <c r="S166" t="s">
        <v>60</v>
      </c>
      <c r="T166" t="s">
        <v>56</v>
      </c>
      <c r="U166" t="s">
        <v>48</v>
      </c>
      <c r="V166">
        <v>5</v>
      </c>
      <c r="W166">
        <f>Table1[[#This Row],[Profit]]/Table1[[#This Row],[Sales]]</f>
        <v>0.17647058823529413</v>
      </c>
    </row>
    <row r="167" spans="1:23" x14ac:dyDescent="0.25">
      <c r="A167" t="s">
        <v>521</v>
      </c>
      <c r="B167" s="1">
        <v>45917</v>
      </c>
      <c r="C167" t="s">
        <v>522</v>
      </c>
      <c r="D167" t="s">
        <v>523</v>
      </c>
      <c r="E167" t="s">
        <v>73</v>
      </c>
      <c r="F167" t="s">
        <v>74</v>
      </c>
      <c r="G167" t="s">
        <v>27</v>
      </c>
      <c r="H167" t="s">
        <v>75</v>
      </c>
      <c r="I167" t="s">
        <v>76</v>
      </c>
      <c r="J167">
        <v>1</v>
      </c>
      <c r="K167">
        <v>3500</v>
      </c>
      <c r="L167">
        <v>5</v>
      </c>
      <c r="M167">
        <v>3325</v>
      </c>
      <c r="N167">
        <v>2450</v>
      </c>
      <c r="O167">
        <v>875</v>
      </c>
      <c r="P167" t="s">
        <v>95</v>
      </c>
      <c r="Q167" t="s">
        <v>96</v>
      </c>
      <c r="R167" t="s">
        <v>45</v>
      </c>
      <c r="S167" t="s">
        <v>60</v>
      </c>
      <c r="T167" t="s">
        <v>47</v>
      </c>
      <c r="U167" t="s">
        <v>48</v>
      </c>
      <c r="V167">
        <v>3</v>
      </c>
      <c r="W167">
        <f>Table1[[#This Row],[Profit]]/Table1[[#This Row],[Sales]]</f>
        <v>0.26315789473684209</v>
      </c>
    </row>
    <row r="168" spans="1:23" x14ac:dyDescent="0.25">
      <c r="A168" t="s">
        <v>524</v>
      </c>
      <c r="B168" s="1">
        <v>45988</v>
      </c>
      <c r="C168" t="s">
        <v>525</v>
      </c>
      <c r="D168" t="s">
        <v>526</v>
      </c>
      <c r="E168" t="s">
        <v>25</v>
      </c>
      <c r="F168" t="s">
        <v>26</v>
      </c>
      <c r="G168" t="s">
        <v>27</v>
      </c>
      <c r="H168" t="s">
        <v>28</v>
      </c>
      <c r="I168" t="s">
        <v>29</v>
      </c>
      <c r="J168">
        <v>1</v>
      </c>
      <c r="K168">
        <v>800</v>
      </c>
      <c r="L168">
        <v>0</v>
      </c>
      <c r="M168">
        <v>800</v>
      </c>
      <c r="N168">
        <v>560</v>
      </c>
      <c r="O168">
        <v>240</v>
      </c>
      <c r="P168" t="s">
        <v>30</v>
      </c>
      <c r="Q168" t="s">
        <v>30</v>
      </c>
      <c r="R168" t="s">
        <v>31</v>
      </c>
      <c r="S168" t="s">
        <v>46</v>
      </c>
      <c r="T168" t="s">
        <v>56</v>
      </c>
      <c r="U168" t="s">
        <v>34</v>
      </c>
      <c r="V168">
        <v>4</v>
      </c>
      <c r="W168">
        <f>Table1[[#This Row],[Profit]]/Table1[[#This Row],[Sales]]</f>
        <v>0.3</v>
      </c>
    </row>
    <row r="169" spans="1:23" x14ac:dyDescent="0.25">
      <c r="A169" t="s">
        <v>527</v>
      </c>
      <c r="B169" s="1">
        <v>45824</v>
      </c>
      <c r="C169" t="s">
        <v>528</v>
      </c>
      <c r="D169" t="s">
        <v>529</v>
      </c>
      <c r="E169" t="s">
        <v>67</v>
      </c>
      <c r="F169" t="s">
        <v>68</v>
      </c>
      <c r="G169" t="s">
        <v>27</v>
      </c>
      <c r="H169" t="s">
        <v>28</v>
      </c>
      <c r="I169" t="s">
        <v>69</v>
      </c>
      <c r="J169">
        <v>4</v>
      </c>
      <c r="K169">
        <v>1500</v>
      </c>
      <c r="L169">
        <v>10</v>
      </c>
      <c r="M169">
        <v>5400</v>
      </c>
      <c r="N169">
        <v>4200</v>
      </c>
      <c r="O169">
        <v>1200</v>
      </c>
      <c r="P169" t="s">
        <v>30</v>
      </c>
      <c r="Q169" t="s">
        <v>30</v>
      </c>
      <c r="R169" t="s">
        <v>31</v>
      </c>
      <c r="S169" t="s">
        <v>46</v>
      </c>
      <c r="T169" t="s">
        <v>33</v>
      </c>
      <c r="U169" t="s">
        <v>48</v>
      </c>
      <c r="V169">
        <v>2</v>
      </c>
      <c r="W169">
        <f>Table1[[#This Row],[Profit]]/Table1[[#This Row],[Sales]]</f>
        <v>0.22222222222222221</v>
      </c>
    </row>
    <row r="170" spans="1:23" x14ac:dyDescent="0.25">
      <c r="A170" t="s">
        <v>530</v>
      </c>
      <c r="B170" s="1">
        <v>45719</v>
      </c>
      <c r="C170" t="s">
        <v>531</v>
      </c>
      <c r="D170" t="s">
        <v>351</v>
      </c>
      <c r="E170" t="s">
        <v>52</v>
      </c>
      <c r="F170" t="s">
        <v>53</v>
      </c>
      <c r="G170" t="s">
        <v>27</v>
      </c>
      <c r="H170" t="s">
        <v>54</v>
      </c>
      <c r="I170" t="s">
        <v>55</v>
      </c>
      <c r="J170">
        <v>1</v>
      </c>
      <c r="K170">
        <v>55000</v>
      </c>
      <c r="L170">
        <v>10</v>
      </c>
      <c r="M170">
        <v>49500</v>
      </c>
      <c r="N170">
        <v>38500</v>
      </c>
      <c r="O170">
        <v>11000</v>
      </c>
      <c r="P170" t="s">
        <v>43</v>
      </c>
      <c r="Q170" t="s">
        <v>44</v>
      </c>
      <c r="R170" t="s">
        <v>45</v>
      </c>
      <c r="S170" t="s">
        <v>32</v>
      </c>
      <c r="T170" t="s">
        <v>56</v>
      </c>
      <c r="U170" t="s">
        <v>48</v>
      </c>
      <c r="V170">
        <v>4</v>
      </c>
      <c r="W170">
        <f>Table1[[#This Row],[Profit]]/Table1[[#This Row],[Sales]]</f>
        <v>0.22222222222222221</v>
      </c>
    </row>
    <row r="171" spans="1:23" x14ac:dyDescent="0.25">
      <c r="A171" t="s">
        <v>532</v>
      </c>
      <c r="B171" s="1">
        <v>45871</v>
      </c>
      <c r="C171" t="s">
        <v>533</v>
      </c>
      <c r="D171" t="s">
        <v>534</v>
      </c>
      <c r="E171" t="s">
        <v>73</v>
      </c>
      <c r="F171" t="s">
        <v>74</v>
      </c>
      <c r="G171" t="s">
        <v>27</v>
      </c>
      <c r="H171" t="s">
        <v>75</v>
      </c>
      <c r="I171" t="s">
        <v>76</v>
      </c>
      <c r="J171">
        <v>5</v>
      </c>
      <c r="K171">
        <v>3500</v>
      </c>
      <c r="L171">
        <v>5</v>
      </c>
      <c r="M171">
        <v>16625</v>
      </c>
      <c r="N171">
        <v>12250</v>
      </c>
      <c r="O171">
        <v>4375</v>
      </c>
      <c r="P171" t="s">
        <v>43</v>
      </c>
      <c r="Q171" t="s">
        <v>44</v>
      </c>
      <c r="R171" t="s">
        <v>45</v>
      </c>
      <c r="S171" t="s">
        <v>46</v>
      </c>
      <c r="T171" t="s">
        <v>56</v>
      </c>
      <c r="U171" t="s">
        <v>34</v>
      </c>
      <c r="V171">
        <v>5</v>
      </c>
      <c r="W171">
        <f>Table1[[#This Row],[Profit]]/Table1[[#This Row],[Sales]]</f>
        <v>0.26315789473684209</v>
      </c>
    </row>
    <row r="172" spans="1:23" x14ac:dyDescent="0.25">
      <c r="A172" t="s">
        <v>535</v>
      </c>
      <c r="B172" s="1">
        <v>45956</v>
      </c>
      <c r="C172" t="s">
        <v>536</v>
      </c>
      <c r="D172" t="s">
        <v>66</v>
      </c>
      <c r="E172" t="s">
        <v>52</v>
      </c>
      <c r="F172" t="s">
        <v>53</v>
      </c>
      <c r="G172" t="s">
        <v>27</v>
      </c>
      <c r="H172" t="s">
        <v>54</v>
      </c>
      <c r="I172" t="s">
        <v>55</v>
      </c>
      <c r="J172">
        <v>3</v>
      </c>
      <c r="K172">
        <v>55000</v>
      </c>
      <c r="L172">
        <v>15</v>
      </c>
      <c r="M172">
        <v>140250</v>
      </c>
      <c r="N172">
        <v>115500</v>
      </c>
      <c r="O172">
        <v>24750.000000000011</v>
      </c>
      <c r="P172" t="s">
        <v>30</v>
      </c>
      <c r="Q172" t="s">
        <v>30</v>
      </c>
      <c r="R172" t="s">
        <v>31</v>
      </c>
      <c r="S172" t="s">
        <v>46</v>
      </c>
      <c r="T172" t="s">
        <v>56</v>
      </c>
      <c r="U172" t="s">
        <v>34</v>
      </c>
      <c r="V172">
        <v>2</v>
      </c>
      <c r="W172">
        <f>Table1[[#This Row],[Profit]]/Table1[[#This Row],[Sales]]</f>
        <v>0.17647058823529418</v>
      </c>
    </row>
    <row r="173" spans="1:23" x14ac:dyDescent="0.25">
      <c r="A173" t="s">
        <v>537</v>
      </c>
      <c r="B173" s="1">
        <v>45890</v>
      </c>
      <c r="C173" t="s">
        <v>538</v>
      </c>
      <c r="D173" t="s">
        <v>526</v>
      </c>
      <c r="E173" t="s">
        <v>73</v>
      </c>
      <c r="F173" t="s">
        <v>74</v>
      </c>
      <c r="G173" t="s">
        <v>27</v>
      </c>
      <c r="H173" t="s">
        <v>75</v>
      </c>
      <c r="I173" t="s">
        <v>76</v>
      </c>
      <c r="J173">
        <v>2</v>
      </c>
      <c r="K173">
        <v>3500</v>
      </c>
      <c r="L173">
        <v>0</v>
      </c>
      <c r="M173">
        <v>7000</v>
      </c>
      <c r="N173">
        <v>4900</v>
      </c>
      <c r="O173">
        <v>2100</v>
      </c>
      <c r="P173" t="s">
        <v>43</v>
      </c>
      <c r="Q173" t="s">
        <v>44</v>
      </c>
      <c r="R173" t="s">
        <v>45</v>
      </c>
      <c r="S173" t="s">
        <v>46</v>
      </c>
      <c r="T173" t="s">
        <v>33</v>
      </c>
      <c r="U173" t="s">
        <v>34</v>
      </c>
      <c r="V173">
        <v>1</v>
      </c>
      <c r="W173">
        <f>Table1[[#This Row],[Profit]]/Table1[[#This Row],[Sales]]</f>
        <v>0.3</v>
      </c>
    </row>
    <row r="174" spans="1:23" x14ac:dyDescent="0.25">
      <c r="A174" t="s">
        <v>539</v>
      </c>
      <c r="B174" s="1">
        <v>45834</v>
      </c>
      <c r="C174" t="s">
        <v>540</v>
      </c>
      <c r="D174" t="s">
        <v>541</v>
      </c>
      <c r="E174" t="s">
        <v>73</v>
      </c>
      <c r="F174" t="s">
        <v>74</v>
      </c>
      <c r="G174" t="s">
        <v>27</v>
      </c>
      <c r="H174" t="s">
        <v>75</v>
      </c>
      <c r="I174" t="s">
        <v>76</v>
      </c>
      <c r="J174">
        <v>5</v>
      </c>
      <c r="K174">
        <v>3500</v>
      </c>
      <c r="L174">
        <v>0</v>
      </c>
      <c r="M174">
        <v>17500</v>
      </c>
      <c r="N174">
        <v>12250</v>
      </c>
      <c r="O174">
        <v>5250</v>
      </c>
      <c r="P174" t="s">
        <v>43</v>
      </c>
      <c r="Q174" t="s">
        <v>44</v>
      </c>
      <c r="R174" t="s">
        <v>45</v>
      </c>
      <c r="S174" t="s">
        <v>32</v>
      </c>
      <c r="T174" t="s">
        <v>33</v>
      </c>
      <c r="U174" t="s">
        <v>34</v>
      </c>
      <c r="V174">
        <v>5</v>
      </c>
      <c r="W174">
        <f>Table1[[#This Row],[Profit]]/Table1[[#This Row],[Sales]]</f>
        <v>0.3</v>
      </c>
    </row>
    <row r="175" spans="1:23" x14ac:dyDescent="0.25">
      <c r="A175" t="s">
        <v>542</v>
      </c>
      <c r="B175" s="1">
        <v>45814</v>
      </c>
      <c r="C175" t="s">
        <v>543</v>
      </c>
      <c r="D175" t="s">
        <v>544</v>
      </c>
      <c r="E175" t="s">
        <v>38</v>
      </c>
      <c r="F175" t="s">
        <v>39</v>
      </c>
      <c r="G175" t="s">
        <v>40</v>
      </c>
      <c r="H175" t="s">
        <v>41</v>
      </c>
      <c r="I175" t="s">
        <v>42</v>
      </c>
      <c r="J175">
        <v>2</v>
      </c>
      <c r="K175">
        <v>4500</v>
      </c>
      <c r="L175">
        <v>5</v>
      </c>
      <c r="M175">
        <v>8550</v>
      </c>
      <c r="N175">
        <v>6300</v>
      </c>
      <c r="O175">
        <v>2250</v>
      </c>
      <c r="P175" t="s">
        <v>43</v>
      </c>
      <c r="Q175" t="s">
        <v>44</v>
      </c>
      <c r="R175" t="s">
        <v>45</v>
      </c>
      <c r="S175" t="s">
        <v>46</v>
      </c>
      <c r="T175" t="s">
        <v>56</v>
      </c>
      <c r="U175" t="s">
        <v>48</v>
      </c>
      <c r="V175">
        <v>5</v>
      </c>
      <c r="W175">
        <f>Table1[[#This Row],[Profit]]/Table1[[#This Row],[Sales]]</f>
        <v>0.26315789473684209</v>
      </c>
    </row>
    <row r="176" spans="1:23" x14ac:dyDescent="0.25">
      <c r="A176" t="s">
        <v>545</v>
      </c>
      <c r="B176" s="1">
        <v>45689</v>
      </c>
      <c r="C176" t="s">
        <v>546</v>
      </c>
      <c r="D176" t="s">
        <v>547</v>
      </c>
      <c r="E176" t="s">
        <v>25</v>
      </c>
      <c r="F176" t="s">
        <v>26</v>
      </c>
      <c r="G176" t="s">
        <v>27</v>
      </c>
      <c r="H176" t="s">
        <v>28</v>
      </c>
      <c r="I176" t="s">
        <v>29</v>
      </c>
      <c r="J176">
        <v>3</v>
      </c>
      <c r="K176">
        <v>800</v>
      </c>
      <c r="L176">
        <v>10</v>
      </c>
      <c r="M176">
        <v>2160</v>
      </c>
      <c r="N176">
        <v>1680</v>
      </c>
      <c r="O176">
        <v>480</v>
      </c>
      <c r="P176" t="s">
        <v>43</v>
      </c>
      <c r="Q176" t="s">
        <v>44</v>
      </c>
      <c r="R176" t="s">
        <v>45</v>
      </c>
      <c r="S176" t="s">
        <v>60</v>
      </c>
      <c r="T176" t="s">
        <v>56</v>
      </c>
      <c r="U176" t="s">
        <v>48</v>
      </c>
      <c r="V176">
        <v>1</v>
      </c>
      <c r="W176">
        <f>Table1[[#This Row],[Profit]]/Table1[[#This Row],[Sales]]</f>
        <v>0.22222222222222221</v>
      </c>
    </row>
    <row r="177" spans="1:23" x14ac:dyDescent="0.25">
      <c r="A177" t="s">
        <v>548</v>
      </c>
      <c r="B177" s="1">
        <v>45894</v>
      </c>
      <c r="C177" t="s">
        <v>549</v>
      </c>
      <c r="D177" t="s">
        <v>550</v>
      </c>
      <c r="E177" t="s">
        <v>67</v>
      </c>
      <c r="F177" t="s">
        <v>68</v>
      </c>
      <c r="G177" t="s">
        <v>27</v>
      </c>
      <c r="H177" t="s">
        <v>28</v>
      </c>
      <c r="I177" t="s">
        <v>69</v>
      </c>
      <c r="J177">
        <v>5</v>
      </c>
      <c r="K177">
        <v>1500</v>
      </c>
      <c r="L177">
        <v>0</v>
      </c>
      <c r="M177">
        <v>7500</v>
      </c>
      <c r="N177">
        <v>5250</v>
      </c>
      <c r="O177">
        <v>2250</v>
      </c>
      <c r="P177" t="s">
        <v>95</v>
      </c>
      <c r="Q177" t="s">
        <v>96</v>
      </c>
      <c r="R177" t="s">
        <v>45</v>
      </c>
      <c r="S177" t="s">
        <v>46</v>
      </c>
      <c r="T177" t="s">
        <v>56</v>
      </c>
      <c r="U177" t="s">
        <v>48</v>
      </c>
      <c r="V177">
        <v>5</v>
      </c>
      <c r="W177">
        <f>Table1[[#This Row],[Profit]]/Table1[[#This Row],[Sales]]</f>
        <v>0.3</v>
      </c>
    </row>
    <row r="178" spans="1:23" x14ac:dyDescent="0.25">
      <c r="A178" t="s">
        <v>551</v>
      </c>
      <c r="B178" s="1">
        <v>45709</v>
      </c>
      <c r="C178" t="s">
        <v>552</v>
      </c>
      <c r="D178" t="s">
        <v>218</v>
      </c>
      <c r="E178" t="s">
        <v>38</v>
      </c>
      <c r="F178" t="s">
        <v>39</v>
      </c>
      <c r="G178" t="s">
        <v>40</v>
      </c>
      <c r="H178" t="s">
        <v>41</v>
      </c>
      <c r="I178" t="s">
        <v>42</v>
      </c>
      <c r="J178">
        <v>1</v>
      </c>
      <c r="K178">
        <v>4500</v>
      </c>
      <c r="L178">
        <v>0</v>
      </c>
      <c r="M178">
        <v>4500</v>
      </c>
      <c r="N178">
        <v>3150</v>
      </c>
      <c r="O178">
        <v>1350</v>
      </c>
      <c r="P178" t="s">
        <v>43</v>
      </c>
      <c r="Q178" t="s">
        <v>44</v>
      </c>
      <c r="R178" t="s">
        <v>45</v>
      </c>
      <c r="S178" t="s">
        <v>46</v>
      </c>
      <c r="T178" t="s">
        <v>56</v>
      </c>
      <c r="U178" t="s">
        <v>34</v>
      </c>
      <c r="V178">
        <v>5</v>
      </c>
      <c r="W178">
        <f>Table1[[#This Row],[Profit]]/Table1[[#This Row],[Sales]]</f>
        <v>0.3</v>
      </c>
    </row>
    <row r="179" spans="1:23" x14ac:dyDescent="0.25">
      <c r="A179" t="s">
        <v>553</v>
      </c>
      <c r="B179" s="1">
        <v>45688</v>
      </c>
      <c r="C179" t="s">
        <v>554</v>
      </c>
      <c r="D179" t="s">
        <v>279</v>
      </c>
      <c r="E179" t="s">
        <v>73</v>
      </c>
      <c r="F179" t="s">
        <v>74</v>
      </c>
      <c r="G179" t="s">
        <v>27</v>
      </c>
      <c r="H179" t="s">
        <v>75</v>
      </c>
      <c r="I179" t="s">
        <v>76</v>
      </c>
      <c r="J179">
        <v>2</v>
      </c>
      <c r="K179">
        <v>3500</v>
      </c>
      <c r="L179">
        <v>10</v>
      </c>
      <c r="M179">
        <v>6300</v>
      </c>
      <c r="N179">
        <v>4900</v>
      </c>
      <c r="O179">
        <v>1400</v>
      </c>
      <c r="P179" t="s">
        <v>95</v>
      </c>
      <c r="Q179" t="s">
        <v>96</v>
      </c>
      <c r="R179" t="s">
        <v>45</v>
      </c>
      <c r="S179" t="s">
        <v>60</v>
      </c>
      <c r="T179" t="s">
        <v>33</v>
      </c>
      <c r="U179" t="s">
        <v>34</v>
      </c>
      <c r="V179">
        <v>3</v>
      </c>
      <c r="W179">
        <f>Table1[[#This Row],[Profit]]/Table1[[#This Row],[Sales]]</f>
        <v>0.22222222222222221</v>
      </c>
    </row>
    <row r="180" spans="1:23" x14ac:dyDescent="0.25">
      <c r="A180" t="s">
        <v>555</v>
      </c>
      <c r="B180" s="1">
        <v>45766</v>
      </c>
      <c r="C180" t="s">
        <v>556</v>
      </c>
      <c r="D180" t="s">
        <v>557</v>
      </c>
      <c r="E180" t="s">
        <v>25</v>
      </c>
      <c r="F180" t="s">
        <v>26</v>
      </c>
      <c r="G180" t="s">
        <v>27</v>
      </c>
      <c r="H180" t="s">
        <v>28</v>
      </c>
      <c r="I180" t="s">
        <v>29</v>
      </c>
      <c r="J180">
        <v>2</v>
      </c>
      <c r="K180">
        <v>800</v>
      </c>
      <c r="L180">
        <v>10</v>
      </c>
      <c r="M180">
        <v>1440</v>
      </c>
      <c r="N180">
        <v>1120</v>
      </c>
      <c r="O180">
        <v>320</v>
      </c>
      <c r="P180" t="s">
        <v>43</v>
      </c>
      <c r="Q180" t="s">
        <v>44</v>
      </c>
      <c r="R180" t="s">
        <v>45</v>
      </c>
      <c r="S180" t="s">
        <v>32</v>
      </c>
      <c r="T180" t="s">
        <v>33</v>
      </c>
      <c r="U180" t="s">
        <v>34</v>
      </c>
      <c r="V180">
        <v>5</v>
      </c>
      <c r="W180">
        <f>Table1[[#This Row],[Profit]]/Table1[[#This Row],[Sales]]</f>
        <v>0.22222222222222221</v>
      </c>
    </row>
    <row r="181" spans="1:23" x14ac:dyDescent="0.25">
      <c r="A181" t="s">
        <v>558</v>
      </c>
      <c r="B181" s="1">
        <v>45859</v>
      </c>
      <c r="C181" t="s">
        <v>559</v>
      </c>
      <c r="D181" t="s">
        <v>560</v>
      </c>
      <c r="E181" t="s">
        <v>67</v>
      </c>
      <c r="F181" t="s">
        <v>68</v>
      </c>
      <c r="G181" t="s">
        <v>27</v>
      </c>
      <c r="H181" t="s">
        <v>28</v>
      </c>
      <c r="I181" t="s">
        <v>69</v>
      </c>
      <c r="J181">
        <v>2</v>
      </c>
      <c r="K181">
        <v>1500</v>
      </c>
      <c r="L181">
        <v>15</v>
      </c>
      <c r="M181">
        <v>2550</v>
      </c>
      <c r="N181">
        <v>2100</v>
      </c>
      <c r="O181">
        <v>450</v>
      </c>
      <c r="P181" t="s">
        <v>43</v>
      </c>
      <c r="Q181" t="s">
        <v>44</v>
      </c>
      <c r="R181" t="s">
        <v>45</v>
      </c>
      <c r="S181" t="s">
        <v>60</v>
      </c>
      <c r="T181" t="s">
        <v>33</v>
      </c>
      <c r="U181" t="s">
        <v>48</v>
      </c>
      <c r="V181">
        <v>3</v>
      </c>
      <c r="W181">
        <f>Table1[[#This Row],[Profit]]/Table1[[#This Row],[Sales]]</f>
        <v>0.17647058823529413</v>
      </c>
    </row>
    <row r="182" spans="1:23" x14ac:dyDescent="0.25">
      <c r="A182" t="s">
        <v>561</v>
      </c>
      <c r="B182" s="1">
        <v>45741</v>
      </c>
      <c r="C182" t="s">
        <v>562</v>
      </c>
      <c r="D182" t="s">
        <v>144</v>
      </c>
      <c r="E182" t="s">
        <v>52</v>
      </c>
      <c r="F182" t="s">
        <v>53</v>
      </c>
      <c r="G182" t="s">
        <v>27</v>
      </c>
      <c r="H182" t="s">
        <v>54</v>
      </c>
      <c r="I182" t="s">
        <v>55</v>
      </c>
      <c r="J182">
        <v>3</v>
      </c>
      <c r="K182">
        <v>55000</v>
      </c>
      <c r="L182">
        <v>0</v>
      </c>
      <c r="M182">
        <v>165000</v>
      </c>
      <c r="N182">
        <v>115500</v>
      </c>
      <c r="O182">
        <v>49500.000000000007</v>
      </c>
      <c r="P182" t="s">
        <v>109</v>
      </c>
      <c r="Q182" t="s">
        <v>110</v>
      </c>
      <c r="R182" t="s">
        <v>111</v>
      </c>
      <c r="S182" t="s">
        <v>60</v>
      </c>
      <c r="T182" t="s">
        <v>56</v>
      </c>
      <c r="U182" t="s">
        <v>48</v>
      </c>
      <c r="V182">
        <v>5</v>
      </c>
      <c r="W182">
        <f>Table1[[#This Row],[Profit]]/Table1[[#This Row],[Sales]]</f>
        <v>0.30000000000000004</v>
      </c>
    </row>
    <row r="183" spans="1:23" x14ac:dyDescent="0.25">
      <c r="A183" t="s">
        <v>563</v>
      </c>
      <c r="B183" s="1">
        <v>45955</v>
      </c>
      <c r="C183" t="s">
        <v>564</v>
      </c>
      <c r="D183" t="s">
        <v>565</v>
      </c>
      <c r="E183" t="s">
        <v>52</v>
      </c>
      <c r="F183" t="s">
        <v>53</v>
      </c>
      <c r="G183" t="s">
        <v>27</v>
      </c>
      <c r="H183" t="s">
        <v>54</v>
      </c>
      <c r="I183" t="s">
        <v>55</v>
      </c>
      <c r="J183">
        <v>4</v>
      </c>
      <c r="K183">
        <v>55000</v>
      </c>
      <c r="L183">
        <v>0</v>
      </c>
      <c r="M183">
        <v>220000</v>
      </c>
      <c r="N183">
        <v>154000</v>
      </c>
      <c r="O183">
        <v>66000</v>
      </c>
      <c r="P183" t="s">
        <v>30</v>
      </c>
      <c r="Q183" t="s">
        <v>30</v>
      </c>
      <c r="R183" t="s">
        <v>31</v>
      </c>
      <c r="S183" t="s">
        <v>32</v>
      </c>
      <c r="T183" t="s">
        <v>56</v>
      </c>
      <c r="U183" t="s">
        <v>34</v>
      </c>
      <c r="V183">
        <v>3</v>
      </c>
      <c r="W183">
        <f>Table1[[#This Row],[Profit]]/Table1[[#This Row],[Sales]]</f>
        <v>0.3</v>
      </c>
    </row>
    <row r="184" spans="1:23" x14ac:dyDescent="0.25">
      <c r="A184" t="s">
        <v>566</v>
      </c>
      <c r="B184" s="1">
        <v>45682</v>
      </c>
      <c r="C184" t="s">
        <v>567</v>
      </c>
      <c r="D184" t="s">
        <v>165</v>
      </c>
      <c r="E184" t="s">
        <v>38</v>
      </c>
      <c r="F184" t="s">
        <v>39</v>
      </c>
      <c r="G184" t="s">
        <v>40</v>
      </c>
      <c r="H184" t="s">
        <v>41</v>
      </c>
      <c r="I184" t="s">
        <v>42</v>
      </c>
      <c r="J184">
        <v>2</v>
      </c>
      <c r="K184">
        <v>4500</v>
      </c>
      <c r="L184">
        <v>0</v>
      </c>
      <c r="M184">
        <v>9000</v>
      </c>
      <c r="N184">
        <v>6300</v>
      </c>
      <c r="O184">
        <v>2700</v>
      </c>
      <c r="P184" t="s">
        <v>43</v>
      </c>
      <c r="Q184" t="s">
        <v>44</v>
      </c>
      <c r="R184" t="s">
        <v>45</v>
      </c>
      <c r="S184" t="s">
        <v>46</v>
      </c>
      <c r="T184" t="s">
        <v>56</v>
      </c>
      <c r="U184" t="s">
        <v>34</v>
      </c>
      <c r="V184">
        <v>3</v>
      </c>
      <c r="W184">
        <f>Table1[[#This Row],[Profit]]/Table1[[#This Row],[Sales]]</f>
        <v>0.3</v>
      </c>
    </row>
    <row r="185" spans="1:23" x14ac:dyDescent="0.25">
      <c r="A185" t="s">
        <v>568</v>
      </c>
      <c r="B185" s="1">
        <v>45673</v>
      </c>
      <c r="C185" t="s">
        <v>569</v>
      </c>
      <c r="D185" t="s">
        <v>570</v>
      </c>
      <c r="E185" t="s">
        <v>38</v>
      </c>
      <c r="F185" t="s">
        <v>39</v>
      </c>
      <c r="G185" t="s">
        <v>40</v>
      </c>
      <c r="H185" t="s">
        <v>41</v>
      </c>
      <c r="I185" t="s">
        <v>42</v>
      </c>
      <c r="J185">
        <v>3</v>
      </c>
      <c r="K185">
        <v>4500</v>
      </c>
      <c r="L185">
        <v>10</v>
      </c>
      <c r="M185">
        <v>12150</v>
      </c>
      <c r="N185">
        <v>9450</v>
      </c>
      <c r="O185">
        <v>2700</v>
      </c>
      <c r="P185" t="s">
        <v>109</v>
      </c>
      <c r="Q185" t="s">
        <v>110</v>
      </c>
      <c r="R185" t="s">
        <v>111</v>
      </c>
      <c r="S185" t="s">
        <v>46</v>
      </c>
      <c r="T185" t="s">
        <v>47</v>
      </c>
      <c r="U185" t="s">
        <v>34</v>
      </c>
      <c r="V185">
        <v>3</v>
      </c>
      <c r="W185">
        <f>Table1[[#This Row],[Profit]]/Table1[[#This Row],[Sales]]</f>
        <v>0.22222222222222221</v>
      </c>
    </row>
    <row r="186" spans="1:23" x14ac:dyDescent="0.25">
      <c r="A186" t="s">
        <v>571</v>
      </c>
      <c r="B186" s="1">
        <v>45968</v>
      </c>
      <c r="C186" t="s">
        <v>202</v>
      </c>
      <c r="D186" t="s">
        <v>572</v>
      </c>
      <c r="E186" t="s">
        <v>52</v>
      </c>
      <c r="F186" t="s">
        <v>53</v>
      </c>
      <c r="G186" t="s">
        <v>27</v>
      </c>
      <c r="H186" t="s">
        <v>54</v>
      </c>
      <c r="I186" t="s">
        <v>55</v>
      </c>
      <c r="J186">
        <v>1</v>
      </c>
      <c r="K186">
        <v>55000</v>
      </c>
      <c r="L186">
        <v>15</v>
      </c>
      <c r="M186">
        <v>46750</v>
      </c>
      <c r="N186">
        <v>38500</v>
      </c>
      <c r="O186">
        <v>8250</v>
      </c>
      <c r="P186" t="s">
        <v>95</v>
      </c>
      <c r="Q186" t="s">
        <v>96</v>
      </c>
      <c r="R186" t="s">
        <v>45</v>
      </c>
      <c r="S186" t="s">
        <v>46</v>
      </c>
      <c r="T186" t="s">
        <v>56</v>
      </c>
      <c r="U186" t="s">
        <v>48</v>
      </c>
      <c r="V186">
        <v>5</v>
      </c>
      <c r="W186">
        <f>Table1[[#This Row],[Profit]]/Table1[[#This Row],[Sales]]</f>
        <v>0.17647058823529413</v>
      </c>
    </row>
    <row r="187" spans="1:23" x14ac:dyDescent="0.25">
      <c r="A187" t="s">
        <v>573</v>
      </c>
      <c r="B187" s="1">
        <v>45839</v>
      </c>
      <c r="C187" t="s">
        <v>574</v>
      </c>
      <c r="D187" t="s">
        <v>575</v>
      </c>
      <c r="E187" t="s">
        <v>73</v>
      </c>
      <c r="F187" t="s">
        <v>74</v>
      </c>
      <c r="G187" t="s">
        <v>27</v>
      </c>
      <c r="H187" t="s">
        <v>75</v>
      </c>
      <c r="I187" t="s">
        <v>76</v>
      </c>
      <c r="J187">
        <v>5</v>
      </c>
      <c r="K187">
        <v>3500</v>
      </c>
      <c r="L187">
        <v>10</v>
      </c>
      <c r="M187">
        <v>15750</v>
      </c>
      <c r="N187">
        <v>12250</v>
      </c>
      <c r="O187">
        <v>3500</v>
      </c>
      <c r="P187" t="s">
        <v>95</v>
      </c>
      <c r="Q187" t="s">
        <v>96</v>
      </c>
      <c r="R187" t="s">
        <v>45</v>
      </c>
      <c r="S187" t="s">
        <v>60</v>
      </c>
      <c r="T187" t="s">
        <v>56</v>
      </c>
      <c r="U187" t="s">
        <v>34</v>
      </c>
      <c r="V187">
        <v>3</v>
      </c>
      <c r="W187">
        <f>Table1[[#This Row],[Profit]]/Table1[[#This Row],[Sales]]</f>
        <v>0.22222222222222221</v>
      </c>
    </row>
    <row r="188" spans="1:23" x14ac:dyDescent="0.25">
      <c r="A188" t="s">
        <v>576</v>
      </c>
      <c r="B188" s="1">
        <v>45950</v>
      </c>
      <c r="C188" t="s">
        <v>50</v>
      </c>
      <c r="D188" t="s">
        <v>577</v>
      </c>
      <c r="E188" t="s">
        <v>52</v>
      </c>
      <c r="F188" t="s">
        <v>53</v>
      </c>
      <c r="G188" t="s">
        <v>27</v>
      </c>
      <c r="H188" t="s">
        <v>54</v>
      </c>
      <c r="I188" t="s">
        <v>55</v>
      </c>
      <c r="J188">
        <v>3</v>
      </c>
      <c r="K188">
        <v>55000</v>
      </c>
      <c r="L188">
        <v>0</v>
      </c>
      <c r="M188">
        <v>165000</v>
      </c>
      <c r="N188">
        <v>115500</v>
      </c>
      <c r="O188">
        <v>49500.000000000007</v>
      </c>
      <c r="P188" t="s">
        <v>109</v>
      </c>
      <c r="Q188" t="s">
        <v>110</v>
      </c>
      <c r="R188" t="s">
        <v>111</v>
      </c>
      <c r="S188" t="s">
        <v>60</v>
      </c>
      <c r="T188" t="s">
        <v>33</v>
      </c>
      <c r="U188" t="s">
        <v>48</v>
      </c>
      <c r="V188">
        <v>3</v>
      </c>
      <c r="W188">
        <f>Table1[[#This Row],[Profit]]/Table1[[#This Row],[Sales]]</f>
        <v>0.30000000000000004</v>
      </c>
    </row>
    <row r="189" spans="1:23" x14ac:dyDescent="0.25">
      <c r="A189" t="s">
        <v>578</v>
      </c>
      <c r="B189" s="1">
        <v>45887</v>
      </c>
      <c r="C189" t="s">
        <v>579</v>
      </c>
      <c r="D189" t="s">
        <v>580</v>
      </c>
      <c r="E189" t="s">
        <v>73</v>
      </c>
      <c r="F189" t="s">
        <v>74</v>
      </c>
      <c r="G189" t="s">
        <v>27</v>
      </c>
      <c r="H189" t="s">
        <v>75</v>
      </c>
      <c r="I189" t="s">
        <v>76</v>
      </c>
      <c r="J189">
        <v>3</v>
      </c>
      <c r="K189">
        <v>3500</v>
      </c>
      <c r="L189">
        <v>15</v>
      </c>
      <c r="M189">
        <v>8925</v>
      </c>
      <c r="N189">
        <v>7349.9999999999991</v>
      </c>
      <c r="O189">
        <v>1575.0000000000009</v>
      </c>
      <c r="P189" t="s">
        <v>30</v>
      </c>
      <c r="Q189" t="s">
        <v>30</v>
      </c>
      <c r="R189" t="s">
        <v>31</v>
      </c>
      <c r="S189" t="s">
        <v>46</v>
      </c>
      <c r="T189" t="s">
        <v>47</v>
      </c>
      <c r="U189" t="s">
        <v>48</v>
      </c>
      <c r="V189">
        <v>1</v>
      </c>
      <c r="W189">
        <f>Table1[[#This Row],[Profit]]/Table1[[#This Row],[Sales]]</f>
        <v>0.17647058823529421</v>
      </c>
    </row>
    <row r="190" spans="1:23" x14ac:dyDescent="0.25">
      <c r="A190" t="s">
        <v>581</v>
      </c>
      <c r="B190" s="1">
        <v>45884</v>
      </c>
      <c r="C190" t="s">
        <v>582</v>
      </c>
      <c r="D190" t="s">
        <v>583</v>
      </c>
      <c r="E190" t="s">
        <v>73</v>
      </c>
      <c r="F190" t="s">
        <v>74</v>
      </c>
      <c r="G190" t="s">
        <v>27</v>
      </c>
      <c r="H190" t="s">
        <v>75</v>
      </c>
      <c r="I190" t="s">
        <v>76</v>
      </c>
      <c r="J190">
        <v>5</v>
      </c>
      <c r="K190">
        <v>3500</v>
      </c>
      <c r="L190">
        <v>15</v>
      </c>
      <c r="M190">
        <v>14875</v>
      </c>
      <c r="N190">
        <v>12250</v>
      </c>
      <c r="O190">
        <v>2625</v>
      </c>
      <c r="P190" t="s">
        <v>43</v>
      </c>
      <c r="Q190" t="s">
        <v>44</v>
      </c>
      <c r="R190" t="s">
        <v>45</v>
      </c>
      <c r="S190" t="s">
        <v>46</v>
      </c>
      <c r="T190" t="s">
        <v>47</v>
      </c>
      <c r="U190" t="s">
        <v>34</v>
      </c>
      <c r="V190">
        <v>3</v>
      </c>
      <c r="W190">
        <f>Table1[[#This Row],[Profit]]/Table1[[#This Row],[Sales]]</f>
        <v>0.17647058823529413</v>
      </c>
    </row>
    <row r="191" spans="1:23" x14ac:dyDescent="0.25">
      <c r="A191" t="s">
        <v>584</v>
      </c>
      <c r="B191" s="1">
        <v>45793</v>
      </c>
      <c r="C191" t="s">
        <v>585</v>
      </c>
      <c r="D191" t="s">
        <v>586</v>
      </c>
      <c r="E191" t="s">
        <v>25</v>
      </c>
      <c r="F191" t="s">
        <v>26</v>
      </c>
      <c r="G191" t="s">
        <v>27</v>
      </c>
      <c r="H191" t="s">
        <v>28</v>
      </c>
      <c r="I191" t="s">
        <v>29</v>
      </c>
      <c r="J191">
        <v>1</v>
      </c>
      <c r="K191">
        <v>800</v>
      </c>
      <c r="L191">
        <v>5</v>
      </c>
      <c r="M191">
        <v>760</v>
      </c>
      <c r="N191">
        <v>560</v>
      </c>
      <c r="O191">
        <v>200</v>
      </c>
      <c r="P191" t="s">
        <v>109</v>
      </c>
      <c r="Q191" t="s">
        <v>110</v>
      </c>
      <c r="R191" t="s">
        <v>111</v>
      </c>
      <c r="S191" t="s">
        <v>32</v>
      </c>
      <c r="T191" t="s">
        <v>47</v>
      </c>
      <c r="U191" t="s">
        <v>34</v>
      </c>
      <c r="V191">
        <v>1</v>
      </c>
      <c r="W191">
        <f>Table1[[#This Row],[Profit]]/Table1[[#This Row],[Sales]]</f>
        <v>0.26315789473684209</v>
      </c>
    </row>
    <row r="192" spans="1:23" x14ac:dyDescent="0.25">
      <c r="A192" t="s">
        <v>587</v>
      </c>
      <c r="B192" s="1">
        <v>45820</v>
      </c>
      <c r="C192" t="s">
        <v>588</v>
      </c>
      <c r="D192" t="s">
        <v>589</v>
      </c>
      <c r="E192" t="s">
        <v>25</v>
      </c>
      <c r="F192" t="s">
        <v>26</v>
      </c>
      <c r="G192" t="s">
        <v>27</v>
      </c>
      <c r="H192" t="s">
        <v>28</v>
      </c>
      <c r="I192" t="s">
        <v>29</v>
      </c>
      <c r="J192">
        <v>4</v>
      </c>
      <c r="K192">
        <v>800</v>
      </c>
      <c r="L192">
        <v>10</v>
      </c>
      <c r="M192">
        <v>2880</v>
      </c>
      <c r="N192">
        <v>2240</v>
      </c>
      <c r="O192">
        <v>640</v>
      </c>
      <c r="P192" t="s">
        <v>43</v>
      </c>
      <c r="Q192" t="s">
        <v>44</v>
      </c>
      <c r="R192" t="s">
        <v>45</v>
      </c>
      <c r="S192" t="s">
        <v>60</v>
      </c>
      <c r="T192" t="s">
        <v>47</v>
      </c>
      <c r="U192" t="s">
        <v>48</v>
      </c>
      <c r="V192">
        <v>2</v>
      </c>
      <c r="W192">
        <f>Table1[[#This Row],[Profit]]/Table1[[#This Row],[Sales]]</f>
        <v>0.22222222222222221</v>
      </c>
    </row>
    <row r="193" spans="1:23" x14ac:dyDescent="0.25">
      <c r="A193" t="s">
        <v>590</v>
      </c>
      <c r="B193" s="1">
        <v>45881</v>
      </c>
      <c r="C193" t="s">
        <v>591</v>
      </c>
      <c r="D193" t="s">
        <v>592</v>
      </c>
      <c r="E193" t="s">
        <v>73</v>
      </c>
      <c r="F193" t="s">
        <v>74</v>
      </c>
      <c r="G193" t="s">
        <v>27</v>
      </c>
      <c r="H193" t="s">
        <v>75</v>
      </c>
      <c r="I193" t="s">
        <v>76</v>
      </c>
      <c r="J193">
        <v>5</v>
      </c>
      <c r="K193">
        <v>3500</v>
      </c>
      <c r="L193">
        <v>10</v>
      </c>
      <c r="M193">
        <v>15750</v>
      </c>
      <c r="N193">
        <v>12250</v>
      </c>
      <c r="O193">
        <v>3500</v>
      </c>
      <c r="P193" t="s">
        <v>43</v>
      </c>
      <c r="Q193" t="s">
        <v>44</v>
      </c>
      <c r="R193" t="s">
        <v>45</v>
      </c>
      <c r="S193" t="s">
        <v>60</v>
      </c>
      <c r="T193" t="s">
        <v>56</v>
      </c>
      <c r="U193" t="s">
        <v>48</v>
      </c>
      <c r="V193">
        <v>4</v>
      </c>
      <c r="W193">
        <f>Table1[[#This Row],[Profit]]/Table1[[#This Row],[Sales]]</f>
        <v>0.22222222222222221</v>
      </c>
    </row>
    <row r="194" spans="1:23" x14ac:dyDescent="0.25">
      <c r="A194" t="s">
        <v>593</v>
      </c>
      <c r="B194" s="1">
        <v>45975</v>
      </c>
      <c r="C194" t="s">
        <v>594</v>
      </c>
      <c r="D194" t="s">
        <v>595</v>
      </c>
      <c r="E194" t="s">
        <v>52</v>
      </c>
      <c r="F194" t="s">
        <v>53</v>
      </c>
      <c r="G194" t="s">
        <v>27</v>
      </c>
      <c r="H194" t="s">
        <v>54</v>
      </c>
      <c r="I194" t="s">
        <v>55</v>
      </c>
      <c r="J194">
        <v>3</v>
      </c>
      <c r="K194">
        <v>55000</v>
      </c>
      <c r="L194">
        <v>0</v>
      </c>
      <c r="M194">
        <v>165000</v>
      </c>
      <c r="N194">
        <v>115500</v>
      </c>
      <c r="O194">
        <v>49500.000000000007</v>
      </c>
      <c r="P194" t="s">
        <v>109</v>
      </c>
      <c r="Q194" t="s">
        <v>110</v>
      </c>
      <c r="R194" t="s">
        <v>111</v>
      </c>
      <c r="S194" t="s">
        <v>46</v>
      </c>
      <c r="T194" t="s">
        <v>33</v>
      </c>
      <c r="U194" t="s">
        <v>34</v>
      </c>
      <c r="V194">
        <v>4</v>
      </c>
      <c r="W194">
        <f>Table1[[#This Row],[Profit]]/Table1[[#This Row],[Sales]]</f>
        <v>0.30000000000000004</v>
      </c>
    </row>
    <row r="195" spans="1:23" x14ac:dyDescent="0.25">
      <c r="A195" t="s">
        <v>596</v>
      </c>
      <c r="B195" s="1">
        <v>45858</v>
      </c>
      <c r="C195" t="s">
        <v>597</v>
      </c>
      <c r="D195" t="s">
        <v>598</v>
      </c>
      <c r="E195" t="s">
        <v>67</v>
      </c>
      <c r="F195" t="s">
        <v>68</v>
      </c>
      <c r="G195" t="s">
        <v>27</v>
      </c>
      <c r="H195" t="s">
        <v>28</v>
      </c>
      <c r="I195" t="s">
        <v>69</v>
      </c>
      <c r="J195">
        <v>1</v>
      </c>
      <c r="K195">
        <v>1500</v>
      </c>
      <c r="L195">
        <v>0</v>
      </c>
      <c r="M195">
        <v>1500</v>
      </c>
      <c r="N195">
        <v>1050</v>
      </c>
      <c r="O195">
        <v>450</v>
      </c>
      <c r="P195" t="s">
        <v>30</v>
      </c>
      <c r="Q195" t="s">
        <v>30</v>
      </c>
      <c r="R195" t="s">
        <v>31</v>
      </c>
      <c r="S195" t="s">
        <v>32</v>
      </c>
      <c r="T195" t="s">
        <v>47</v>
      </c>
      <c r="U195" t="s">
        <v>48</v>
      </c>
      <c r="V195">
        <v>1</v>
      </c>
      <c r="W195">
        <f>Table1[[#This Row],[Profit]]/Table1[[#This Row],[Sales]]</f>
        <v>0.3</v>
      </c>
    </row>
    <row r="196" spans="1:23" x14ac:dyDescent="0.25">
      <c r="A196" t="s">
        <v>599</v>
      </c>
      <c r="B196" s="1">
        <v>45889</v>
      </c>
      <c r="C196" t="s">
        <v>600</v>
      </c>
      <c r="D196" t="s">
        <v>601</v>
      </c>
      <c r="E196" t="s">
        <v>73</v>
      </c>
      <c r="F196" t="s">
        <v>74</v>
      </c>
      <c r="G196" t="s">
        <v>27</v>
      </c>
      <c r="H196" t="s">
        <v>75</v>
      </c>
      <c r="I196" t="s">
        <v>76</v>
      </c>
      <c r="J196">
        <v>4</v>
      </c>
      <c r="K196">
        <v>3500</v>
      </c>
      <c r="L196">
        <v>10</v>
      </c>
      <c r="M196">
        <v>12600</v>
      </c>
      <c r="N196">
        <v>9800</v>
      </c>
      <c r="O196">
        <v>2800</v>
      </c>
      <c r="P196" t="s">
        <v>43</v>
      </c>
      <c r="Q196" t="s">
        <v>44</v>
      </c>
      <c r="R196" t="s">
        <v>45</v>
      </c>
      <c r="S196" t="s">
        <v>32</v>
      </c>
      <c r="T196" t="s">
        <v>56</v>
      </c>
      <c r="U196" t="s">
        <v>34</v>
      </c>
      <c r="V196">
        <v>3</v>
      </c>
      <c r="W196">
        <f>Table1[[#This Row],[Profit]]/Table1[[#This Row],[Sales]]</f>
        <v>0.22222222222222221</v>
      </c>
    </row>
    <row r="197" spans="1:23" x14ac:dyDescent="0.25">
      <c r="A197" t="s">
        <v>602</v>
      </c>
      <c r="B197" s="1">
        <v>45686</v>
      </c>
      <c r="C197" t="s">
        <v>603</v>
      </c>
      <c r="D197" t="s">
        <v>357</v>
      </c>
      <c r="E197" t="s">
        <v>67</v>
      </c>
      <c r="F197" t="s">
        <v>68</v>
      </c>
      <c r="G197" t="s">
        <v>27</v>
      </c>
      <c r="H197" t="s">
        <v>28</v>
      </c>
      <c r="I197" t="s">
        <v>69</v>
      </c>
      <c r="J197">
        <v>3</v>
      </c>
      <c r="K197">
        <v>1500</v>
      </c>
      <c r="L197">
        <v>10</v>
      </c>
      <c r="M197">
        <v>4050</v>
      </c>
      <c r="N197">
        <v>3150</v>
      </c>
      <c r="O197">
        <v>900</v>
      </c>
      <c r="P197" t="s">
        <v>109</v>
      </c>
      <c r="Q197" t="s">
        <v>110</v>
      </c>
      <c r="R197" t="s">
        <v>111</v>
      </c>
      <c r="S197" t="s">
        <v>46</v>
      </c>
      <c r="T197" t="s">
        <v>56</v>
      </c>
      <c r="U197" t="s">
        <v>48</v>
      </c>
      <c r="V197">
        <v>4</v>
      </c>
      <c r="W197">
        <f>Table1[[#This Row],[Profit]]/Table1[[#This Row],[Sales]]</f>
        <v>0.22222222222222221</v>
      </c>
    </row>
    <row r="198" spans="1:23" x14ac:dyDescent="0.25">
      <c r="A198" t="s">
        <v>604</v>
      </c>
      <c r="B198" s="1">
        <v>45927</v>
      </c>
      <c r="C198" t="s">
        <v>454</v>
      </c>
      <c r="D198" t="s">
        <v>605</v>
      </c>
      <c r="E198" t="s">
        <v>52</v>
      </c>
      <c r="F198" t="s">
        <v>53</v>
      </c>
      <c r="G198" t="s">
        <v>27</v>
      </c>
      <c r="H198" t="s">
        <v>54</v>
      </c>
      <c r="I198" t="s">
        <v>55</v>
      </c>
      <c r="J198">
        <v>2</v>
      </c>
      <c r="K198">
        <v>55000</v>
      </c>
      <c r="L198">
        <v>0</v>
      </c>
      <c r="M198">
        <v>110000</v>
      </c>
      <c r="N198">
        <v>77000</v>
      </c>
      <c r="O198">
        <v>33000</v>
      </c>
      <c r="P198" t="s">
        <v>109</v>
      </c>
      <c r="Q198" t="s">
        <v>110</v>
      </c>
      <c r="R198" t="s">
        <v>111</v>
      </c>
      <c r="S198" t="s">
        <v>32</v>
      </c>
      <c r="T198" t="s">
        <v>56</v>
      </c>
      <c r="U198" t="s">
        <v>48</v>
      </c>
      <c r="V198">
        <v>5</v>
      </c>
      <c r="W198">
        <f>Table1[[#This Row],[Profit]]/Table1[[#This Row],[Sales]]</f>
        <v>0.3</v>
      </c>
    </row>
    <row r="199" spans="1:23" x14ac:dyDescent="0.25">
      <c r="A199" t="s">
        <v>606</v>
      </c>
      <c r="B199" s="1">
        <v>46002</v>
      </c>
      <c r="C199" t="s">
        <v>607</v>
      </c>
      <c r="D199" t="s">
        <v>197</v>
      </c>
      <c r="E199" t="s">
        <v>73</v>
      </c>
      <c r="F199" t="s">
        <v>74</v>
      </c>
      <c r="G199" t="s">
        <v>27</v>
      </c>
      <c r="H199" t="s">
        <v>75</v>
      </c>
      <c r="I199" t="s">
        <v>76</v>
      </c>
      <c r="J199">
        <v>3</v>
      </c>
      <c r="K199">
        <v>3500</v>
      </c>
      <c r="L199">
        <v>10</v>
      </c>
      <c r="M199">
        <v>9450</v>
      </c>
      <c r="N199">
        <v>7349.9999999999991</v>
      </c>
      <c r="O199">
        <v>2100.0000000000009</v>
      </c>
      <c r="P199" t="s">
        <v>43</v>
      </c>
      <c r="Q199" t="s">
        <v>44</v>
      </c>
      <c r="R199" t="s">
        <v>45</v>
      </c>
      <c r="S199" t="s">
        <v>60</v>
      </c>
      <c r="T199" t="s">
        <v>56</v>
      </c>
      <c r="U199" t="s">
        <v>34</v>
      </c>
      <c r="V199">
        <v>5</v>
      </c>
      <c r="W199">
        <f>Table1[[#This Row],[Profit]]/Table1[[#This Row],[Sales]]</f>
        <v>0.22222222222222232</v>
      </c>
    </row>
    <row r="200" spans="1:23" x14ac:dyDescent="0.25">
      <c r="A200" t="s">
        <v>608</v>
      </c>
      <c r="B200" s="1">
        <v>45686</v>
      </c>
      <c r="C200" t="s">
        <v>609</v>
      </c>
      <c r="D200" t="s">
        <v>105</v>
      </c>
      <c r="E200" t="s">
        <v>25</v>
      </c>
      <c r="F200" t="s">
        <v>26</v>
      </c>
      <c r="G200" t="s">
        <v>27</v>
      </c>
      <c r="H200" t="s">
        <v>28</v>
      </c>
      <c r="I200" t="s">
        <v>29</v>
      </c>
      <c r="J200">
        <v>5</v>
      </c>
      <c r="K200">
        <v>800</v>
      </c>
      <c r="L200">
        <v>5</v>
      </c>
      <c r="M200">
        <v>3800</v>
      </c>
      <c r="N200">
        <v>2800</v>
      </c>
      <c r="O200">
        <v>1000</v>
      </c>
      <c r="P200" t="s">
        <v>109</v>
      </c>
      <c r="Q200" t="s">
        <v>110</v>
      </c>
      <c r="R200" t="s">
        <v>111</v>
      </c>
      <c r="S200" t="s">
        <v>60</v>
      </c>
      <c r="T200" t="s">
        <v>33</v>
      </c>
      <c r="U200" t="s">
        <v>34</v>
      </c>
      <c r="V200">
        <v>4</v>
      </c>
      <c r="W200">
        <f>Table1[[#This Row],[Profit]]/Table1[[#This Row],[Sales]]</f>
        <v>0.26315789473684209</v>
      </c>
    </row>
    <row r="201" spans="1:23" x14ac:dyDescent="0.25">
      <c r="A201" t="s">
        <v>610</v>
      </c>
      <c r="B201" s="1">
        <v>45712</v>
      </c>
      <c r="C201" t="s">
        <v>611</v>
      </c>
      <c r="D201" t="s">
        <v>612</v>
      </c>
      <c r="E201" t="s">
        <v>67</v>
      </c>
      <c r="F201" t="s">
        <v>68</v>
      </c>
      <c r="G201" t="s">
        <v>27</v>
      </c>
      <c r="H201" t="s">
        <v>28</v>
      </c>
      <c r="I201" t="s">
        <v>69</v>
      </c>
      <c r="J201">
        <v>1</v>
      </c>
      <c r="K201">
        <v>1500</v>
      </c>
      <c r="L201">
        <v>5</v>
      </c>
      <c r="M201">
        <v>1425</v>
      </c>
      <c r="N201">
        <v>1050</v>
      </c>
      <c r="O201">
        <v>375</v>
      </c>
      <c r="P201" t="s">
        <v>95</v>
      </c>
      <c r="Q201" t="s">
        <v>96</v>
      </c>
      <c r="R201" t="s">
        <v>45</v>
      </c>
      <c r="S201" t="s">
        <v>60</v>
      </c>
      <c r="T201" t="s">
        <v>33</v>
      </c>
      <c r="U201" t="s">
        <v>48</v>
      </c>
      <c r="V201">
        <v>3</v>
      </c>
      <c r="W201">
        <f>Table1[[#This Row],[Profit]]/Table1[[#This Row],[Sales]]</f>
        <v>0.26315789473684209</v>
      </c>
    </row>
    <row r="202" spans="1:23" x14ac:dyDescent="0.25">
      <c r="A202" t="s">
        <v>613</v>
      </c>
      <c r="B202" s="1">
        <v>45777</v>
      </c>
      <c r="C202" t="s">
        <v>431</v>
      </c>
      <c r="D202" t="s">
        <v>273</v>
      </c>
      <c r="E202" t="s">
        <v>52</v>
      </c>
      <c r="F202" t="s">
        <v>53</v>
      </c>
      <c r="G202" t="s">
        <v>27</v>
      </c>
      <c r="H202" t="s">
        <v>54</v>
      </c>
      <c r="I202" t="s">
        <v>55</v>
      </c>
      <c r="J202">
        <v>1</v>
      </c>
      <c r="K202">
        <v>55000</v>
      </c>
      <c r="L202">
        <v>10</v>
      </c>
      <c r="M202">
        <v>49500</v>
      </c>
      <c r="N202">
        <v>38500</v>
      </c>
      <c r="O202">
        <v>11000</v>
      </c>
      <c r="P202" t="s">
        <v>30</v>
      </c>
      <c r="Q202" t="s">
        <v>30</v>
      </c>
      <c r="R202" t="s">
        <v>31</v>
      </c>
      <c r="S202" t="s">
        <v>32</v>
      </c>
      <c r="T202" t="s">
        <v>56</v>
      </c>
      <c r="U202" t="s">
        <v>34</v>
      </c>
      <c r="V202">
        <v>3</v>
      </c>
      <c r="W202">
        <f>Table1[[#This Row],[Profit]]/Table1[[#This Row],[Sales]]</f>
        <v>0.22222222222222221</v>
      </c>
    </row>
    <row r="203" spans="1:23" x14ac:dyDescent="0.25">
      <c r="A203" t="s">
        <v>614</v>
      </c>
      <c r="B203" s="1">
        <v>45673</v>
      </c>
      <c r="C203" t="s">
        <v>615</v>
      </c>
      <c r="D203" t="s">
        <v>616</v>
      </c>
      <c r="E203" t="s">
        <v>73</v>
      </c>
      <c r="F203" t="s">
        <v>74</v>
      </c>
      <c r="G203" t="s">
        <v>27</v>
      </c>
      <c r="H203" t="s">
        <v>75</v>
      </c>
      <c r="I203" t="s">
        <v>76</v>
      </c>
      <c r="J203">
        <v>4</v>
      </c>
      <c r="K203">
        <v>3500</v>
      </c>
      <c r="L203">
        <v>10</v>
      </c>
      <c r="M203">
        <v>12600</v>
      </c>
      <c r="N203">
        <v>9800</v>
      </c>
      <c r="O203">
        <v>2800</v>
      </c>
      <c r="P203" t="s">
        <v>30</v>
      </c>
      <c r="Q203" t="s">
        <v>30</v>
      </c>
      <c r="R203" t="s">
        <v>31</v>
      </c>
      <c r="S203" t="s">
        <v>46</v>
      </c>
      <c r="T203" t="s">
        <v>56</v>
      </c>
      <c r="U203" t="s">
        <v>48</v>
      </c>
      <c r="V203">
        <v>4</v>
      </c>
      <c r="W203">
        <f>Table1[[#This Row],[Profit]]/Table1[[#This Row],[Sales]]</f>
        <v>0.22222222222222221</v>
      </c>
    </row>
    <row r="204" spans="1:23" x14ac:dyDescent="0.25">
      <c r="A204" t="s">
        <v>617</v>
      </c>
      <c r="B204" s="1">
        <v>45872</v>
      </c>
      <c r="C204" t="s">
        <v>618</v>
      </c>
      <c r="D204" t="s">
        <v>619</v>
      </c>
      <c r="E204" t="s">
        <v>67</v>
      </c>
      <c r="F204" t="s">
        <v>68</v>
      </c>
      <c r="G204" t="s">
        <v>27</v>
      </c>
      <c r="H204" t="s">
        <v>28</v>
      </c>
      <c r="I204" t="s">
        <v>69</v>
      </c>
      <c r="J204">
        <v>2</v>
      </c>
      <c r="K204">
        <v>1500</v>
      </c>
      <c r="L204">
        <v>10</v>
      </c>
      <c r="M204">
        <v>2700</v>
      </c>
      <c r="N204">
        <v>2100</v>
      </c>
      <c r="O204">
        <v>600</v>
      </c>
      <c r="P204" t="s">
        <v>109</v>
      </c>
      <c r="Q204" t="s">
        <v>110</v>
      </c>
      <c r="R204" t="s">
        <v>111</v>
      </c>
      <c r="S204" t="s">
        <v>60</v>
      </c>
      <c r="T204" t="s">
        <v>47</v>
      </c>
      <c r="U204" t="s">
        <v>48</v>
      </c>
      <c r="V204">
        <v>4</v>
      </c>
      <c r="W204">
        <f>Table1[[#This Row],[Profit]]/Table1[[#This Row],[Sales]]</f>
        <v>0.22222222222222221</v>
      </c>
    </row>
    <row r="205" spans="1:23" x14ac:dyDescent="0.25">
      <c r="A205" t="s">
        <v>620</v>
      </c>
      <c r="B205" s="1">
        <v>45819</v>
      </c>
      <c r="C205" t="s">
        <v>621</v>
      </c>
      <c r="D205" t="s">
        <v>310</v>
      </c>
      <c r="E205" t="s">
        <v>67</v>
      </c>
      <c r="F205" t="s">
        <v>68</v>
      </c>
      <c r="G205" t="s">
        <v>27</v>
      </c>
      <c r="H205" t="s">
        <v>28</v>
      </c>
      <c r="I205" t="s">
        <v>69</v>
      </c>
      <c r="J205">
        <v>3</v>
      </c>
      <c r="K205">
        <v>1500</v>
      </c>
      <c r="L205">
        <v>5</v>
      </c>
      <c r="M205">
        <v>4275</v>
      </c>
      <c r="N205">
        <v>3150</v>
      </c>
      <c r="O205">
        <v>1125</v>
      </c>
      <c r="P205" t="s">
        <v>43</v>
      </c>
      <c r="Q205" t="s">
        <v>44</v>
      </c>
      <c r="R205" t="s">
        <v>45</v>
      </c>
      <c r="S205" t="s">
        <v>32</v>
      </c>
      <c r="T205" t="s">
        <v>56</v>
      </c>
      <c r="U205" t="s">
        <v>48</v>
      </c>
      <c r="V205">
        <v>3</v>
      </c>
      <c r="W205">
        <f>Table1[[#This Row],[Profit]]/Table1[[#This Row],[Sales]]</f>
        <v>0.26315789473684209</v>
      </c>
    </row>
    <row r="206" spans="1:23" x14ac:dyDescent="0.25">
      <c r="A206" t="s">
        <v>622</v>
      </c>
      <c r="B206" s="1">
        <v>45680</v>
      </c>
      <c r="C206" t="s">
        <v>623</v>
      </c>
      <c r="D206" t="s">
        <v>291</v>
      </c>
      <c r="E206" t="s">
        <v>67</v>
      </c>
      <c r="F206" t="s">
        <v>68</v>
      </c>
      <c r="G206" t="s">
        <v>27</v>
      </c>
      <c r="H206" t="s">
        <v>28</v>
      </c>
      <c r="I206" t="s">
        <v>69</v>
      </c>
      <c r="J206">
        <v>5</v>
      </c>
      <c r="K206">
        <v>1500</v>
      </c>
      <c r="L206">
        <v>0</v>
      </c>
      <c r="M206">
        <v>7500</v>
      </c>
      <c r="N206">
        <v>5250</v>
      </c>
      <c r="O206">
        <v>2250</v>
      </c>
      <c r="P206" t="s">
        <v>30</v>
      </c>
      <c r="Q206" t="s">
        <v>30</v>
      </c>
      <c r="R206" t="s">
        <v>31</v>
      </c>
      <c r="S206" t="s">
        <v>32</v>
      </c>
      <c r="T206" t="s">
        <v>33</v>
      </c>
      <c r="U206" t="s">
        <v>34</v>
      </c>
      <c r="V206">
        <v>1</v>
      </c>
      <c r="W206">
        <f>Table1[[#This Row],[Profit]]/Table1[[#This Row],[Sales]]</f>
        <v>0.3</v>
      </c>
    </row>
    <row r="207" spans="1:23" x14ac:dyDescent="0.25">
      <c r="A207" t="s">
        <v>624</v>
      </c>
      <c r="B207" s="1">
        <v>45818</v>
      </c>
      <c r="C207" t="s">
        <v>625</v>
      </c>
      <c r="D207" t="s">
        <v>626</v>
      </c>
      <c r="E207" t="s">
        <v>38</v>
      </c>
      <c r="F207" t="s">
        <v>39</v>
      </c>
      <c r="G207" t="s">
        <v>40</v>
      </c>
      <c r="H207" t="s">
        <v>41</v>
      </c>
      <c r="I207" t="s">
        <v>42</v>
      </c>
      <c r="J207">
        <v>2</v>
      </c>
      <c r="K207">
        <v>4500</v>
      </c>
      <c r="L207">
        <v>0</v>
      </c>
      <c r="M207">
        <v>9000</v>
      </c>
      <c r="N207">
        <v>6300</v>
      </c>
      <c r="O207">
        <v>2700</v>
      </c>
      <c r="P207" t="s">
        <v>109</v>
      </c>
      <c r="Q207" t="s">
        <v>110</v>
      </c>
      <c r="R207" t="s">
        <v>111</v>
      </c>
      <c r="S207" t="s">
        <v>60</v>
      </c>
      <c r="T207" t="s">
        <v>33</v>
      </c>
      <c r="U207" t="s">
        <v>48</v>
      </c>
      <c r="V207">
        <v>4</v>
      </c>
      <c r="W207">
        <f>Table1[[#This Row],[Profit]]/Table1[[#This Row],[Sales]]</f>
        <v>0.3</v>
      </c>
    </row>
    <row r="208" spans="1:23" x14ac:dyDescent="0.25">
      <c r="A208" t="s">
        <v>627</v>
      </c>
      <c r="B208" s="1">
        <v>46022</v>
      </c>
      <c r="C208" t="s">
        <v>628</v>
      </c>
      <c r="D208" t="s">
        <v>629</v>
      </c>
      <c r="E208" t="s">
        <v>73</v>
      </c>
      <c r="F208" t="s">
        <v>74</v>
      </c>
      <c r="G208" t="s">
        <v>27</v>
      </c>
      <c r="H208" t="s">
        <v>75</v>
      </c>
      <c r="I208" t="s">
        <v>76</v>
      </c>
      <c r="J208">
        <v>3</v>
      </c>
      <c r="K208">
        <v>3500</v>
      </c>
      <c r="L208">
        <v>0</v>
      </c>
      <c r="M208">
        <v>10500</v>
      </c>
      <c r="N208">
        <v>7349.9999999999991</v>
      </c>
      <c r="O208">
        <v>3150.0000000000009</v>
      </c>
      <c r="P208" t="s">
        <v>43</v>
      </c>
      <c r="Q208" t="s">
        <v>44</v>
      </c>
      <c r="R208" t="s">
        <v>45</v>
      </c>
      <c r="S208" t="s">
        <v>46</v>
      </c>
      <c r="T208" t="s">
        <v>33</v>
      </c>
      <c r="U208" t="s">
        <v>34</v>
      </c>
      <c r="V208">
        <v>4</v>
      </c>
      <c r="W208">
        <f>Table1[[#This Row],[Profit]]/Table1[[#This Row],[Sales]]</f>
        <v>0.3000000000000001</v>
      </c>
    </row>
    <row r="209" spans="1:23" x14ac:dyDescent="0.25">
      <c r="A209" t="s">
        <v>630</v>
      </c>
      <c r="B209" s="1">
        <v>45890</v>
      </c>
      <c r="C209" t="s">
        <v>631</v>
      </c>
      <c r="D209" t="s">
        <v>368</v>
      </c>
      <c r="E209" t="s">
        <v>52</v>
      </c>
      <c r="F209" t="s">
        <v>53</v>
      </c>
      <c r="G209" t="s">
        <v>27</v>
      </c>
      <c r="H209" t="s">
        <v>54</v>
      </c>
      <c r="I209" t="s">
        <v>55</v>
      </c>
      <c r="J209">
        <v>3</v>
      </c>
      <c r="K209">
        <v>55000</v>
      </c>
      <c r="L209">
        <v>15</v>
      </c>
      <c r="M209">
        <v>140250</v>
      </c>
      <c r="N209">
        <v>115500</v>
      </c>
      <c r="O209">
        <v>24750.000000000011</v>
      </c>
      <c r="P209" t="s">
        <v>95</v>
      </c>
      <c r="Q209" t="s">
        <v>96</v>
      </c>
      <c r="R209" t="s">
        <v>45</v>
      </c>
      <c r="S209" t="s">
        <v>46</v>
      </c>
      <c r="T209" t="s">
        <v>56</v>
      </c>
      <c r="U209" t="s">
        <v>48</v>
      </c>
      <c r="V209">
        <v>4</v>
      </c>
      <c r="W209">
        <f>Table1[[#This Row],[Profit]]/Table1[[#This Row],[Sales]]</f>
        <v>0.17647058823529418</v>
      </c>
    </row>
    <row r="210" spans="1:23" x14ac:dyDescent="0.25">
      <c r="A210" t="s">
        <v>632</v>
      </c>
      <c r="B210" s="1">
        <v>45840</v>
      </c>
      <c r="C210" t="s">
        <v>633</v>
      </c>
      <c r="D210" t="s">
        <v>234</v>
      </c>
      <c r="E210" t="s">
        <v>52</v>
      </c>
      <c r="F210" t="s">
        <v>53</v>
      </c>
      <c r="G210" t="s">
        <v>27</v>
      </c>
      <c r="H210" t="s">
        <v>54</v>
      </c>
      <c r="I210" t="s">
        <v>55</v>
      </c>
      <c r="J210">
        <v>5</v>
      </c>
      <c r="K210">
        <v>55000</v>
      </c>
      <c r="L210">
        <v>5</v>
      </c>
      <c r="M210">
        <v>261250</v>
      </c>
      <c r="N210">
        <v>192500</v>
      </c>
      <c r="O210">
        <v>68750</v>
      </c>
      <c r="P210" t="s">
        <v>95</v>
      </c>
      <c r="Q210" t="s">
        <v>96</v>
      </c>
      <c r="R210" t="s">
        <v>45</v>
      </c>
      <c r="S210" t="s">
        <v>46</v>
      </c>
      <c r="T210" t="s">
        <v>33</v>
      </c>
      <c r="U210" t="s">
        <v>48</v>
      </c>
      <c r="V210">
        <v>3</v>
      </c>
      <c r="W210">
        <f>Table1[[#This Row],[Profit]]/Table1[[#This Row],[Sales]]</f>
        <v>0.26315789473684209</v>
      </c>
    </row>
    <row r="211" spans="1:23" x14ac:dyDescent="0.25">
      <c r="A211" t="s">
        <v>634</v>
      </c>
      <c r="B211" s="1">
        <v>45891</v>
      </c>
      <c r="C211" t="s">
        <v>635</v>
      </c>
      <c r="D211" t="s">
        <v>171</v>
      </c>
      <c r="E211" t="s">
        <v>73</v>
      </c>
      <c r="F211" t="s">
        <v>74</v>
      </c>
      <c r="G211" t="s">
        <v>27</v>
      </c>
      <c r="H211" t="s">
        <v>75</v>
      </c>
      <c r="I211" t="s">
        <v>76</v>
      </c>
      <c r="J211">
        <v>4</v>
      </c>
      <c r="K211">
        <v>3500</v>
      </c>
      <c r="L211">
        <v>0</v>
      </c>
      <c r="M211">
        <v>14000</v>
      </c>
      <c r="N211">
        <v>9800</v>
      </c>
      <c r="O211">
        <v>4200</v>
      </c>
      <c r="P211" t="s">
        <v>30</v>
      </c>
      <c r="Q211" t="s">
        <v>30</v>
      </c>
      <c r="R211" t="s">
        <v>31</v>
      </c>
      <c r="S211" t="s">
        <v>32</v>
      </c>
      <c r="T211" t="s">
        <v>47</v>
      </c>
      <c r="U211" t="s">
        <v>34</v>
      </c>
      <c r="V211">
        <v>4</v>
      </c>
      <c r="W211">
        <f>Table1[[#This Row],[Profit]]/Table1[[#This Row],[Sales]]</f>
        <v>0.3</v>
      </c>
    </row>
    <row r="212" spans="1:23" x14ac:dyDescent="0.25">
      <c r="A212" t="s">
        <v>636</v>
      </c>
      <c r="B212" s="1">
        <v>45881</v>
      </c>
      <c r="C212" t="s">
        <v>517</v>
      </c>
      <c r="D212" t="s">
        <v>637</v>
      </c>
      <c r="E212" t="s">
        <v>25</v>
      </c>
      <c r="F212" t="s">
        <v>26</v>
      </c>
      <c r="G212" t="s">
        <v>27</v>
      </c>
      <c r="H212" t="s">
        <v>28</v>
      </c>
      <c r="I212" t="s">
        <v>29</v>
      </c>
      <c r="J212">
        <v>5</v>
      </c>
      <c r="K212">
        <v>800</v>
      </c>
      <c r="L212">
        <v>15</v>
      </c>
      <c r="M212">
        <v>3400</v>
      </c>
      <c r="N212">
        <v>2800</v>
      </c>
      <c r="O212">
        <v>600</v>
      </c>
      <c r="P212" t="s">
        <v>30</v>
      </c>
      <c r="Q212" t="s">
        <v>30</v>
      </c>
      <c r="R212" t="s">
        <v>31</v>
      </c>
      <c r="S212" t="s">
        <v>60</v>
      </c>
      <c r="T212" t="s">
        <v>56</v>
      </c>
      <c r="U212" t="s">
        <v>34</v>
      </c>
      <c r="V212">
        <v>3</v>
      </c>
      <c r="W212">
        <f>Table1[[#This Row],[Profit]]/Table1[[#This Row],[Sales]]</f>
        <v>0.17647058823529413</v>
      </c>
    </row>
    <row r="213" spans="1:23" x14ac:dyDescent="0.25">
      <c r="A213" t="s">
        <v>638</v>
      </c>
      <c r="B213" s="1">
        <v>45780</v>
      </c>
      <c r="C213" t="s">
        <v>639</v>
      </c>
      <c r="D213" t="s">
        <v>640</v>
      </c>
      <c r="E213" t="s">
        <v>38</v>
      </c>
      <c r="F213" t="s">
        <v>39</v>
      </c>
      <c r="G213" t="s">
        <v>40</v>
      </c>
      <c r="H213" t="s">
        <v>41</v>
      </c>
      <c r="I213" t="s">
        <v>42</v>
      </c>
      <c r="J213">
        <v>4</v>
      </c>
      <c r="K213">
        <v>4500</v>
      </c>
      <c r="L213">
        <v>0</v>
      </c>
      <c r="M213">
        <v>18000</v>
      </c>
      <c r="N213">
        <v>12600</v>
      </c>
      <c r="O213">
        <v>5400</v>
      </c>
      <c r="P213" t="s">
        <v>109</v>
      </c>
      <c r="Q213" t="s">
        <v>110</v>
      </c>
      <c r="R213" t="s">
        <v>111</v>
      </c>
      <c r="S213" t="s">
        <v>46</v>
      </c>
      <c r="T213" t="s">
        <v>47</v>
      </c>
      <c r="U213" t="s">
        <v>34</v>
      </c>
      <c r="V213">
        <v>2</v>
      </c>
      <c r="W213">
        <f>Table1[[#This Row],[Profit]]/Table1[[#This Row],[Sales]]</f>
        <v>0.3</v>
      </c>
    </row>
    <row r="214" spans="1:23" x14ac:dyDescent="0.25">
      <c r="A214" t="s">
        <v>641</v>
      </c>
      <c r="B214" s="1">
        <v>45820</v>
      </c>
      <c r="C214" t="s">
        <v>642</v>
      </c>
      <c r="D214" t="s">
        <v>643</v>
      </c>
      <c r="E214" t="s">
        <v>67</v>
      </c>
      <c r="F214" t="s">
        <v>68</v>
      </c>
      <c r="G214" t="s">
        <v>27</v>
      </c>
      <c r="H214" t="s">
        <v>28</v>
      </c>
      <c r="I214" t="s">
        <v>69</v>
      </c>
      <c r="J214">
        <v>3</v>
      </c>
      <c r="K214">
        <v>1500</v>
      </c>
      <c r="L214">
        <v>10</v>
      </c>
      <c r="M214">
        <v>4050</v>
      </c>
      <c r="N214">
        <v>3150</v>
      </c>
      <c r="O214">
        <v>900</v>
      </c>
      <c r="P214" t="s">
        <v>43</v>
      </c>
      <c r="Q214" t="s">
        <v>44</v>
      </c>
      <c r="R214" t="s">
        <v>45</v>
      </c>
      <c r="S214" t="s">
        <v>46</v>
      </c>
      <c r="T214" t="s">
        <v>56</v>
      </c>
      <c r="U214" t="s">
        <v>48</v>
      </c>
      <c r="V214">
        <v>3</v>
      </c>
      <c r="W214">
        <f>Table1[[#This Row],[Profit]]/Table1[[#This Row],[Sales]]</f>
        <v>0.22222222222222221</v>
      </c>
    </row>
    <row r="215" spans="1:23" x14ac:dyDescent="0.25">
      <c r="A215" t="s">
        <v>644</v>
      </c>
      <c r="B215" s="1">
        <v>45772</v>
      </c>
      <c r="C215" t="s">
        <v>645</v>
      </c>
      <c r="D215" t="s">
        <v>646</v>
      </c>
      <c r="E215" t="s">
        <v>25</v>
      </c>
      <c r="F215" t="s">
        <v>26</v>
      </c>
      <c r="G215" t="s">
        <v>27</v>
      </c>
      <c r="H215" t="s">
        <v>28</v>
      </c>
      <c r="I215" t="s">
        <v>29</v>
      </c>
      <c r="J215">
        <v>5</v>
      </c>
      <c r="K215">
        <v>800</v>
      </c>
      <c r="L215">
        <v>15</v>
      </c>
      <c r="M215">
        <v>3400</v>
      </c>
      <c r="N215">
        <v>2800</v>
      </c>
      <c r="O215">
        <v>600</v>
      </c>
      <c r="P215" t="s">
        <v>43</v>
      </c>
      <c r="Q215" t="s">
        <v>44</v>
      </c>
      <c r="R215" t="s">
        <v>45</v>
      </c>
      <c r="S215" t="s">
        <v>46</v>
      </c>
      <c r="T215" t="s">
        <v>33</v>
      </c>
      <c r="U215" t="s">
        <v>34</v>
      </c>
      <c r="V215">
        <v>3</v>
      </c>
      <c r="W215">
        <f>Table1[[#This Row],[Profit]]/Table1[[#This Row],[Sales]]</f>
        <v>0.17647058823529413</v>
      </c>
    </row>
    <row r="216" spans="1:23" x14ac:dyDescent="0.25">
      <c r="A216" t="s">
        <v>647</v>
      </c>
      <c r="B216" s="1">
        <v>45897</v>
      </c>
      <c r="C216" t="s">
        <v>648</v>
      </c>
      <c r="D216" t="s">
        <v>357</v>
      </c>
      <c r="E216" t="s">
        <v>38</v>
      </c>
      <c r="F216" t="s">
        <v>39</v>
      </c>
      <c r="G216" t="s">
        <v>40</v>
      </c>
      <c r="H216" t="s">
        <v>41</v>
      </c>
      <c r="I216" t="s">
        <v>42</v>
      </c>
      <c r="J216">
        <v>2</v>
      </c>
      <c r="K216">
        <v>4500</v>
      </c>
      <c r="L216">
        <v>0</v>
      </c>
      <c r="M216">
        <v>9000</v>
      </c>
      <c r="N216">
        <v>6300</v>
      </c>
      <c r="O216">
        <v>2700</v>
      </c>
      <c r="P216" t="s">
        <v>43</v>
      </c>
      <c r="Q216" t="s">
        <v>44</v>
      </c>
      <c r="R216" t="s">
        <v>45</v>
      </c>
      <c r="S216" t="s">
        <v>60</v>
      </c>
      <c r="T216" t="s">
        <v>33</v>
      </c>
      <c r="U216" t="s">
        <v>34</v>
      </c>
      <c r="V216">
        <v>2</v>
      </c>
      <c r="W216">
        <f>Table1[[#This Row],[Profit]]/Table1[[#This Row],[Sales]]</f>
        <v>0.3</v>
      </c>
    </row>
    <row r="217" spans="1:23" x14ac:dyDescent="0.25">
      <c r="A217" t="s">
        <v>649</v>
      </c>
      <c r="B217" s="1">
        <v>45746</v>
      </c>
      <c r="C217" t="s">
        <v>650</v>
      </c>
      <c r="D217" t="s">
        <v>474</v>
      </c>
      <c r="E217" t="s">
        <v>73</v>
      </c>
      <c r="F217" t="s">
        <v>74</v>
      </c>
      <c r="G217" t="s">
        <v>27</v>
      </c>
      <c r="H217" t="s">
        <v>75</v>
      </c>
      <c r="I217" t="s">
        <v>76</v>
      </c>
      <c r="J217">
        <v>2</v>
      </c>
      <c r="K217">
        <v>3500</v>
      </c>
      <c r="L217">
        <v>10</v>
      </c>
      <c r="M217">
        <v>6300</v>
      </c>
      <c r="N217">
        <v>4900</v>
      </c>
      <c r="O217">
        <v>1400</v>
      </c>
      <c r="P217" t="s">
        <v>95</v>
      </c>
      <c r="Q217" t="s">
        <v>96</v>
      </c>
      <c r="R217" t="s">
        <v>45</v>
      </c>
      <c r="S217" t="s">
        <v>32</v>
      </c>
      <c r="T217" t="s">
        <v>47</v>
      </c>
      <c r="U217" t="s">
        <v>34</v>
      </c>
      <c r="V217">
        <v>4</v>
      </c>
      <c r="W217">
        <f>Table1[[#This Row],[Profit]]/Table1[[#This Row],[Sales]]</f>
        <v>0.22222222222222221</v>
      </c>
    </row>
    <row r="218" spans="1:23" x14ac:dyDescent="0.25">
      <c r="A218" t="s">
        <v>651</v>
      </c>
      <c r="B218" s="1">
        <v>45797</v>
      </c>
      <c r="C218" t="s">
        <v>652</v>
      </c>
      <c r="D218" t="s">
        <v>653</v>
      </c>
      <c r="E218" t="s">
        <v>52</v>
      </c>
      <c r="F218" t="s">
        <v>53</v>
      </c>
      <c r="G218" t="s">
        <v>27</v>
      </c>
      <c r="H218" t="s">
        <v>54</v>
      </c>
      <c r="I218" t="s">
        <v>55</v>
      </c>
      <c r="J218">
        <v>2</v>
      </c>
      <c r="K218">
        <v>55000</v>
      </c>
      <c r="L218">
        <v>10</v>
      </c>
      <c r="M218">
        <v>99000</v>
      </c>
      <c r="N218">
        <v>77000</v>
      </c>
      <c r="O218">
        <v>22000</v>
      </c>
      <c r="P218" t="s">
        <v>109</v>
      </c>
      <c r="Q218" t="s">
        <v>110</v>
      </c>
      <c r="R218" t="s">
        <v>111</v>
      </c>
      <c r="S218" t="s">
        <v>46</v>
      </c>
      <c r="T218" t="s">
        <v>56</v>
      </c>
      <c r="U218" t="s">
        <v>48</v>
      </c>
      <c r="V218">
        <v>1</v>
      </c>
      <c r="W218">
        <f>Table1[[#This Row],[Profit]]/Table1[[#This Row],[Sales]]</f>
        <v>0.22222222222222221</v>
      </c>
    </row>
    <row r="219" spans="1:23" x14ac:dyDescent="0.25">
      <c r="A219" t="s">
        <v>654</v>
      </c>
      <c r="B219" s="1">
        <v>46003</v>
      </c>
      <c r="C219" t="s">
        <v>607</v>
      </c>
      <c r="D219" t="s">
        <v>655</v>
      </c>
      <c r="E219" t="s">
        <v>52</v>
      </c>
      <c r="F219" t="s">
        <v>53</v>
      </c>
      <c r="G219" t="s">
        <v>27</v>
      </c>
      <c r="H219" t="s">
        <v>54</v>
      </c>
      <c r="I219" t="s">
        <v>55</v>
      </c>
      <c r="J219">
        <v>4</v>
      </c>
      <c r="K219">
        <v>55000</v>
      </c>
      <c r="L219">
        <v>15</v>
      </c>
      <c r="M219">
        <v>187000</v>
      </c>
      <c r="N219">
        <v>154000</v>
      </c>
      <c r="O219">
        <v>33000</v>
      </c>
      <c r="P219" t="s">
        <v>43</v>
      </c>
      <c r="Q219" t="s">
        <v>44</v>
      </c>
      <c r="R219" t="s">
        <v>45</v>
      </c>
      <c r="S219" t="s">
        <v>32</v>
      </c>
      <c r="T219" t="s">
        <v>56</v>
      </c>
      <c r="U219" t="s">
        <v>48</v>
      </c>
      <c r="V219">
        <v>5</v>
      </c>
      <c r="W219">
        <f>Table1[[#This Row],[Profit]]/Table1[[#This Row],[Sales]]</f>
        <v>0.17647058823529413</v>
      </c>
    </row>
    <row r="220" spans="1:23" x14ac:dyDescent="0.25">
      <c r="A220" t="s">
        <v>656</v>
      </c>
      <c r="B220" s="1">
        <v>45957</v>
      </c>
      <c r="C220" t="s">
        <v>370</v>
      </c>
      <c r="D220" t="s">
        <v>657</v>
      </c>
      <c r="E220" t="s">
        <v>25</v>
      </c>
      <c r="F220" t="s">
        <v>26</v>
      </c>
      <c r="G220" t="s">
        <v>27</v>
      </c>
      <c r="H220" t="s">
        <v>28</v>
      </c>
      <c r="I220" t="s">
        <v>29</v>
      </c>
      <c r="J220">
        <v>3</v>
      </c>
      <c r="K220">
        <v>800</v>
      </c>
      <c r="L220">
        <v>10</v>
      </c>
      <c r="M220">
        <v>2160</v>
      </c>
      <c r="N220">
        <v>1680</v>
      </c>
      <c r="O220">
        <v>480</v>
      </c>
      <c r="P220" t="s">
        <v>95</v>
      </c>
      <c r="Q220" t="s">
        <v>96</v>
      </c>
      <c r="R220" t="s">
        <v>45</v>
      </c>
      <c r="S220" t="s">
        <v>46</v>
      </c>
      <c r="T220" t="s">
        <v>33</v>
      </c>
      <c r="U220" t="s">
        <v>48</v>
      </c>
      <c r="V220">
        <v>5</v>
      </c>
      <c r="W220">
        <f>Table1[[#This Row],[Profit]]/Table1[[#This Row],[Sales]]</f>
        <v>0.22222222222222221</v>
      </c>
    </row>
    <row r="221" spans="1:23" x14ac:dyDescent="0.25">
      <c r="A221" t="s">
        <v>658</v>
      </c>
      <c r="B221" s="1">
        <v>45659</v>
      </c>
      <c r="C221" t="s">
        <v>659</v>
      </c>
      <c r="D221" t="s">
        <v>501</v>
      </c>
      <c r="E221" t="s">
        <v>67</v>
      </c>
      <c r="F221" t="s">
        <v>68</v>
      </c>
      <c r="G221" t="s">
        <v>27</v>
      </c>
      <c r="H221" t="s">
        <v>28</v>
      </c>
      <c r="I221" t="s">
        <v>69</v>
      </c>
      <c r="J221">
        <v>4</v>
      </c>
      <c r="K221">
        <v>1500</v>
      </c>
      <c r="L221">
        <v>10</v>
      </c>
      <c r="M221">
        <v>5400</v>
      </c>
      <c r="N221">
        <v>4200</v>
      </c>
      <c r="O221">
        <v>1200</v>
      </c>
      <c r="P221" t="s">
        <v>109</v>
      </c>
      <c r="Q221" t="s">
        <v>110</v>
      </c>
      <c r="R221" t="s">
        <v>111</v>
      </c>
      <c r="S221" t="s">
        <v>46</v>
      </c>
      <c r="T221" t="s">
        <v>56</v>
      </c>
      <c r="U221" t="s">
        <v>48</v>
      </c>
      <c r="V221">
        <v>5</v>
      </c>
      <c r="W221">
        <f>Table1[[#This Row],[Profit]]/Table1[[#This Row],[Sales]]</f>
        <v>0.22222222222222221</v>
      </c>
    </row>
    <row r="222" spans="1:23" x14ac:dyDescent="0.25">
      <c r="A222" t="s">
        <v>660</v>
      </c>
      <c r="B222" s="1">
        <v>45847</v>
      </c>
      <c r="C222" t="s">
        <v>661</v>
      </c>
      <c r="D222" t="s">
        <v>662</v>
      </c>
      <c r="E222" t="s">
        <v>52</v>
      </c>
      <c r="F222" t="s">
        <v>53</v>
      </c>
      <c r="G222" t="s">
        <v>27</v>
      </c>
      <c r="H222" t="s">
        <v>54</v>
      </c>
      <c r="I222" t="s">
        <v>55</v>
      </c>
      <c r="J222">
        <v>3</v>
      </c>
      <c r="K222">
        <v>55000</v>
      </c>
      <c r="L222">
        <v>0</v>
      </c>
      <c r="M222">
        <v>165000</v>
      </c>
      <c r="N222">
        <v>115500</v>
      </c>
      <c r="O222">
        <v>49500.000000000007</v>
      </c>
      <c r="P222" t="s">
        <v>43</v>
      </c>
      <c r="Q222" t="s">
        <v>44</v>
      </c>
      <c r="R222" t="s">
        <v>45</v>
      </c>
      <c r="S222" t="s">
        <v>32</v>
      </c>
      <c r="T222" t="s">
        <v>56</v>
      </c>
      <c r="U222" t="s">
        <v>48</v>
      </c>
      <c r="V222">
        <v>5</v>
      </c>
      <c r="W222">
        <f>Table1[[#This Row],[Profit]]/Table1[[#This Row],[Sales]]</f>
        <v>0.30000000000000004</v>
      </c>
    </row>
    <row r="223" spans="1:23" x14ac:dyDescent="0.25">
      <c r="A223" t="s">
        <v>663</v>
      </c>
      <c r="B223" s="1">
        <v>45706</v>
      </c>
      <c r="C223" t="s">
        <v>267</v>
      </c>
      <c r="D223" t="s">
        <v>598</v>
      </c>
      <c r="E223" t="s">
        <v>38</v>
      </c>
      <c r="F223" t="s">
        <v>39</v>
      </c>
      <c r="G223" t="s">
        <v>40</v>
      </c>
      <c r="H223" t="s">
        <v>41</v>
      </c>
      <c r="I223" t="s">
        <v>42</v>
      </c>
      <c r="J223">
        <v>5</v>
      </c>
      <c r="K223">
        <v>4500</v>
      </c>
      <c r="L223">
        <v>10</v>
      </c>
      <c r="M223">
        <v>20250</v>
      </c>
      <c r="N223">
        <v>15750</v>
      </c>
      <c r="O223">
        <v>4500.0000000000018</v>
      </c>
      <c r="P223" t="s">
        <v>30</v>
      </c>
      <c r="Q223" t="s">
        <v>30</v>
      </c>
      <c r="R223" t="s">
        <v>31</v>
      </c>
      <c r="S223" t="s">
        <v>60</v>
      </c>
      <c r="T223" t="s">
        <v>56</v>
      </c>
      <c r="U223" t="s">
        <v>48</v>
      </c>
      <c r="V223">
        <v>3</v>
      </c>
      <c r="W223">
        <f>Table1[[#This Row],[Profit]]/Table1[[#This Row],[Sales]]</f>
        <v>0.22222222222222232</v>
      </c>
    </row>
    <row r="224" spans="1:23" x14ac:dyDescent="0.25">
      <c r="A224" t="s">
        <v>664</v>
      </c>
      <c r="B224" s="1">
        <v>45764</v>
      </c>
      <c r="C224" t="s">
        <v>665</v>
      </c>
      <c r="D224" t="s">
        <v>191</v>
      </c>
      <c r="E224" t="s">
        <v>73</v>
      </c>
      <c r="F224" t="s">
        <v>74</v>
      </c>
      <c r="G224" t="s">
        <v>27</v>
      </c>
      <c r="H224" t="s">
        <v>75</v>
      </c>
      <c r="I224" t="s">
        <v>76</v>
      </c>
      <c r="J224">
        <v>5</v>
      </c>
      <c r="K224">
        <v>3500</v>
      </c>
      <c r="L224">
        <v>0</v>
      </c>
      <c r="M224">
        <v>17500</v>
      </c>
      <c r="N224">
        <v>12250</v>
      </c>
      <c r="O224">
        <v>5250</v>
      </c>
      <c r="P224" t="s">
        <v>30</v>
      </c>
      <c r="Q224" t="s">
        <v>30</v>
      </c>
      <c r="R224" t="s">
        <v>31</v>
      </c>
      <c r="S224" t="s">
        <v>32</v>
      </c>
      <c r="T224" t="s">
        <v>33</v>
      </c>
      <c r="U224" t="s">
        <v>48</v>
      </c>
      <c r="V224">
        <v>1</v>
      </c>
      <c r="W224">
        <f>Table1[[#This Row],[Profit]]/Table1[[#This Row],[Sales]]</f>
        <v>0.3</v>
      </c>
    </row>
    <row r="225" spans="1:23" x14ac:dyDescent="0.25">
      <c r="A225" t="s">
        <v>666</v>
      </c>
      <c r="B225" s="1">
        <v>46001</v>
      </c>
      <c r="C225" t="s">
        <v>667</v>
      </c>
      <c r="D225" t="s">
        <v>662</v>
      </c>
      <c r="E225" t="s">
        <v>67</v>
      </c>
      <c r="F225" t="s">
        <v>68</v>
      </c>
      <c r="G225" t="s">
        <v>27</v>
      </c>
      <c r="H225" t="s">
        <v>28</v>
      </c>
      <c r="I225" t="s">
        <v>69</v>
      </c>
      <c r="J225">
        <v>4</v>
      </c>
      <c r="K225">
        <v>1500</v>
      </c>
      <c r="L225">
        <v>0</v>
      </c>
      <c r="M225">
        <v>6000</v>
      </c>
      <c r="N225">
        <v>4200</v>
      </c>
      <c r="O225">
        <v>1800</v>
      </c>
      <c r="P225" t="s">
        <v>109</v>
      </c>
      <c r="Q225" t="s">
        <v>110</v>
      </c>
      <c r="R225" t="s">
        <v>111</v>
      </c>
      <c r="S225" t="s">
        <v>60</v>
      </c>
      <c r="T225" t="s">
        <v>47</v>
      </c>
      <c r="U225" t="s">
        <v>48</v>
      </c>
      <c r="V225">
        <v>2</v>
      </c>
      <c r="W225">
        <f>Table1[[#This Row],[Profit]]/Table1[[#This Row],[Sales]]</f>
        <v>0.3</v>
      </c>
    </row>
    <row r="226" spans="1:23" x14ac:dyDescent="0.25">
      <c r="A226" t="s">
        <v>668</v>
      </c>
      <c r="B226" s="1">
        <v>45978</v>
      </c>
      <c r="C226" t="s">
        <v>669</v>
      </c>
      <c r="D226" t="s">
        <v>458</v>
      </c>
      <c r="E226" t="s">
        <v>25</v>
      </c>
      <c r="F226" t="s">
        <v>26</v>
      </c>
      <c r="G226" t="s">
        <v>27</v>
      </c>
      <c r="H226" t="s">
        <v>28</v>
      </c>
      <c r="I226" t="s">
        <v>29</v>
      </c>
      <c r="J226">
        <v>5</v>
      </c>
      <c r="K226">
        <v>800</v>
      </c>
      <c r="L226">
        <v>15</v>
      </c>
      <c r="M226">
        <v>3400</v>
      </c>
      <c r="N226">
        <v>2800</v>
      </c>
      <c r="O226">
        <v>600</v>
      </c>
      <c r="P226" t="s">
        <v>95</v>
      </c>
      <c r="Q226" t="s">
        <v>96</v>
      </c>
      <c r="R226" t="s">
        <v>45</v>
      </c>
      <c r="S226" t="s">
        <v>32</v>
      </c>
      <c r="T226" t="s">
        <v>47</v>
      </c>
      <c r="U226" t="s">
        <v>34</v>
      </c>
      <c r="V226">
        <v>1</v>
      </c>
      <c r="W226">
        <f>Table1[[#This Row],[Profit]]/Table1[[#This Row],[Sales]]</f>
        <v>0.17647058823529413</v>
      </c>
    </row>
    <row r="227" spans="1:23" x14ac:dyDescent="0.25">
      <c r="A227" t="s">
        <v>670</v>
      </c>
      <c r="B227" s="1">
        <v>45721</v>
      </c>
      <c r="C227" t="s">
        <v>671</v>
      </c>
      <c r="D227" t="s">
        <v>507</v>
      </c>
      <c r="E227" t="s">
        <v>25</v>
      </c>
      <c r="F227" t="s">
        <v>26</v>
      </c>
      <c r="G227" t="s">
        <v>27</v>
      </c>
      <c r="H227" t="s">
        <v>28</v>
      </c>
      <c r="I227" t="s">
        <v>29</v>
      </c>
      <c r="J227">
        <v>5</v>
      </c>
      <c r="K227">
        <v>800</v>
      </c>
      <c r="L227">
        <v>5</v>
      </c>
      <c r="M227">
        <v>3800</v>
      </c>
      <c r="N227">
        <v>2800</v>
      </c>
      <c r="O227">
        <v>1000</v>
      </c>
      <c r="P227" t="s">
        <v>109</v>
      </c>
      <c r="Q227" t="s">
        <v>110</v>
      </c>
      <c r="R227" t="s">
        <v>111</v>
      </c>
      <c r="S227" t="s">
        <v>46</v>
      </c>
      <c r="T227" t="s">
        <v>33</v>
      </c>
      <c r="U227" t="s">
        <v>48</v>
      </c>
      <c r="V227">
        <v>2</v>
      </c>
      <c r="W227">
        <f>Table1[[#This Row],[Profit]]/Table1[[#This Row],[Sales]]</f>
        <v>0.26315789473684209</v>
      </c>
    </row>
    <row r="228" spans="1:23" x14ac:dyDescent="0.25">
      <c r="A228" t="s">
        <v>672</v>
      </c>
      <c r="B228" s="1">
        <v>45727</v>
      </c>
      <c r="C228" t="s">
        <v>673</v>
      </c>
      <c r="D228" t="s">
        <v>674</v>
      </c>
      <c r="E228" t="s">
        <v>38</v>
      </c>
      <c r="F228" t="s">
        <v>39</v>
      </c>
      <c r="G228" t="s">
        <v>40</v>
      </c>
      <c r="H228" t="s">
        <v>41</v>
      </c>
      <c r="I228" t="s">
        <v>42</v>
      </c>
      <c r="J228">
        <v>5</v>
      </c>
      <c r="K228">
        <v>4500</v>
      </c>
      <c r="L228">
        <v>5</v>
      </c>
      <c r="M228">
        <v>21375</v>
      </c>
      <c r="N228">
        <v>15750</v>
      </c>
      <c r="O228">
        <v>5625.0000000000018</v>
      </c>
      <c r="P228" t="s">
        <v>95</v>
      </c>
      <c r="Q228" t="s">
        <v>96</v>
      </c>
      <c r="R228" t="s">
        <v>45</v>
      </c>
      <c r="S228" t="s">
        <v>32</v>
      </c>
      <c r="T228" t="s">
        <v>56</v>
      </c>
      <c r="U228" t="s">
        <v>34</v>
      </c>
      <c r="V228">
        <v>1</v>
      </c>
      <c r="W228">
        <f>Table1[[#This Row],[Profit]]/Table1[[#This Row],[Sales]]</f>
        <v>0.2631578947368422</v>
      </c>
    </row>
    <row r="229" spans="1:23" x14ac:dyDescent="0.25">
      <c r="A229" t="s">
        <v>675</v>
      </c>
      <c r="B229" s="1">
        <v>45868</v>
      </c>
      <c r="C229" t="s">
        <v>676</v>
      </c>
      <c r="D229" t="s">
        <v>279</v>
      </c>
      <c r="E229" t="s">
        <v>38</v>
      </c>
      <c r="F229" t="s">
        <v>39</v>
      </c>
      <c r="G229" t="s">
        <v>40</v>
      </c>
      <c r="H229" t="s">
        <v>41</v>
      </c>
      <c r="I229" t="s">
        <v>42</v>
      </c>
      <c r="J229">
        <v>4</v>
      </c>
      <c r="K229">
        <v>4500</v>
      </c>
      <c r="L229">
        <v>15</v>
      </c>
      <c r="M229">
        <v>15300</v>
      </c>
      <c r="N229">
        <v>12600</v>
      </c>
      <c r="O229">
        <v>2700</v>
      </c>
      <c r="P229" t="s">
        <v>95</v>
      </c>
      <c r="Q229" t="s">
        <v>96</v>
      </c>
      <c r="R229" t="s">
        <v>45</v>
      </c>
      <c r="S229" t="s">
        <v>60</v>
      </c>
      <c r="T229" t="s">
        <v>56</v>
      </c>
      <c r="U229" t="s">
        <v>34</v>
      </c>
      <c r="V229">
        <v>5</v>
      </c>
      <c r="W229">
        <f>Table1[[#This Row],[Profit]]/Table1[[#This Row],[Sales]]</f>
        <v>0.17647058823529413</v>
      </c>
    </row>
    <row r="230" spans="1:23" x14ac:dyDescent="0.25">
      <c r="A230" t="s">
        <v>677</v>
      </c>
      <c r="B230" s="1">
        <v>45847</v>
      </c>
      <c r="C230" t="s">
        <v>678</v>
      </c>
      <c r="D230" t="s">
        <v>679</v>
      </c>
      <c r="E230" t="s">
        <v>52</v>
      </c>
      <c r="F230" t="s">
        <v>53</v>
      </c>
      <c r="G230" t="s">
        <v>27</v>
      </c>
      <c r="H230" t="s">
        <v>54</v>
      </c>
      <c r="I230" t="s">
        <v>55</v>
      </c>
      <c r="J230">
        <v>3</v>
      </c>
      <c r="K230">
        <v>55000</v>
      </c>
      <c r="L230">
        <v>15</v>
      </c>
      <c r="M230">
        <v>140250</v>
      </c>
      <c r="N230">
        <v>115500</v>
      </c>
      <c r="O230">
        <v>24750.000000000011</v>
      </c>
      <c r="P230" t="s">
        <v>109</v>
      </c>
      <c r="Q230" t="s">
        <v>110</v>
      </c>
      <c r="R230" t="s">
        <v>111</v>
      </c>
      <c r="S230" t="s">
        <v>46</v>
      </c>
      <c r="T230" t="s">
        <v>47</v>
      </c>
      <c r="U230" t="s">
        <v>34</v>
      </c>
      <c r="V230">
        <v>5</v>
      </c>
      <c r="W230">
        <f>Table1[[#This Row],[Profit]]/Table1[[#This Row],[Sales]]</f>
        <v>0.17647058823529418</v>
      </c>
    </row>
    <row r="231" spans="1:23" x14ac:dyDescent="0.25">
      <c r="A231" t="s">
        <v>680</v>
      </c>
      <c r="B231" s="1">
        <v>45935</v>
      </c>
      <c r="C231" t="s">
        <v>245</v>
      </c>
      <c r="D231" t="s">
        <v>681</v>
      </c>
      <c r="E231" t="s">
        <v>67</v>
      </c>
      <c r="F231" t="s">
        <v>68</v>
      </c>
      <c r="G231" t="s">
        <v>27</v>
      </c>
      <c r="H231" t="s">
        <v>28</v>
      </c>
      <c r="I231" t="s">
        <v>69</v>
      </c>
      <c r="J231">
        <v>5</v>
      </c>
      <c r="K231">
        <v>1500</v>
      </c>
      <c r="L231">
        <v>15</v>
      </c>
      <c r="M231">
        <v>6375</v>
      </c>
      <c r="N231">
        <v>5250</v>
      </c>
      <c r="O231">
        <v>1125</v>
      </c>
      <c r="P231" t="s">
        <v>30</v>
      </c>
      <c r="Q231" t="s">
        <v>30</v>
      </c>
      <c r="R231" t="s">
        <v>31</v>
      </c>
      <c r="S231" t="s">
        <v>60</v>
      </c>
      <c r="T231" t="s">
        <v>47</v>
      </c>
      <c r="U231" t="s">
        <v>34</v>
      </c>
      <c r="V231">
        <v>3</v>
      </c>
      <c r="W231">
        <f>Table1[[#This Row],[Profit]]/Table1[[#This Row],[Sales]]</f>
        <v>0.17647058823529413</v>
      </c>
    </row>
    <row r="232" spans="1:23" x14ac:dyDescent="0.25">
      <c r="A232" t="s">
        <v>682</v>
      </c>
      <c r="B232" s="1">
        <v>45921</v>
      </c>
      <c r="C232" t="s">
        <v>683</v>
      </c>
      <c r="D232" t="s">
        <v>684</v>
      </c>
      <c r="E232" t="s">
        <v>38</v>
      </c>
      <c r="F232" t="s">
        <v>39</v>
      </c>
      <c r="G232" t="s">
        <v>40</v>
      </c>
      <c r="H232" t="s">
        <v>41</v>
      </c>
      <c r="I232" t="s">
        <v>42</v>
      </c>
      <c r="J232">
        <v>5</v>
      </c>
      <c r="K232">
        <v>4500</v>
      </c>
      <c r="L232">
        <v>5</v>
      </c>
      <c r="M232">
        <v>21375</v>
      </c>
      <c r="N232">
        <v>15750</v>
      </c>
      <c r="O232">
        <v>5625.0000000000018</v>
      </c>
      <c r="P232" t="s">
        <v>109</v>
      </c>
      <c r="Q232" t="s">
        <v>110</v>
      </c>
      <c r="R232" t="s">
        <v>111</v>
      </c>
      <c r="S232" t="s">
        <v>32</v>
      </c>
      <c r="T232" t="s">
        <v>47</v>
      </c>
      <c r="U232" t="s">
        <v>48</v>
      </c>
      <c r="V232">
        <v>5</v>
      </c>
      <c r="W232">
        <f>Table1[[#This Row],[Profit]]/Table1[[#This Row],[Sales]]</f>
        <v>0.2631578947368422</v>
      </c>
    </row>
    <row r="233" spans="1:23" x14ac:dyDescent="0.25">
      <c r="A233" t="s">
        <v>685</v>
      </c>
      <c r="B233" s="1">
        <v>45865</v>
      </c>
      <c r="C233" t="s">
        <v>686</v>
      </c>
      <c r="D233" t="s">
        <v>687</v>
      </c>
      <c r="E233" t="s">
        <v>38</v>
      </c>
      <c r="F233" t="s">
        <v>39</v>
      </c>
      <c r="G233" t="s">
        <v>40</v>
      </c>
      <c r="H233" t="s">
        <v>41</v>
      </c>
      <c r="I233" t="s">
        <v>42</v>
      </c>
      <c r="J233">
        <v>1</v>
      </c>
      <c r="K233">
        <v>4500</v>
      </c>
      <c r="L233">
        <v>5</v>
      </c>
      <c r="M233">
        <v>4275</v>
      </c>
      <c r="N233">
        <v>3150</v>
      </c>
      <c r="O233">
        <v>1125</v>
      </c>
      <c r="P233" t="s">
        <v>109</v>
      </c>
      <c r="Q233" t="s">
        <v>110</v>
      </c>
      <c r="R233" t="s">
        <v>111</v>
      </c>
      <c r="S233" t="s">
        <v>32</v>
      </c>
      <c r="T233" t="s">
        <v>33</v>
      </c>
      <c r="U233" t="s">
        <v>48</v>
      </c>
      <c r="V233">
        <v>1</v>
      </c>
      <c r="W233">
        <f>Table1[[#This Row],[Profit]]/Table1[[#This Row],[Sales]]</f>
        <v>0.26315789473684209</v>
      </c>
    </row>
    <row r="234" spans="1:23" x14ac:dyDescent="0.25">
      <c r="A234" t="s">
        <v>688</v>
      </c>
      <c r="B234" s="1">
        <v>45712</v>
      </c>
      <c r="C234" t="s">
        <v>689</v>
      </c>
      <c r="D234" t="s">
        <v>690</v>
      </c>
      <c r="E234" t="s">
        <v>73</v>
      </c>
      <c r="F234" t="s">
        <v>74</v>
      </c>
      <c r="G234" t="s">
        <v>27</v>
      </c>
      <c r="H234" t="s">
        <v>75</v>
      </c>
      <c r="I234" t="s">
        <v>76</v>
      </c>
      <c r="J234">
        <v>3</v>
      </c>
      <c r="K234">
        <v>3500</v>
      </c>
      <c r="L234">
        <v>5</v>
      </c>
      <c r="M234">
        <v>9975</v>
      </c>
      <c r="N234">
        <v>7349.9999999999991</v>
      </c>
      <c r="O234">
        <v>2625.0000000000009</v>
      </c>
      <c r="P234" t="s">
        <v>30</v>
      </c>
      <c r="Q234" t="s">
        <v>30</v>
      </c>
      <c r="R234" t="s">
        <v>31</v>
      </c>
      <c r="S234" t="s">
        <v>46</v>
      </c>
      <c r="T234" t="s">
        <v>47</v>
      </c>
      <c r="U234" t="s">
        <v>48</v>
      </c>
      <c r="V234">
        <v>5</v>
      </c>
      <c r="W234">
        <f>Table1[[#This Row],[Profit]]/Table1[[#This Row],[Sales]]</f>
        <v>0.2631578947368422</v>
      </c>
    </row>
    <row r="235" spans="1:23" x14ac:dyDescent="0.25">
      <c r="A235" t="s">
        <v>691</v>
      </c>
      <c r="B235" s="1">
        <v>45852</v>
      </c>
      <c r="C235" t="s">
        <v>692</v>
      </c>
      <c r="D235" t="s">
        <v>114</v>
      </c>
      <c r="E235" t="s">
        <v>67</v>
      </c>
      <c r="F235" t="s">
        <v>68</v>
      </c>
      <c r="G235" t="s">
        <v>27</v>
      </c>
      <c r="H235" t="s">
        <v>28</v>
      </c>
      <c r="I235" t="s">
        <v>69</v>
      </c>
      <c r="J235">
        <v>4</v>
      </c>
      <c r="K235">
        <v>1500</v>
      </c>
      <c r="L235">
        <v>5</v>
      </c>
      <c r="M235">
        <v>5700</v>
      </c>
      <c r="N235">
        <v>4200</v>
      </c>
      <c r="O235">
        <v>1500</v>
      </c>
      <c r="P235" t="s">
        <v>95</v>
      </c>
      <c r="Q235" t="s">
        <v>96</v>
      </c>
      <c r="R235" t="s">
        <v>45</v>
      </c>
      <c r="S235" t="s">
        <v>32</v>
      </c>
      <c r="T235" t="s">
        <v>56</v>
      </c>
      <c r="U235" t="s">
        <v>34</v>
      </c>
      <c r="V235">
        <v>2</v>
      </c>
      <c r="W235">
        <f>Table1[[#This Row],[Profit]]/Table1[[#This Row],[Sales]]</f>
        <v>0.26315789473684209</v>
      </c>
    </row>
    <row r="236" spans="1:23" x14ac:dyDescent="0.25">
      <c r="A236" t="s">
        <v>693</v>
      </c>
      <c r="B236" s="1">
        <v>45855</v>
      </c>
      <c r="C236" t="s">
        <v>694</v>
      </c>
      <c r="D236" t="s">
        <v>695</v>
      </c>
      <c r="E236" t="s">
        <v>52</v>
      </c>
      <c r="F236" t="s">
        <v>53</v>
      </c>
      <c r="G236" t="s">
        <v>27</v>
      </c>
      <c r="H236" t="s">
        <v>54</v>
      </c>
      <c r="I236" t="s">
        <v>55</v>
      </c>
      <c r="J236">
        <v>5</v>
      </c>
      <c r="K236">
        <v>55000</v>
      </c>
      <c r="L236">
        <v>10</v>
      </c>
      <c r="M236">
        <v>247500</v>
      </c>
      <c r="N236">
        <v>192500</v>
      </c>
      <c r="O236">
        <v>55000</v>
      </c>
      <c r="P236" t="s">
        <v>30</v>
      </c>
      <c r="Q236" t="s">
        <v>30</v>
      </c>
      <c r="R236" t="s">
        <v>31</v>
      </c>
      <c r="S236" t="s">
        <v>46</v>
      </c>
      <c r="T236" t="s">
        <v>33</v>
      </c>
      <c r="U236" t="s">
        <v>48</v>
      </c>
      <c r="V236">
        <v>2</v>
      </c>
      <c r="W236">
        <f>Table1[[#This Row],[Profit]]/Table1[[#This Row],[Sales]]</f>
        <v>0.22222222222222221</v>
      </c>
    </row>
    <row r="237" spans="1:23" x14ac:dyDescent="0.25">
      <c r="A237" t="s">
        <v>696</v>
      </c>
      <c r="B237" s="1">
        <v>45981</v>
      </c>
      <c r="C237" t="s">
        <v>225</v>
      </c>
      <c r="D237" t="s">
        <v>697</v>
      </c>
      <c r="E237" t="s">
        <v>67</v>
      </c>
      <c r="F237" t="s">
        <v>68</v>
      </c>
      <c r="G237" t="s">
        <v>27</v>
      </c>
      <c r="H237" t="s">
        <v>28</v>
      </c>
      <c r="I237" t="s">
        <v>69</v>
      </c>
      <c r="J237">
        <v>5</v>
      </c>
      <c r="K237">
        <v>1500</v>
      </c>
      <c r="L237">
        <v>5</v>
      </c>
      <c r="M237">
        <v>7125</v>
      </c>
      <c r="N237">
        <v>5250</v>
      </c>
      <c r="O237">
        <v>1875</v>
      </c>
      <c r="P237" t="s">
        <v>43</v>
      </c>
      <c r="Q237" t="s">
        <v>44</v>
      </c>
      <c r="R237" t="s">
        <v>45</v>
      </c>
      <c r="S237" t="s">
        <v>32</v>
      </c>
      <c r="T237" t="s">
        <v>56</v>
      </c>
      <c r="U237" t="s">
        <v>34</v>
      </c>
      <c r="V237">
        <v>3</v>
      </c>
      <c r="W237">
        <f>Table1[[#This Row],[Profit]]/Table1[[#This Row],[Sales]]</f>
        <v>0.26315789473684209</v>
      </c>
    </row>
    <row r="238" spans="1:23" x14ac:dyDescent="0.25">
      <c r="A238" t="s">
        <v>698</v>
      </c>
      <c r="B238" s="1">
        <v>45835</v>
      </c>
      <c r="C238" t="s">
        <v>699</v>
      </c>
      <c r="D238" t="s">
        <v>700</v>
      </c>
      <c r="E238" t="s">
        <v>67</v>
      </c>
      <c r="F238" t="s">
        <v>68</v>
      </c>
      <c r="G238" t="s">
        <v>27</v>
      </c>
      <c r="H238" t="s">
        <v>28</v>
      </c>
      <c r="I238" t="s">
        <v>69</v>
      </c>
      <c r="J238">
        <v>1</v>
      </c>
      <c r="K238">
        <v>1500</v>
      </c>
      <c r="L238">
        <v>10</v>
      </c>
      <c r="M238">
        <v>1350</v>
      </c>
      <c r="N238">
        <v>1050</v>
      </c>
      <c r="O238">
        <v>300</v>
      </c>
      <c r="P238" t="s">
        <v>109</v>
      </c>
      <c r="Q238" t="s">
        <v>110</v>
      </c>
      <c r="R238" t="s">
        <v>111</v>
      </c>
      <c r="S238" t="s">
        <v>46</v>
      </c>
      <c r="T238" t="s">
        <v>47</v>
      </c>
      <c r="U238" t="s">
        <v>34</v>
      </c>
      <c r="V238">
        <v>2</v>
      </c>
      <c r="W238">
        <f>Table1[[#This Row],[Profit]]/Table1[[#This Row],[Sales]]</f>
        <v>0.22222222222222221</v>
      </c>
    </row>
    <row r="239" spans="1:23" x14ac:dyDescent="0.25">
      <c r="A239" t="s">
        <v>701</v>
      </c>
      <c r="B239" s="1">
        <v>45827</v>
      </c>
      <c r="C239" t="s">
        <v>702</v>
      </c>
      <c r="D239" t="s">
        <v>150</v>
      </c>
      <c r="E239" t="s">
        <v>52</v>
      </c>
      <c r="F239" t="s">
        <v>53</v>
      </c>
      <c r="G239" t="s">
        <v>27</v>
      </c>
      <c r="H239" t="s">
        <v>54</v>
      </c>
      <c r="I239" t="s">
        <v>55</v>
      </c>
      <c r="J239">
        <v>2</v>
      </c>
      <c r="K239">
        <v>55000</v>
      </c>
      <c r="L239">
        <v>10</v>
      </c>
      <c r="M239">
        <v>99000</v>
      </c>
      <c r="N239">
        <v>77000</v>
      </c>
      <c r="O239">
        <v>22000</v>
      </c>
      <c r="P239" t="s">
        <v>43</v>
      </c>
      <c r="Q239" t="s">
        <v>44</v>
      </c>
      <c r="R239" t="s">
        <v>45</v>
      </c>
      <c r="S239" t="s">
        <v>32</v>
      </c>
      <c r="T239" t="s">
        <v>33</v>
      </c>
      <c r="U239" t="s">
        <v>34</v>
      </c>
      <c r="V239">
        <v>1</v>
      </c>
      <c r="W239">
        <f>Table1[[#This Row],[Profit]]/Table1[[#This Row],[Sales]]</f>
        <v>0.22222222222222221</v>
      </c>
    </row>
    <row r="240" spans="1:23" x14ac:dyDescent="0.25">
      <c r="A240" t="s">
        <v>703</v>
      </c>
      <c r="B240" s="1">
        <v>45805</v>
      </c>
      <c r="C240" t="s">
        <v>704</v>
      </c>
      <c r="D240" t="s">
        <v>705</v>
      </c>
      <c r="E240" t="s">
        <v>52</v>
      </c>
      <c r="F240" t="s">
        <v>53</v>
      </c>
      <c r="G240" t="s">
        <v>27</v>
      </c>
      <c r="H240" t="s">
        <v>54</v>
      </c>
      <c r="I240" t="s">
        <v>55</v>
      </c>
      <c r="J240">
        <v>1</v>
      </c>
      <c r="K240">
        <v>55000</v>
      </c>
      <c r="L240">
        <v>0</v>
      </c>
      <c r="M240">
        <v>55000</v>
      </c>
      <c r="N240">
        <v>38500</v>
      </c>
      <c r="O240">
        <v>16500</v>
      </c>
      <c r="P240" t="s">
        <v>43</v>
      </c>
      <c r="Q240" t="s">
        <v>44</v>
      </c>
      <c r="R240" t="s">
        <v>45</v>
      </c>
      <c r="S240" t="s">
        <v>32</v>
      </c>
      <c r="T240" t="s">
        <v>56</v>
      </c>
      <c r="U240" t="s">
        <v>34</v>
      </c>
      <c r="V240">
        <v>5</v>
      </c>
      <c r="W240">
        <f>Table1[[#This Row],[Profit]]/Table1[[#This Row],[Sales]]</f>
        <v>0.3</v>
      </c>
    </row>
    <row r="241" spans="1:23" x14ac:dyDescent="0.25">
      <c r="A241" t="s">
        <v>706</v>
      </c>
      <c r="B241" s="1">
        <v>45887</v>
      </c>
      <c r="C241" t="s">
        <v>707</v>
      </c>
      <c r="D241" t="s">
        <v>708</v>
      </c>
      <c r="E241" t="s">
        <v>73</v>
      </c>
      <c r="F241" t="s">
        <v>74</v>
      </c>
      <c r="G241" t="s">
        <v>27</v>
      </c>
      <c r="H241" t="s">
        <v>75</v>
      </c>
      <c r="I241" t="s">
        <v>76</v>
      </c>
      <c r="J241">
        <v>3</v>
      </c>
      <c r="K241">
        <v>3500</v>
      </c>
      <c r="L241">
        <v>15</v>
      </c>
      <c r="M241">
        <v>8925</v>
      </c>
      <c r="N241">
        <v>7349.9999999999991</v>
      </c>
      <c r="O241">
        <v>1575.0000000000009</v>
      </c>
      <c r="P241" t="s">
        <v>109</v>
      </c>
      <c r="Q241" t="s">
        <v>110</v>
      </c>
      <c r="R241" t="s">
        <v>111</v>
      </c>
      <c r="S241" t="s">
        <v>32</v>
      </c>
      <c r="T241" t="s">
        <v>47</v>
      </c>
      <c r="U241" t="s">
        <v>48</v>
      </c>
      <c r="V241">
        <v>2</v>
      </c>
      <c r="W241">
        <f>Table1[[#This Row],[Profit]]/Table1[[#This Row],[Sales]]</f>
        <v>0.17647058823529421</v>
      </c>
    </row>
    <row r="242" spans="1:23" x14ac:dyDescent="0.25">
      <c r="A242" t="s">
        <v>709</v>
      </c>
      <c r="B242" s="1">
        <v>45908</v>
      </c>
      <c r="C242" t="s">
        <v>710</v>
      </c>
      <c r="D242" t="s">
        <v>322</v>
      </c>
      <c r="E242" t="s">
        <v>73</v>
      </c>
      <c r="F242" t="s">
        <v>74</v>
      </c>
      <c r="G242" t="s">
        <v>27</v>
      </c>
      <c r="H242" t="s">
        <v>75</v>
      </c>
      <c r="I242" t="s">
        <v>76</v>
      </c>
      <c r="J242">
        <v>2</v>
      </c>
      <c r="K242">
        <v>3500</v>
      </c>
      <c r="L242">
        <v>0</v>
      </c>
      <c r="M242">
        <v>7000</v>
      </c>
      <c r="N242">
        <v>4900</v>
      </c>
      <c r="O242">
        <v>2100</v>
      </c>
      <c r="P242" t="s">
        <v>43</v>
      </c>
      <c r="Q242" t="s">
        <v>44</v>
      </c>
      <c r="R242" t="s">
        <v>45</v>
      </c>
      <c r="S242" t="s">
        <v>60</v>
      </c>
      <c r="T242" t="s">
        <v>47</v>
      </c>
      <c r="U242" t="s">
        <v>34</v>
      </c>
      <c r="V242">
        <v>2</v>
      </c>
      <c r="W242">
        <f>Table1[[#This Row],[Profit]]/Table1[[#This Row],[Sales]]</f>
        <v>0.3</v>
      </c>
    </row>
    <row r="243" spans="1:23" x14ac:dyDescent="0.25">
      <c r="A243" t="s">
        <v>711</v>
      </c>
      <c r="B243" s="1">
        <v>45830</v>
      </c>
      <c r="C243" t="s">
        <v>712</v>
      </c>
      <c r="D243" t="s">
        <v>713</v>
      </c>
      <c r="E243" t="s">
        <v>52</v>
      </c>
      <c r="F243" t="s">
        <v>53</v>
      </c>
      <c r="G243" t="s">
        <v>27</v>
      </c>
      <c r="H243" t="s">
        <v>54</v>
      </c>
      <c r="I243" t="s">
        <v>55</v>
      </c>
      <c r="J243">
        <v>2</v>
      </c>
      <c r="K243">
        <v>55000</v>
      </c>
      <c r="L243">
        <v>5</v>
      </c>
      <c r="M243">
        <v>104500</v>
      </c>
      <c r="N243">
        <v>77000</v>
      </c>
      <c r="O243">
        <v>27500</v>
      </c>
      <c r="P243" t="s">
        <v>30</v>
      </c>
      <c r="Q243" t="s">
        <v>30</v>
      </c>
      <c r="R243" t="s">
        <v>31</v>
      </c>
      <c r="S243" t="s">
        <v>32</v>
      </c>
      <c r="T243" t="s">
        <v>56</v>
      </c>
      <c r="U243" t="s">
        <v>48</v>
      </c>
      <c r="V243">
        <v>2</v>
      </c>
      <c r="W243">
        <f>Table1[[#This Row],[Profit]]/Table1[[#This Row],[Sales]]</f>
        <v>0.26315789473684209</v>
      </c>
    </row>
    <row r="244" spans="1:23" x14ac:dyDescent="0.25">
      <c r="A244" t="s">
        <v>714</v>
      </c>
      <c r="B244" s="1">
        <v>45882</v>
      </c>
      <c r="C244" t="s">
        <v>715</v>
      </c>
      <c r="D244" t="s">
        <v>716</v>
      </c>
      <c r="E244" t="s">
        <v>67</v>
      </c>
      <c r="F244" t="s">
        <v>68</v>
      </c>
      <c r="G244" t="s">
        <v>27</v>
      </c>
      <c r="H244" t="s">
        <v>28</v>
      </c>
      <c r="I244" t="s">
        <v>69</v>
      </c>
      <c r="J244">
        <v>2</v>
      </c>
      <c r="K244">
        <v>1500</v>
      </c>
      <c r="L244">
        <v>15</v>
      </c>
      <c r="M244">
        <v>2550</v>
      </c>
      <c r="N244">
        <v>2100</v>
      </c>
      <c r="O244">
        <v>450</v>
      </c>
      <c r="P244" t="s">
        <v>43</v>
      </c>
      <c r="Q244" t="s">
        <v>44</v>
      </c>
      <c r="R244" t="s">
        <v>45</v>
      </c>
      <c r="S244" t="s">
        <v>32</v>
      </c>
      <c r="T244" t="s">
        <v>47</v>
      </c>
      <c r="U244" t="s">
        <v>34</v>
      </c>
      <c r="V244">
        <v>2</v>
      </c>
      <c r="W244">
        <f>Table1[[#This Row],[Profit]]/Table1[[#This Row],[Sales]]</f>
        <v>0.17647058823529413</v>
      </c>
    </row>
    <row r="245" spans="1:23" x14ac:dyDescent="0.25">
      <c r="A245" t="s">
        <v>717</v>
      </c>
      <c r="B245" s="1">
        <v>45850</v>
      </c>
      <c r="C245" t="s">
        <v>718</v>
      </c>
      <c r="D245" t="s">
        <v>719</v>
      </c>
      <c r="E245" t="s">
        <v>52</v>
      </c>
      <c r="F245" t="s">
        <v>53</v>
      </c>
      <c r="G245" t="s">
        <v>27</v>
      </c>
      <c r="H245" t="s">
        <v>54</v>
      </c>
      <c r="I245" t="s">
        <v>55</v>
      </c>
      <c r="J245">
        <v>1</v>
      </c>
      <c r="K245">
        <v>55000</v>
      </c>
      <c r="L245">
        <v>10</v>
      </c>
      <c r="M245">
        <v>49500</v>
      </c>
      <c r="N245">
        <v>38500</v>
      </c>
      <c r="O245">
        <v>11000</v>
      </c>
      <c r="P245" t="s">
        <v>109</v>
      </c>
      <c r="Q245" t="s">
        <v>110</v>
      </c>
      <c r="R245" t="s">
        <v>111</v>
      </c>
      <c r="S245" t="s">
        <v>32</v>
      </c>
      <c r="T245" t="s">
        <v>33</v>
      </c>
      <c r="U245" t="s">
        <v>48</v>
      </c>
      <c r="V245">
        <v>1</v>
      </c>
      <c r="W245">
        <f>Table1[[#This Row],[Profit]]/Table1[[#This Row],[Sales]]</f>
        <v>0.22222222222222221</v>
      </c>
    </row>
    <row r="246" spans="1:23" x14ac:dyDescent="0.25">
      <c r="A246" t="s">
        <v>720</v>
      </c>
      <c r="B246" s="1">
        <v>45852</v>
      </c>
      <c r="C246" t="s">
        <v>506</v>
      </c>
      <c r="D246" t="s">
        <v>721</v>
      </c>
      <c r="E246" t="s">
        <v>73</v>
      </c>
      <c r="F246" t="s">
        <v>74</v>
      </c>
      <c r="G246" t="s">
        <v>27</v>
      </c>
      <c r="H246" t="s">
        <v>75</v>
      </c>
      <c r="I246" t="s">
        <v>76</v>
      </c>
      <c r="J246">
        <v>4</v>
      </c>
      <c r="K246">
        <v>3500</v>
      </c>
      <c r="L246">
        <v>0</v>
      </c>
      <c r="M246">
        <v>14000</v>
      </c>
      <c r="N246">
        <v>9800</v>
      </c>
      <c r="O246">
        <v>4200</v>
      </c>
      <c r="P246" t="s">
        <v>43</v>
      </c>
      <c r="Q246" t="s">
        <v>44</v>
      </c>
      <c r="R246" t="s">
        <v>45</v>
      </c>
      <c r="S246" t="s">
        <v>46</v>
      </c>
      <c r="T246" t="s">
        <v>47</v>
      </c>
      <c r="U246" t="s">
        <v>48</v>
      </c>
      <c r="V246">
        <v>1</v>
      </c>
      <c r="W246">
        <f>Table1[[#This Row],[Profit]]/Table1[[#This Row],[Sales]]</f>
        <v>0.3</v>
      </c>
    </row>
    <row r="247" spans="1:23" x14ac:dyDescent="0.25">
      <c r="A247" t="s">
        <v>722</v>
      </c>
      <c r="B247" s="1">
        <v>45848</v>
      </c>
      <c r="C247" t="s">
        <v>723</v>
      </c>
      <c r="D247" t="s">
        <v>400</v>
      </c>
      <c r="E247" t="s">
        <v>52</v>
      </c>
      <c r="F247" t="s">
        <v>53</v>
      </c>
      <c r="G247" t="s">
        <v>27</v>
      </c>
      <c r="H247" t="s">
        <v>54</v>
      </c>
      <c r="I247" t="s">
        <v>55</v>
      </c>
      <c r="J247">
        <v>2</v>
      </c>
      <c r="K247">
        <v>55000</v>
      </c>
      <c r="L247">
        <v>15</v>
      </c>
      <c r="M247">
        <v>93500</v>
      </c>
      <c r="N247">
        <v>77000</v>
      </c>
      <c r="O247">
        <v>16500</v>
      </c>
      <c r="P247" t="s">
        <v>95</v>
      </c>
      <c r="Q247" t="s">
        <v>96</v>
      </c>
      <c r="R247" t="s">
        <v>45</v>
      </c>
      <c r="S247" t="s">
        <v>60</v>
      </c>
      <c r="T247" t="s">
        <v>33</v>
      </c>
      <c r="U247" t="s">
        <v>48</v>
      </c>
      <c r="V247">
        <v>5</v>
      </c>
      <c r="W247">
        <f>Table1[[#This Row],[Profit]]/Table1[[#This Row],[Sales]]</f>
        <v>0.17647058823529413</v>
      </c>
    </row>
    <row r="248" spans="1:23" x14ac:dyDescent="0.25">
      <c r="A248" t="s">
        <v>724</v>
      </c>
      <c r="B248" s="1">
        <v>45774</v>
      </c>
      <c r="C248" t="s">
        <v>725</v>
      </c>
      <c r="D248" t="s">
        <v>726</v>
      </c>
      <c r="E248" t="s">
        <v>52</v>
      </c>
      <c r="F248" t="s">
        <v>53</v>
      </c>
      <c r="G248" t="s">
        <v>27</v>
      </c>
      <c r="H248" t="s">
        <v>54</v>
      </c>
      <c r="I248" t="s">
        <v>55</v>
      </c>
      <c r="J248">
        <v>3</v>
      </c>
      <c r="K248">
        <v>55000</v>
      </c>
      <c r="L248">
        <v>5</v>
      </c>
      <c r="M248">
        <v>156750</v>
      </c>
      <c r="N248">
        <v>115500</v>
      </c>
      <c r="O248">
        <v>41250.000000000007</v>
      </c>
      <c r="P248" t="s">
        <v>43</v>
      </c>
      <c r="Q248" t="s">
        <v>44</v>
      </c>
      <c r="R248" t="s">
        <v>45</v>
      </c>
      <c r="S248" t="s">
        <v>60</v>
      </c>
      <c r="T248" t="s">
        <v>56</v>
      </c>
      <c r="U248" t="s">
        <v>48</v>
      </c>
      <c r="V248">
        <v>3</v>
      </c>
      <c r="W248">
        <f>Table1[[#This Row],[Profit]]/Table1[[#This Row],[Sales]]</f>
        <v>0.26315789473684215</v>
      </c>
    </row>
    <row r="249" spans="1:23" x14ac:dyDescent="0.25">
      <c r="A249" t="s">
        <v>727</v>
      </c>
      <c r="B249" s="1">
        <v>45868</v>
      </c>
      <c r="C249" t="s">
        <v>728</v>
      </c>
      <c r="D249" t="s">
        <v>729</v>
      </c>
      <c r="E249" t="s">
        <v>38</v>
      </c>
      <c r="F249" t="s">
        <v>39</v>
      </c>
      <c r="G249" t="s">
        <v>40</v>
      </c>
      <c r="H249" t="s">
        <v>41</v>
      </c>
      <c r="I249" t="s">
        <v>42</v>
      </c>
      <c r="J249">
        <v>4</v>
      </c>
      <c r="K249">
        <v>4500</v>
      </c>
      <c r="L249">
        <v>5</v>
      </c>
      <c r="M249">
        <v>17100</v>
      </c>
      <c r="N249">
        <v>12600</v>
      </c>
      <c r="O249">
        <v>4500</v>
      </c>
      <c r="P249" t="s">
        <v>109</v>
      </c>
      <c r="Q249" t="s">
        <v>110</v>
      </c>
      <c r="R249" t="s">
        <v>111</v>
      </c>
      <c r="S249" t="s">
        <v>60</v>
      </c>
      <c r="T249" t="s">
        <v>56</v>
      </c>
      <c r="U249" t="s">
        <v>48</v>
      </c>
      <c r="V249">
        <v>2</v>
      </c>
      <c r="W249">
        <f>Table1[[#This Row],[Profit]]/Table1[[#This Row],[Sales]]</f>
        <v>0.26315789473684209</v>
      </c>
    </row>
    <row r="250" spans="1:23" x14ac:dyDescent="0.25">
      <c r="A250" t="s">
        <v>730</v>
      </c>
      <c r="B250" s="1">
        <v>45968</v>
      </c>
      <c r="C250" t="s">
        <v>731</v>
      </c>
      <c r="D250" t="s">
        <v>732</v>
      </c>
      <c r="E250" t="s">
        <v>25</v>
      </c>
      <c r="F250" t="s">
        <v>26</v>
      </c>
      <c r="G250" t="s">
        <v>27</v>
      </c>
      <c r="H250" t="s">
        <v>28</v>
      </c>
      <c r="I250" t="s">
        <v>29</v>
      </c>
      <c r="J250">
        <v>4</v>
      </c>
      <c r="K250">
        <v>800</v>
      </c>
      <c r="L250">
        <v>15</v>
      </c>
      <c r="M250">
        <v>2720</v>
      </c>
      <c r="N250">
        <v>2240</v>
      </c>
      <c r="O250">
        <v>480</v>
      </c>
      <c r="P250" t="s">
        <v>30</v>
      </c>
      <c r="Q250" t="s">
        <v>30</v>
      </c>
      <c r="R250" t="s">
        <v>31</v>
      </c>
      <c r="S250" t="s">
        <v>32</v>
      </c>
      <c r="T250" t="s">
        <v>47</v>
      </c>
      <c r="U250" t="s">
        <v>48</v>
      </c>
      <c r="V250">
        <v>1</v>
      </c>
      <c r="W250">
        <f>Table1[[#This Row],[Profit]]/Table1[[#This Row],[Sales]]</f>
        <v>0.17647058823529413</v>
      </c>
    </row>
    <row r="251" spans="1:23" x14ac:dyDescent="0.25">
      <c r="A251" t="s">
        <v>733</v>
      </c>
      <c r="B251" s="1">
        <v>45937</v>
      </c>
      <c r="C251" t="s">
        <v>734</v>
      </c>
      <c r="D251" t="s">
        <v>735</v>
      </c>
      <c r="E251" t="s">
        <v>73</v>
      </c>
      <c r="F251" t="s">
        <v>74</v>
      </c>
      <c r="G251" t="s">
        <v>27</v>
      </c>
      <c r="H251" t="s">
        <v>75</v>
      </c>
      <c r="I251" t="s">
        <v>76</v>
      </c>
      <c r="J251">
        <v>2</v>
      </c>
      <c r="K251">
        <v>3500</v>
      </c>
      <c r="L251">
        <v>15</v>
      </c>
      <c r="M251">
        <v>5950</v>
      </c>
      <c r="N251">
        <v>4900</v>
      </c>
      <c r="O251">
        <v>1050</v>
      </c>
      <c r="P251" t="s">
        <v>43</v>
      </c>
      <c r="Q251" t="s">
        <v>44</v>
      </c>
      <c r="R251" t="s">
        <v>45</v>
      </c>
      <c r="S251" t="s">
        <v>46</v>
      </c>
      <c r="T251" t="s">
        <v>33</v>
      </c>
      <c r="U251" t="s">
        <v>48</v>
      </c>
      <c r="V251">
        <v>1</v>
      </c>
      <c r="W251">
        <f>Table1[[#This Row],[Profit]]/Table1[[#This Row],[Sales]]</f>
        <v>0.17647058823529413</v>
      </c>
    </row>
    <row r="252" spans="1:23" x14ac:dyDescent="0.25">
      <c r="A252" t="s">
        <v>736</v>
      </c>
      <c r="B252" s="1">
        <v>45831</v>
      </c>
      <c r="C252" t="s">
        <v>122</v>
      </c>
      <c r="D252" t="s">
        <v>737</v>
      </c>
      <c r="E252" t="s">
        <v>38</v>
      </c>
      <c r="F252" t="s">
        <v>39</v>
      </c>
      <c r="G252" t="s">
        <v>40</v>
      </c>
      <c r="H252" t="s">
        <v>41</v>
      </c>
      <c r="I252" t="s">
        <v>42</v>
      </c>
      <c r="J252">
        <v>4</v>
      </c>
      <c r="K252">
        <v>4500</v>
      </c>
      <c r="L252">
        <v>15</v>
      </c>
      <c r="M252">
        <v>15300</v>
      </c>
      <c r="N252">
        <v>12600</v>
      </c>
      <c r="O252">
        <v>2700</v>
      </c>
      <c r="P252" t="s">
        <v>95</v>
      </c>
      <c r="Q252" t="s">
        <v>96</v>
      </c>
      <c r="R252" t="s">
        <v>45</v>
      </c>
      <c r="S252" t="s">
        <v>46</v>
      </c>
      <c r="T252" t="s">
        <v>33</v>
      </c>
      <c r="U252" t="s">
        <v>34</v>
      </c>
      <c r="V252">
        <v>1</v>
      </c>
      <c r="W252">
        <f>Table1[[#This Row],[Profit]]/Table1[[#This Row],[Sales]]</f>
        <v>0.17647058823529413</v>
      </c>
    </row>
    <row r="253" spans="1:23" x14ac:dyDescent="0.25">
      <c r="A253" t="s">
        <v>738</v>
      </c>
      <c r="B253" s="1">
        <v>45901</v>
      </c>
      <c r="C253" t="s">
        <v>739</v>
      </c>
      <c r="D253" t="s">
        <v>740</v>
      </c>
      <c r="E253" t="s">
        <v>25</v>
      </c>
      <c r="F253" t="s">
        <v>26</v>
      </c>
      <c r="G253" t="s">
        <v>27</v>
      </c>
      <c r="H253" t="s">
        <v>28</v>
      </c>
      <c r="I253" t="s">
        <v>29</v>
      </c>
      <c r="J253">
        <v>5</v>
      </c>
      <c r="K253">
        <v>800</v>
      </c>
      <c r="L253">
        <v>10</v>
      </c>
      <c r="M253">
        <v>3600</v>
      </c>
      <c r="N253">
        <v>2800</v>
      </c>
      <c r="O253">
        <v>800</v>
      </c>
      <c r="P253" t="s">
        <v>95</v>
      </c>
      <c r="Q253" t="s">
        <v>96</v>
      </c>
      <c r="R253" t="s">
        <v>45</v>
      </c>
      <c r="S253" t="s">
        <v>32</v>
      </c>
      <c r="T253" t="s">
        <v>56</v>
      </c>
      <c r="U253" t="s">
        <v>34</v>
      </c>
      <c r="V253">
        <v>3</v>
      </c>
      <c r="W253">
        <f>Table1[[#This Row],[Profit]]/Table1[[#This Row],[Sales]]</f>
        <v>0.22222222222222221</v>
      </c>
    </row>
    <row r="254" spans="1:23" x14ac:dyDescent="0.25">
      <c r="A254" t="s">
        <v>741</v>
      </c>
      <c r="B254" s="1">
        <v>45966</v>
      </c>
      <c r="C254" t="s">
        <v>742</v>
      </c>
      <c r="D254" t="s">
        <v>743</v>
      </c>
      <c r="E254" t="s">
        <v>73</v>
      </c>
      <c r="F254" t="s">
        <v>74</v>
      </c>
      <c r="G254" t="s">
        <v>27</v>
      </c>
      <c r="H254" t="s">
        <v>75</v>
      </c>
      <c r="I254" t="s">
        <v>76</v>
      </c>
      <c r="J254">
        <v>4</v>
      </c>
      <c r="K254">
        <v>3500</v>
      </c>
      <c r="L254">
        <v>10</v>
      </c>
      <c r="M254">
        <v>12600</v>
      </c>
      <c r="N254">
        <v>9800</v>
      </c>
      <c r="O254">
        <v>2800</v>
      </c>
      <c r="P254" t="s">
        <v>109</v>
      </c>
      <c r="Q254" t="s">
        <v>110</v>
      </c>
      <c r="R254" t="s">
        <v>111</v>
      </c>
      <c r="S254" t="s">
        <v>60</v>
      </c>
      <c r="T254" t="s">
        <v>56</v>
      </c>
      <c r="U254" t="s">
        <v>34</v>
      </c>
      <c r="V254">
        <v>4</v>
      </c>
      <c r="W254">
        <f>Table1[[#This Row],[Profit]]/Table1[[#This Row],[Sales]]</f>
        <v>0.22222222222222221</v>
      </c>
    </row>
    <row r="255" spans="1:23" x14ac:dyDescent="0.25">
      <c r="A255" t="s">
        <v>744</v>
      </c>
      <c r="B255" s="1">
        <v>45836</v>
      </c>
      <c r="C255" t="s">
        <v>745</v>
      </c>
      <c r="D255" t="s">
        <v>746</v>
      </c>
      <c r="E255" t="s">
        <v>25</v>
      </c>
      <c r="F255" t="s">
        <v>26</v>
      </c>
      <c r="G255" t="s">
        <v>27</v>
      </c>
      <c r="H255" t="s">
        <v>28</v>
      </c>
      <c r="I255" t="s">
        <v>29</v>
      </c>
      <c r="J255">
        <v>4</v>
      </c>
      <c r="K255">
        <v>800</v>
      </c>
      <c r="L255">
        <v>10</v>
      </c>
      <c r="M255">
        <v>2880</v>
      </c>
      <c r="N255">
        <v>2240</v>
      </c>
      <c r="O255">
        <v>640</v>
      </c>
      <c r="P255" t="s">
        <v>95</v>
      </c>
      <c r="Q255" t="s">
        <v>96</v>
      </c>
      <c r="R255" t="s">
        <v>45</v>
      </c>
      <c r="S255" t="s">
        <v>60</v>
      </c>
      <c r="T255" t="s">
        <v>56</v>
      </c>
      <c r="U255" t="s">
        <v>48</v>
      </c>
      <c r="V255">
        <v>2</v>
      </c>
      <c r="W255">
        <f>Table1[[#This Row],[Profit]]/Table1[[#This Row],[Sales]]</f>
        <v>0.22222222222222221</v>
      </c>
    </row>
    <row r="256" spans="1:23" x14ac:dyDescent="0.25">
      <c r="A256" t="s">
        <v>747</v>
      </c>
      <c r="B256" s="1">
        <v>45789</v>
      </c>
      <c r="C256" t="s">
        <v>748</v>
      </c>
      <c r="D256" t="s">
        <v>209</v>
      </c>
      <c r="E256" t="s">
        <v>67</v>
      </c>
      <c r="F256" t="s">
        <v>68</v>
      </c>
      <c r="G256" t="s">
        <v>27</v>
      </c>
      <c r="H256" t="s">
        <v>28</v>
      </c>
      <c r="I256" t="s">
        <v>69</v>
      </c>
      <c r="J256">
        <v>4</v>
      </c>
      <c r="K256">
        <v>1500</v>
      </c>
      <c r="L256">
        <v>15</v>
      </c>
      <c r="M256">
        <v>5100</v>
      </c>
      <c r="N256">
        <v>4200</v>
      </c>
      <c r="O256">
        <v>900</v>
      </c>
      <c r="P256" t="s">
        <v>95</v>
      </c>
      <c r="Q256" t="s">
        <v>96</v>
      </c>
      <c r="R256" t="s">
        <v>45</v>
      </c>
      <c r="S256" t="s">
        <v>60</v>
      </c>
      <c r="T256" t="s">
        <v>56</v>
      </c>
      <c r="U256" t="s">
        <v>34</v>
      </c>
      <c r="V256">
        <v>2</v>
      </c>
      <c r="W256">
        <f>Table1[[#This Row],[Profit]]/Table1[[#This Row],[Sales]]</f>
        <v>0.17647058823529413</v>
      </c>
    </row>
    <row r="257" spans="1:23" x14ac:dyDescent="0.25">
      <c r="A257" t="s">
        <v>749</v>
      </c>
      <c r="B257" s="1">
        <v>45805</v>
      </c>
      <c r="C257" t="s">
        <v>750</v>
      </c>
      <c r="D257" t="s">
        <v>751</v>
      </c>
      <c r="E257" t="s">
        <v>25</v>
      </c>
      <c r="F257" t="s">
        <v>26</v>
      </c>
      <c r="G257" t="s">
        <v>27</v>
      </c>
      <c r="H257" t="s">
        <v>28</v>
      </c>
      <c r="I257" t="s">
        <v>29</v>
      </c>
      <c r="J257">
        <v>2</v>
      </c>
      <c r="K257">
        <v>800</v>
      </c>
      <c r="L257">
        <v>15</v>
      </c>
      <c r="M257">
        <v>1360</v>
      </c>
      <c r="N257">
        <v>1120</v>
      </c>
      <c r="O257">
        <v>240</v>
      </c>
      <c r="P257" t="s">
        <v>43</v>
      </c>
      <c r="Q257" t="s">
        <v>44</v>
      </c>
      <c r="R257" t="s">
        <v>45</v>
      </c>
      <c r="S257" t="s">
        <v>60</v>
      </c>
      <c r="T257" t="s">
        <v>47</v>
      </c>
      <c r="U257" t="s">
        <v>48</v>
      </c>
      <c r="V257">
        <v>2</v>
      </c>
      <c r="W257">
        <f>Table1[[#This Row],[Profit]]/Table1[[#This Row],[Sales]]</f>
        <v>0.17647058823529413</v>
      </c>
    </row>
    <row r="258" spans="1:23" x14ac:dyDescent="0.25">
      <c r="A258" t="s">
        <v>752</v>
      </c>
      <c r="B258" s="1">
        <v>45979</v>
      </c>
      <c r="C258" t="s">
        <v>753</v>
      </c>
      <c r="D258" t="s">
        <v>595</v>
      </c>
      <c r="E258" t="s">
        <v>25</v>
      </c>
      <c r="F258" t="s">
        <v>26</v>
      </c>
      <c r="G258" t="s">
        <v>27</v>
      </c>
      <c r="H258" t="s">
        <v>28</v>
      </c>
      <c r="I258" t="s">
        <v>29</v>
      </c>
      <c r="J258">
        <v>3</v>
      </c>
      <c r="K258">
        <v>800</v>
      </c>
      <c r="L258">
        <v>15</v>
      </c>
      <c r="M258">
        <v>2040</v>
      </c>
      <c r="N258">
        <v>1680</v>
      </c>
      <c r="O258">
        <v>360</v>
      </c>
      <c r="P258" t="s">
        <v>30</v>
      </c>
      <c r="Q258" t="s">
        <v>30</v>
      </c>
      <c r="R258" t="s">
        <v>31</v>
      </c>
      <c r="S258" t="s">
        <v>60</v>
      </c>
      <c r="T258" t="s">
        <v>47</v>
      </c>
      <c r="U258" t="s">
        <v>34</v>
      </c>
      <c r="V258">
        <v>1</v>
      </c>
      <c r="W258">
        <f>Table1[[#This Row],[Profit]]/Table1[[#This Row],[Sales]]</f>
        <v>0.17647058823529413</v>
      </c>
    </row>
    <row r="259" spans="1:23" x14ac:dyDescent="0.25">
      <c r="A259" t="s">
        <v>754</v>
      </c>
      <c r="B259" s="1">
        <v>45679</v>
      </c>
      <c r="C259" t="s">
        <v>755</v>
      </c>
      <c r="D259" t="s">
        <v>756</v>
      </c>
      <c r="E259" t="s">
        <v>73</v>
      </c>
      <c r="F259" t="s">
        <v>74</v>
      </c>
      <c r="G259" t="s">
        <v>27</v>
      </c>
      <c r="H259" t="s">
        <v>75</v>
      </c>
      <c r="I259" t="s">
        <v>76</v>
      </c>
      <c r="J259">
        <v>5</v>
      </c>
      <c r="K259">
        <v>3500</v>
      </c>
      <c r="L259">
        <v>10</v>
      </c>
      <c r="M259">
        <v>15750</v>
      </c>
      <c r="N259">
        <v>12250</v>
      </c>
      <c r="O259">
        <v>3500</v>
      </c>
      <c r="P259" t="s">
        <v>109</v>
      </c>
      <c r="Q259" t="s">
        <v>110</v>
      </c>
      <c r="R259" t="s">
        <v>111</v>
      </c>
      <c r="S259" t="s">
        <v>46</v>
      </c>
      <c r="T259" t="s">
        <v>33</v>
      </c>
      <c r="U259" t="s">
        <v>48</v>
      </c>
      <c r="V259">
        <v>5</v>
      </c>
      <c r="W259">
        <f>Table1[[#This Row],[Profit]]/Table1[[#This Row],[Sales]]</f>
        <v>0.22222222222222221</v>
      </c>
    </row>
    <row r="260" spans="1:23" x14ac:dyDescent="0.25">
      <c r="A260" t="s">
        <v>757</v>
      </c>
      <c r="B260" s="1">
        <v>45988</v>
      </c>
      <c r="C260" t="s">
        <v>758</v>
      </c>
      <c r="D260" t="s">
        <v>759</v>
      </c>
      <c r="E260" t="s">
        <v>38</v>
      </c>
      <c r="F260" t="s">
        <v>39</v>
      </c>
      <c r="G260" t="s">
        <v>40</v>
      </c>
      <c r="H260" t="s">
        <v>41</v>
      </c>
      <c r="I260" t="s">
        <v>42</v>
      </c>
      <c r="J260">
        <v>4</v>
      </c>
      <c r="K260">
        <v>4500</v>
      </c>
      <c r="L260">
        <v>0</v>
      </c>
      <c r="M260">
        <v>18000</v>
      </c>
      <c r="N260">
        <v>12600</v>
      </c>
      <c r="O260">
        <v>5400</v>
      </c>
      <c r="P260" t="s">
        <v>109</v>
      </c>
      <c r="Q260" t="s">
        <v>110</v>
      </c>
      <c r="R260" t="s">
        <v>111</v>
      </c>
      <c r="S260" t="s">
        <v>32</v>
      </c>
      <c r="T260" t="s">
        <v>56</v>
      </c>
      <c r="U260" t="s">
        <v>48</v>
      </c>
      <c r="V260">
        <v>1</v>
      </c>
      <c r="W260">
        <f>Table1[[#This Row],[Profit]]/Table1[[#This Row],[Sales]]</f>
        <v>0.3</v>
      </c>
    </row>
    <row r="261" spans="1:23" x14ac:dyDescent="0.25">
      <c r="A261" t="s">
        <v>760</v>
      </c>
      <c r="B261" s="1">
        <v>45714</v>
      </c>
      <c r="C261" t="s">
        <v>761</v>
      </c>
      <c r="D261" t="s">
        <v>762</v>
      </c>
      <c r="E261" t="s">
        <v>38</v>
      </c>
      <c r="F261" t="s">
        <v>39</v>
      </c>
      <c r="G261" t="s">
        <v>40</v>
      </c>
      <c r="H261" t="s">
        <v>41</v>
      </c>
      <c r="I261" t="s">
        <v>42</v>
      </c>
      <c r="J261">
        <v>2</v>
      </c>
      <c r="K261">
        <v>4500</v>
      </c>
      <c r="L261">
        <v>5</v>
      </c>
      <c r="M261">
        <v>8550</v>
      </c>
      <c r="N261">
        <v>6300</v>
      </c>
      <c r="O261">
        <v>2250</v>
      </c>
      <c r="P261" t="s">
        <v>43</v>
      </c>
      <c r="Q261" t="s">
        <v>44</v>
      </c>
      <c r="R261" t="s">
        <v>45</v>
      </c>
      <c r="S261" t="s">
        <v>46</v>
      </c>
      <c r="T261" t="s">
        <v>56</v>
      </c>
      <c r="U261" t="s">
        <v>48</v>
      </c>
      <c r="V261">
        <v>2</v>
      </c>
      <c r="W261">
        <f>Table1[[#This Row],[Profit]]/Table1[[#This Row],[Sales]]</f>
        <v>0.26315789473684209</v>
      </c>
    </row>
    <row r="262" spans="1:23" x14ac:dyDescent="0.25">
      <c r="A262" t="s">
        <v>763</v>
      </c>
      <c r="B262" s="1">
        <v>45726</v>
      </c>
      <c r="C262" t="s">
        <v>764</v>
      </c>
      <c r="D262" t="s">
        <v>349</v>
      </c>
      <c r="E262" t="s">
        <v>52</v>
      </c>
      <c r="F262" t="s">
        <v>53</v>
      </c>
      <c r="G262" t="s">
        <v>27</v>
      </c>
      <c r="H262" t="s">
        <v>54</v>
      </c>
      <c r="I262" t="s">
        <v>55</v>
      </c>
      <c r="J262">
        <v>2</v>
      </c>
      <c r="K262">
        <v>55000</v>
      </c>
      <c r="L262">
        <v>15</v>
      </c>
      <c r="M262">
        <v>93500</v>
      </c>
      <c r="N262">
        <v>77000</v>
      </c>
      <c r="O262">
        <v>16500</v>
      </c>
      <c r="P262" t="s">
        <v>109</v>
      </c>
      <c r="Q262" t="s">
        <v>110</v>
      </c>
      <c r="R262" t="s">
        <v>111</v>
      </c>
      <c r="S262" t="s">
        <v>32</v>
      </c>
      <c r="T262" t="s">
        <v>33</v>
      </c>
      <c r="U262" t="s">
        <v>48</v>
      </c>
      <c r="V262">
        <v>5</v>
      </c>
      <c r="W262">
        <f>Table1[[#This Row],[Profit]]/Table1[[#This Row],[Sales]]</f>
        <v>0.17647058823529413</v>
      </c>
    </row>
    <row r="263" spans="1:23" x14ac:dyDescent="0.25">
      <c r="A263" t="s">
        <v>765</v>
      </c>
      <c r="B263" s="1">
        <v>45796</v>
      </c>
      <c r="C263" t="s">
        <v>766</v>
      </c>
      <c r="D263" t="s">
        <v>679</v>
      </c>
      <c r="E263" t="s">
        <v>52</v>
      </c>
      <c r="F263" t="s">
        <v>53</v>
      </c>
      <c r="G263" t="s">
        <v>27</v>
      </c>
      <c r="H263" t="s">
        <v>54</v>
      </c>
      <c r="I263" t="s">
        <v>55</v>
      </c>
      <c r="J263">
        <v>2</v>
      </c>
      <c r="K263">
        <v>55000</v>
      </c>
      <c r="L263">
        <v>15</v>
      </c>
      <c r="M263">
        <v>93500</v>
      </c>
      <c r="N263">
        <v>77000</v>
      </c>
      <c r="O263">
        <v>16500</v>
      </c>
      <c r="P263" t="s">
        <v>95</v>
      </c>
      <c r="Q263" t="s">
        <v>96</v>
      </c>
      <c r="R263" t="s">
        <v>45</v>
      </c>
      <c r="S263" t="s">
        <v>60</v>
      </c>
      <c r="T263" t="s">
        <v>47</v>
      </c>
      <c r="U263" t="s">
        <v>34</v>
      </c>
      <c r="V263">
        <v>5</v>
      </c>
      <c r="W263">
        <f>Table1[[#This Row],[Profit]]/Table1[[#This Row],[Sales]]</f>
        <v>0.17647058823529413</v>
      </c>
    </row>
    <row r="264" spans="1:23" x14ac:dyDescent="0.25">
      <c r="A264" t="s">
        <v>767</v>
      </c>
      <c r="B264" s="1">
        <v>45895</v>
      </c>
      <c r="C264" t="s">
        <v>768</v>
      </c>
      <c r="D264" t="s">
        <v>200</v>
      </c>
      <c r="E264" t="s">
        <v>25</v>
      </c>
      <c r="F264" t="s">
        <v>26</v>
      </c>
      <c r="G264" t="s">
        <v>27</v>
      </c>
      <c r="H264" t="s">
        <v>28</v>
      </c>
      <c r="I264" t="s">
        <v>29</v>
      </c>
      <c r="J264">
        <v>2</v>
      </c>
      <c r="K264">
        <v>800</v>
      </c>
      <c r="L264">
        <v>5</v>
      </c>
      <c r="M264">
        <v>1520</v>
      </c>
      <c r="N264">
        <v>1120</v>
      </c>
      <c r="O264">
        <v>400</v>
      </c>
      <c r="P264" t="s">
        <v>30</v>
      </c>
      <c r="Q264" t="s">
        <v>30</v>
      </c>
      <c r="R264" t="s">
        <v>31</v>
      </c>
      <c r="S264" t="s">
        <v>32</v>
      </c>
      <c r="T264" t="s">
        <v>33</v>
      </c>
      <c r="U264" t="s">
        <v>48</v>
      </c>
      <c r="V264">
        <v>5</v>
      </c>
      <c r="W264">
        <f>Table1[[#This Row],[Profit]]/Table1[[#This Row],[Sales]]</f>
        <v>0.26315789473684209</v>
      </c>
    </row>
    <row r="265" spans="1:23" x14ac:dyDescent="0.25">
      <c r="A265" t="s">
        <v>769</v>
      </c>
      <c r="B265" s="1">
        <v>45909</v>
      </c>
      <c r="C265" t="s">
        <v>770</v>
      </c>
      <c r="D265" t="s">
        <v>63</v>
      </c>
      <c r="E265" t="s">
        <v>38</v>
      </c>
      <c r="F265" t="s">
        <v>39</v>
      </c>
      <c r="G265" t="s">
        <v>40</v>
      </c>
      <c r="H265" t="s">
        <v>41</v>
      </c>
      <c r="I265" t="s">
        <v>42</v>
      </c>
      <c r="J265">
        <v>3</v>
      </c>
      <c r="K265">
        <v>4500</v>
      </c>
      <c r="L265">
        <v>10</v>
      </c>
      <c r="M265">
        <v>12150</v>
      </c>
      <c r="N265">
        <v>9450</v>
      </c>
      <c r="O265">
        <v>2700</v>
      </c>
      <c r="P265" t="s">
        <v>43</v>
      </c>
      <c r="Q265" t="s">
        <v>44</v>
      </c>
      <c r="R265" t="s">
        <v>45</v>
      </c>
      <c r="S265" t="s">
        <v>46</v>
      </c>
      <c r="T265" t="s">
        <v>33</v>
      </c>
      <c r="U265" t="s">
        <v>34</v>
      </c>
      <c r="V265">
        <v>3</v>
      </c>
      <c r="W265">
        <f>Table1[[#This Row],[Profit]]/Table1[[#This Row],[Sales]]</f>
        <v>0.22222222222222221</v>
      </c>
    </row>
    <row r="266" spans="1:23" x14ac:dyDescent="0.25">
      <c r="A266" t="s">
        <v>771</v>
      </c>
      <c r="B266" s="1">
        <v>45914</v>
      </c>
      <c r="C266" t="s">
        <v>585</v>
      </c>
      <c r="D266" t="s">
        <v>684</v>
      </c>
      <c r="E266" t="s">
        <v>38</v>
      </c>
      <c r="F266" t="s">
        <v>39</v>
      </c>
      <c r="G266" t="s">
        <v>40</v>
      </c>
      <c r="H266" t="s">
        <v>41</v>
      </c>
      <c r="I266" t="s">
        <v>42</v>
      </c>
      <c r="J266">
        <v>2</v>
      </c>
      <c r="K266">
        <v>4500</v>
      </c>
      <c r="L266">
        <v>10</v>
      </c>
      <c r="M266">
        <v>8100</v>
      </c>
      <c r="N266">
        <v>6300</v>
      </c>
      <c r="O266">
        <v>1800</v>
      </c>
      <c r="P266" t="s">
        <v>30</v>
      </c>
      <c r="Q266" t="s">
        <v>30</v>
      </c>
      <c r="R266" t="s">
        <v>31</v>
      </c>
      <c r="S266" t="s">
        <v>60</v>
      </c>
      <c r="T266" t="s">
        <v>33</v>
      </c>
      <c r="U266" t="s">
        <v>34</v>
      </c>
      <c r="V266">
        <v>2</v>
      </c>
      <c r="W266">
        <f>Table1[[#This Row],[Profit]]/Table1[[#This Row],[Sales]]</f>
        <v>0.22222222222222221</v>
      </c>
    </row>
    <row r="267" spans="1:23" x14ac:dyDescent="0.25">
      <c r="A267" t="s">
        <v>772</v>
      </c>
      <c r="B267" s="1">
        <v>45700</v>
      </c>
      <c r="C267" t="s">
        <v>773</v>
      </c>
      <c r="D267" t="s">
        <v>220</v>
      </c>
      <c r="E267" t="s">
        <v>52</v>
      </c>
      <c r="F267" t="s">
        <v>53</v>
      </c>
      <c r="G267" t="s">
        <v>27</v>
      </c>
      <c r="H267" t="s">
        <v>54</v>
      </c>
      <c r="I267" t="s">
        <v>55</v>
      </c>
      <c r="J267">
        <v>3</v>
      </c>
      <c r="K267">
        <v>55000</v>
      </c>
      <c r="L267">
        <v>15</v>
      </c>
      <c r="M267">
        <v>140250</v>
      </c>
      <c r="N267">
        <v>115500</v>
      </c>
      <c r="O267">
        <v>24750.000000000011</v>
      </c>
      <c r="P267" t="s">
        <v>30</v>
      </c>
      <c r="Q267" t="s">
        <v>30</v>
      </c>
      <c r="R267" t="s">
        <v>31</v>
      </c>
      <c r="S267" t="s">
        <v>46</v>
      </c>
      <c r="T267" t="s">
        <v>33</v>
      </c>
      <c r="U267" t="s">
        <v>48</v>
      </c>
      <c r="V267">
        <v>1</v>
      </c>
      <c r="W267">
        <f>Table1[[#This Row],[Profit]]/Table1[[#This Row],[Sales]]</f>
        <v>0.17647058823529418</v>
      </c>
    </row>
    <row r="268" spans="1:23" x14ac:dyDescent="0.25">
      <c r="A268" t="s">
        <v>774</v>
      </c>
      <c r="B268" s="1">
        <v>45970</v>
      </c>
      <c r="C268" t="s">
        <v>775</v>
      </c>
      <c r="D268" t="s">
        <v>776</v>
      </c>
      <c r="E268" t="s">
        <v>25</v>
      </c>
      <c r="F268" t="s">
        <v>26</v>
      </c>
      <c r="G268" t="s">
        <v>27</v>
      </c>
      <c r="H268" t="s">
        <v>28</v>
      </c>
      <c r="I268" t="s">
        <v>29</v>
      </c>
      <c r="J268">
        <v>3</v>
      </c>
      <c r="K268">
        <v>800</v>
      </c>
      <c r="L268">
        <v>5</v>
      </c>
      <c r="M268">
        <v>2280</v>
      </c>
      <c r="N268">
        <v>1680</v>
      </c>
      <c r="O268">
        <v>600</v>
      </c>
      <c r="P268" t="s">
        <v>30</v>
      </c>
      <c r="Q268" t="s">
        <v>30</v>
      </c>
      <c r="R268" t="s">
        <v>31</v>
      </c>
      <c r="S268" t="s">
        <v>46</v>
      </c>
      <c r="T268" t="s">
        <v>33</v>
      </c>
      <c r="U268" t="s">
        <v>34</v>
      </c>
      <c r="V268">
        <v>1</v>
      </c>
      <c r="W268">
        <f>Table1[[#This Row],[Profit]]/Table1[[#This Row],[Sales]]</f>
        <v>0.26315789473684209</v>
      </c>
    </row>
    <row r="269" spans="1:23" x14ac:dyDescent="0.25">
      <c r="A269" t="s">
        <v>777</v>
      </c>
      <c r="B269" s="1">
        <v>45747</v>
      </c>
      <c r="C269" t="s">
        <v>778</v>
      </c>
      <c r="D269" t="s">
        <v>515</v>
      </c>
      <c r="E269" t="s">
        <v>67</v>
      </c>
      <c r="F269" t="s">
        <v>68</v>
      </c>
      <c r="G269" t="s">
        <v>27</v>
      </c>
      <c r="H269" t="s">
        <v>28</v>
      </c>
      <c r="I269" t="s">
        <v>69</v>
      </c>
      <c r="J269">
        <v>1</v>
      </c>
      <c r="K269">
        <v>1500</v>
      </c>
      <c r="L269">
        <v>15</v>
      </c>
      <c r="M269">
        <v>1275</v>
      </c>
      <c r="N269">
        <v>1050</v>
      </c>
      <c r="O269">
        <v>225</v>
      </c>
      <c r="P269" t="s">
        <v>43</v>
      </c>
      <c r="Q269" t="s">
        <v>44</v>
      </c>
      <c r="R269" t="s">
        <v>45</v>
      </c>
      <c r="S269" t="s">
        <v>46</v>
      </c>
      <c r="T269" t="s">
        <v>47</v>
      </c>
      <c r="U269" t="s">
        <v>48</v>
      </c>
      <c r="V269">
        <v>3</v>
      </c>
      <c r="W269">
        <f>Table1[[#This Row],[Profit]]/Table1[[#This Row],[Sales]]</f>
        <v>0.17647058823529413</v>
      </c>
    </row>
    <row r="270" spans="1:23" x14ac:dyDescent="0.25">
      <c r="A270" t="s">
        <v>779</v>
      </c>
      <c r="B270" s="1">
        <v>45708</v>
      </c>
      <c r="C270" t="s">
        <v>236</v>
      </c>
      <c r="D270" t="s">
        <v>91</v>
      </c>
      <c r="E270" t="s">
        <v>25</v>
      </c>
      <c r="F270" t="s">
        <v>26</v>
      </c>
      <c r="G270" t="s">
        <v>27</v>
      </c>
      <c r="H270" t="s">
        <v>28</v>
      </c>
      <c r="I270" t="s">
        <v>29</v>
      </c>
      <c r="J270">
        <v>4</v>
      </c>
      <c r="K270">
        <v>800</v>
      </c>
      <c r="L270">
        <v>0</v>
      </c>
      <c r="M270">
        <v>3200</v>
      </c>
      <c r="N270">
        <v>2240</v>
      </c>
      <c r="O270">
        <v>960</v>
      </c>
      <c r="P270" t="s">
        <v>95</v>
      </c>
      <c r="Q270" t="s">
        <v>96</v>
      </c>
      <c r="R270" t="s">
        <v>45</v>
      </c>
      <c r="S270" t="s">
        <v>32</v>
      </c>
      <c r="T270" t="s">
        <v>56</v>
      </c>
      <c r="U270" t="s">
        <v>34</v>
      </c>
      <c r="V270">
        <v>3</v>
      </c>
      <c r="W270">
        <f>Table1[[#This Row],[Profit]]/Table1[[#This Row],[Sales]]</f>
        <v>0.3</v>
      </c>
    </row>
    <row r="271" spans="1:23" x14ac:dyDescent="0.25">
      <c r="A271" t="s">
        <v>780</v>
      </c>
      <c r="B271" s="1">
        <v>45872</v>
      </c>
      <c r="C271" t="s">
        <v>275</v>
      </c>
      <c r="D271" t="s">
        <v>781</v>
      </c>
      <c r="E271" t="s">
        <v>25</v>
      </c>
      <c r="F271" t="s">
        <v>26</v>
      </c>
      <c r="G271" t="s">
        <v>27</v>
      </c>
      <c r="H271" t="s">
        <v>28</v>
      </c>
      <c r="I271" t="s">
        <v>29</v>
      </c>
      <c r="J271">
        <v>4</v>
      </c>
      <c r="K271">
        <v>800</v>
      </c>
      <c r="L271">
        <v>0</v>
      </c>
      <c r="M271">
        <v>3200</v>
      </c>
      <c r="N271">
        <v>2240</v>
      </c>
      <c r="O271">
        <v>960</v>
      </c>
      <c r="P271" t="s">
        <v>95</v>
      </c>
      <c r="Q271" t="s">
        <v>96</v>
      </c>
      <c r="R271" t="s">
        <v>45</v>
      </c>
      <c r="S271" t="s">
        <v>32</v>
      </c>
      <c r="T271" t="s">
        <v>47</v>
      </c>
      <c r="U271" t="s">
        <v>48</v>
      </c>
      <c r="V271">
        <v>4</v>
      </c>
      <c r="W271">
        <f>Table1[[#This Row],[Profit]]/Table1[[#This Row],[Sales]]</f>
        <v>0.3</v>
      </c>
    </row>
    <row r="272" spans="1:23" x14ac:dyDescent="0.25">
      <c r="A272" t="s">
        <v>782</v>
      </c>
      <c r="B272" s="1">
        <v>45854</v>
      </c>
      <c r="C272" t="s">
        <v>783</v>
      </c>
      <c r="D272" t="s">
        <v>37</v>
      </c>
      <c r="E272" t="s">
        <v>38</v>
      </c>
      <c r="F272" t="s">
        <v>39</v>
      </c>
      <c r="G272" t="s">
        <v>40</v>
      </c>
      <c r="H272" t="s">
        <v>41</v>
      </c>
      <c r="I272" t="s">
        <v>42</v>
      </c>
      <c r="J272">
        <v>5</v>
      </c>
      <c r="K272">
        <v>4500</v>
      </c>
      <c r="L272">
        <v>0</v>
      </c>
      <c r="M272">
        <v>22500</v>
      </c>
      <c r="N272">
        <v>15750</v>
      </c>
      <c r="O272">
        <v>6750.0000000000018</v>
      </c>
      <c r="P272" t="s">
        <v>30</v>
      </c>
      <c r="Q272" t="s">
        <v>30</v>
      </c>
      <c r="R272" t="s">
        <v>31</v>
      </c>
      <c r="S272" t="s">
        <v>46</v>
      </c>
      <c r="T272" t="s">
        <v>33</v>
      </c>
      <c r="U272" t="s">
        <v>34</v>
      </c>
      <c r="V272">
        <v>3</v>
      </c>
      <c r="W272">
        <f>Table1[[#This Row],[Profit]]/Table1[[#This Row],[Sales]]</f>
        <v>0.3000000000000001</v>
      </c>
    </row>
    <row r="273" spans="1:23" x14ac:dyDescent="0.25">
      <c r="A273" t="s">
        <v>784</v>
      </c>
      <c r="B273" s="1">
        <v>45711</v>
      </c>
      <c r="C273" t="s">
        <v>785</v>
      </c>
      <c r="D273" t="s">
        <v>776</v>
      </c>
      <c r="E273" t="s">
        <v>67</v>
      </c>
      <c r="F273" t="s">
        <v>68</v>
      </c>
      <c r="G273" t="s">
        <v>27</v>
      </c>
      <c r="H273" t="s">
        <v>28</v>
      </c>
      <c r="I273" t="s">
        <v>69</v>
      </c>
      <c r="J273">
        <v>4</v>
      </c>
      <c r="K273">
        <v>1500</v>
      </c>
      <c r="L273">
        <v>15</v>
      </c>
      <c r="M273">
        <v>5100</v>
      </c>
      <c r="N273">
        <v>4200</v>
      </c>
      <c r="O273">
        <v>900</v>
      </c>
      <c r="P273" t="s">
        <v>95</v>
      </c>
      <c r="Q273" t="s">
        <v>96</v>
      </c>
      <c r="R273" t="s">
        <v>45</v>
      </c>
      <c r="S273" t="s">
        <v>32</v>
      </c>
      <c r="T273" t="s">
        <v>33</v>
      </c>
      <c r="U273" t="s">
        <v>48</v>
      </c>
      <c r="V273">
        <v>1</v>
      </c>
      <c r="W273">
        <f>Table1[[#This Row],[Profit]]/Table1[[#This Row],[Sales]]</f>
        <v>0.17647058823529413</v>
      </c>
    </row>
    <row r="274" spans="1:23" x14ac:dyDescent="0.25">
      <c r="A274" t="s">
        <v>786</v>
      </c>
      <c r="B274" s="1">
        <v>45949</v>
      </c>
      <c r="C274" t="s">
        <v>787</v>
      </c>
      <c r="D274" t="s">
        <v>788</v>
      </c>
      <c r="E274" t="s">
        <v>38</v>
      </c>
      <c r="F274" t="s">
        <v>39</v>
      </c>
      <c r="G274" t="s">
        <v>40</v>
      </c>
      <c r="H274" t="s">
        <v>41</v>
      </c>
      <c r="I274" t="s">
        <v>42</v>
      </c>
      <c r="J274">
        <v>5</v>
      </c>
      <c r="K274">
        <v>4500</v>
      </c>
      <c r="L274">
        <v>0</v>
      </c>
      <c r="M274">
        <v>22500</v>
      </c>
      <c r="N274">
        <v>15750</v>
      </c>
      <c r="O274">
        <v>6750.0000000000018</v>
      </c>
      <c r="P274" t="s">
        <v>95</v>
      </c>
      <c r="Q274" t="s">
        <v>96</v>
      </c>
      <c r="R274" t="s">
        <v>45</v>
      </c>
      <c r="S274" t="s">
        <v>60</v>
      </c>
      <c r="T274" t="s">
        <v>47</v>
      </c>
      <c r="U274" t="s">
        <v>34</v>
      </c>
      <c r="V274">
        <v>2</v>
      </c>
      <c r="W274">
        <f>Table1[[#This Row],[Profit]]/Table1[[#This Row],[Sales]]</f>
        <v>0.3000000000000001</v>
      </c>
    </row>
    <row r="275" spans="1:23" x14ac:dyDescent="0.25">
      <c r="A275" t="s">
        <v>789</v>
      </c>
      <c r="B275" s="1">
        <v>45884</v>
      </c>
      <c r="C275" t="s">
        <v>790</v>
      </c>
      <c r="D275" t="s">
        <v>791</v>
      </c>
      <c r="E275" t="s">
        <v>67</v>
      </c>
      <c r="F275" t="s">
        <v>68</v>
      </c>
      <c r="G275" t="s">
        <v>27</v>
      </c>
      <c r="H275" t="s">
        <v>28</v>
      </c>
      <c r="I275" t="s">
        <v>69</v>
      </c>
      <c r="J275">
        <v>1</v>
      </c>
      <c r="K275">
        <v>1500</v>
      </c>
      <c r="L275">
        <v>15</v>
      </c>
      <c r="M275">
        <v>1275</v>
      </c>
      <c r="N275">
        <v>1050</v>
      </c>
      <c r="O275">
        <v>225</v>
      </c>
      <c r="P275" t="s">
        <v>43</v>
      </c>
      <c r="Q275" t="s">
        <v>44</v>
      </c>
      <c r="R275" t="s">
        <v>45</v>
      </c>
      <c r="S275" t="s">
        <v>32</v>
      </c>
      <c r="T275" t="s">
        <v>33</v>
      </c>
      <c r="U275" t="s">
        <v>34</v>
      </c>
      <c r="V275">
        <v>3</v>
      </c>
      <c r="W275">
        <f>Table1[[#This Row],[Profit]]/Table1[[#This Row],[Sales]]</f>
        <v>0.17647058823529413</v>
      </c>
    </row>
    <row r="276" spans="1:23" x14ac:dyDescent="0.25">
      <c r="A276" t="s">
        <v>792</v>
      </c>
      <c r="B276" s="1">
        <v>45952</v>
      </c>
      <c r="C276" t="s">
        <v>793</v>
      </c>
      <c r="D276" t="s">
        <v>690</v>
      </c>
      <c r="E276" t="s">
        <v>52</v>
      </c>
      <c r="F276" t="s">
        <v>53</v>
      </c>
      <c r="G276" t="s">
        <v>27</v>
      </c>
      <c r="H276" t="s">
        <v>54</v>
      </c>
      <c r="I276" t="s">
        <v>55</v>
      </c>
      <c r="J276">
        <v>4</v>
      </c>
      <c r="K276">
        <v>55000</v>
      </c>
      <c r="L276">
        <v>5</v>
      </c>
      <c r="M276">
        <v>209000</v>
      </c>
      <c r="N276">
        <v>154000</v>
      </c>
      <c r="O276">
        <v>55000</v>
      </c>
      <c r="P276" t="s">
        <v>109</v>
      </c>
      <c r="Q276" t="s">
        <v>110</v>
      </c>
      <c r="R276" t="s">
        <v>111</v>
      </c>
      <c r="S276" t="s">
        <v>32</v>
      </c>
      <c r="T276" t="s">
        <v>47</v>
      </c>
      <c r="U276" t="s">
        <v>48</v>
      </c>
      <c r="V276">
        <v>2</v>
      </c>
      <c r="W276">
        <f>Table1[[#This Row],[Profit]]/Table1[[#This Row],[Sales]]</f>
        <v>0.26315789473684209</v>
      </c>
    </row>
    <row r="277" spans="1:23" x14ac:dyDescent="0.25">
      <c r="A277" t="s">
        <v>794</v>
      </c>
      <c r="B277" s="1">
        <v>45849</v>
      </c>
      <c r="C277" t="s">
        <v>795</v>
      </c>
      <c r="D277" t="s">
        <v>796</v>
      </c>
      <c r="E277" t="s">
        <v>73</v>
      </c>
      <c r="F277" t="s">
        <v>74</v>
      </c>
      <c r="G277" t="s">
        <v>27</v>
      </c>
      <c r="H277" t="s">
        <v>75</v>
      </c>
      <c r="I277" t="s">
        <v>76</v>
      </c>
      <c r="J277">
        <v>2</v>
      </c>
      <c r="K277">
        <v>3500</v>
      </c>
      <c r="L277">
        <v>10</v>
      </c>
      <c r="M277">
        <v>6300</v>
      </c>
      <c r="N277">
        <v>4900</v>
      </c>
      <c r="O277">
        <v>1400</v>
      </c>
      <c r="P277" t="s">
        <v>30</v>
      </c>
      <c r="Q277" t="s">
        <v>30</v>
      </c>
      <c r="R277" t="s">
        <v>31</v>
      </c>
      <c r="S277" t="s">
        <v>46</v>
      </c>
      <c r="T277" t="s">
        <v>56</v>
      </c>
      <c r="U277" t="s">
        <v>48</v>
      </c>
      <c r="V277">
        <v>5</v>
      </c>
      <c r="W277">
        <f>Table1[[#This Row],[Profit]]/Table1[[#This Row],[Sales]]</f>
        <v>0.22222222222222221</v>
      </c>
    </row>
    <row r="278" spans="1:23" x14ac:dyDescent="0.25">
      <c r="A278" t="s">
        <v>797</v>
      </c>
      <c r="B278" s="1">
        <v>45748</v>
      </c>
      <c r="C278" t="s">
        <v>798</v>
      </c>
      <c r="D278" t="s">
        <v>159</v>
      </c>
      <c r="E278" t="s">
        <v>25</v>
      </c>
      <c r="F278" t="s">
        <v>26</v>
      </c>
      <c r="G278" t="s">
        <v>27</v>
      </c>
      <c r="H278" t="s">
        <v>28</v>
      </c>
      <c r="I278" t="s">
        <v>29</v>
      </c>
      <c r="J278">
        <v>3</v>
      </c>
      <c r="K278">
        <v>800</v>
      </c>
      <c r="L278">
        <v>15</v>
      </c>
      <c r="M278">
        <v>2040</v>
      </c>
      <c r="N278">
        <v>1680</v>
      </c>
      <c r="O278">
        <v>360</v>
      </c>
      <c r="P278" t="s">
        <v>43</v>
      </c>
      <c r="Q278" t="s">
        <v>44</v>
      </c>
      <c r="R278" t="s">
        <v>45</v>
      </c>
      <c r="S278" t="s">
        <v>46</v>
      </c>
      <c r="T278" t="s">
        <v>56</v>
      </c>
      <c r="U278" t="s">
        <v>48</v>
      </c>
      <c r="V278">
        <v>2</v>
      </c>
      <c r="W278">
        <f>Table1[[#This Row],[Profit]]/Table1[[#This Row],[Sales]]</f>
        <v>0.17647058823529413</v>
      </c>
    </row>
    <row r="279" spans="1:23" x14ac:dyDescent="0.25">
      <c r="A279" t="s">
        <v>799</v>
      </c>
      <c r="B279" s="1">
        <v>45739</v>
      </c>
      <c r="C279" t="s">
        <v>800</v>
      </c>
      <c r="D279" t="s">
        <v>495</v>
      </c>
      <c r="E279" t="s">
        <v>25</v>
      </c>
      <c r="F279" t="s">
        <v>26</v>
      </c>
      <c r="G279" t="s">
        <v>27</v>
      </c>
      <c r="H279" t="s">
        <v>28</v>
      </c>
      <c r="I279" t="s">
        <v>29</v>
      </c>
      <c r="J279">
        <v>1</v>
      </c>
      <c r="K279">
        <v>800</v>
      </c>
      <c r="L279">
        <v>10</v>
      </c>
      <c r="M279">
        <v>720</v>
      </c>
      <c r="N279">
        <v>560</v>
      </c>
      <c r="O279">
        <v>160</v>
      </c>
      <c r="P279" t="s">
        <v>43</v>
      </c>
      <c r="Q279" t="s">
        <v>44</v>
      </c>
      <c r="R279" t="s">
        <v>45</v>
      </c>
      <c r="S279" t="s">
        <v>32</v>
      </c>
      <c r="T279" t="s">
        <v>56</v>
      </c>
      <c r="U279" t="s">
        <v>48</v>
      </c>
      <c r="V279">
        <v>3</v>
      </c>
      <c r="W279">
        <f>Table1[[#This Row],[Profit]]/Table1[[#This Row],[Sales]]</f>
        <v>0.22222222222222221</v>
      </c>
    </row>
    <row r="280" spans="1:23" x14ac:dyDescent="0.25">
      <c r="A280" t="s">
        <v>801</v>
      </c>
      <c r="B280" s="1">
        <v>45772</v>
      </c>
      <c r="C280" t="s">
        <v>104</v>
      </c>
      <c r="D280" t="s">
        <v>424</v>
      </c>
      <c r="E280" t="s">
        <v>25</v>
      </c>
      <c r="F280" t="s">
        <v>26</v>
      </c>
      <c r="G280" t="s">
        <v>27</v>
      </c>
      <c r="H280" t="s">
        <v>28</v>
      </c>
      <c r="I280" t="s">
        <v>29</v>
      </c>
      <c r="J280">
        <v>3</v>
      </c>
      <c r="K280">
        <v>800</v>
      </c>
      <c r="L280">
        <v>15</v>
      </c>
      <c r="M280">
        <v>2040</v>
      </c>
      <c r="N280">
        <v>1680</v>
      </c>
      <c r="O280">
        <v>360</v>
      </c>
      <c r="P280" t="s">
        <v>95</v>
      </c>
      <c r="Q280" t="s">
        <v>96</v>
      </c>
      <c r="R280" t="s">
        <v>45</v>
      </c>
      <c r="S280" t="s">
        <v>32</v>
      </c>
      <c r="T280" t="s">
        <v>47</v>
      </c>
      <c r="U280" t="s">
        <v>34</v>
      </c>
      <c r="V280">
        <v>3</v>
      </c>
      <c r="W280">
        <f>Table1[[#This Row],[Profit]]/Table1[[#This Row],[Sales]]</f>
        <v>0.17647058823529413</v>
      </c>
    </row>
    <row r="281" spans="1:23" x14ac:dyDescent="0.25">
      <c r="A281" t="s">
        <v>802</v>
      </c>
      <c r="B281" s="1">
        <v>45882</v>
      </c>
      <c r="C281" t="s">
        <v>803</v>
      </c>
      <c r="D281" t="s">
        <v>804</v>
      </c>
      <c r="E281" t="s">
        <v>73</v>
      </c>
      <c r="F281" t="s">
        <v>74</v>
      </c>
      <c r="G281" t="s">
        <v>27</v>
      </c>
      <c r="H281" t="s">
        <v>75</v>
      </c>
      <c r="I281" t="s">
        <v>76</v>
      </c>
      <c r="J281">
        <v>1</v>
      </c>
      <c r="K281">
        <v>3500</v>
      </c>
      <c r="L281">
        <v>10</v>
      </c>
      <c r="M281">
        <v>3150</v>
      </c>
      <c r="N281">
        <v>2450</v>
      </c>
      <c r="O281">
        <v>700</v>
      </c>
      <c r="P281" t="s">
        <v>30</v>
      </c>
      <c r="Q281" t="s">
        <v>30</v>
      </c>
      <c r="R281" t="s">
        <v>31</v>
      </c>
      <c r="S281" t="s">
        <v>60</v>
      </c>
      <c r="T281" t="s">
        <v>56</v>
      </c>
      <c r="U281" t="s">
        <v>34</v>
      </c>
      <c r="V281">
        <v>2</v>
      </c>
      <c r="W281">
        <f>Table1[[#This Row],[Profit]]/Table1[[#This Row],[Sales]]</f>
        <v>0.22222222222222221</v>
      </c>
    </row>
    <row r="282" spans="1:23" x14ac:dyDescent="0.25">
      <c r="A282" t="s">
        <v>805</v>
      </c>
      <c r="B282" s="1">
        <v>45958</v>
      </c>
      <c r="C282" t="s">
        <v>806</v>
      </c>
      <c r="D282" t="s">
        <v>570</v>
      </c>
      <c r="E282" t="s">
        <v>67</v>
      </c>
      <c r="F282" t="s">
        <v>68</v>
      </c>
      <c r="G282" t="s">
        <v>27</v>
      </c>
      <c r="H282" t="s">
        <v>28</v>
      </c>
      <c r="I282" t="s">
        <v>69</v>
      </c>
      <c r="J282">
        <v>1</v>
      </c>
      <c r="K282">
        <v>1500</v>
      </c>
      <c r="L282">
        <v>15</v>
      </c>
      <c r="M282">
        <v>1275</v>
      </c>
      <c r="N282">
        <v>1050</v>
      </c>
      <c r="O282">
        <v>225</v>
      </c>
      <c r="P282" t="s">
        <v>43</v>
      </c>
      <c r="Q282" t="s">
        <v>44</v>
      </c>
      <c r="R282" t="s">
        <v>45</v>
      </c>
      <c r="S282" t="s">
        <v>46</v>
      </c>
      <c r="T282" t="s">
        <v>33</v>
      </c>
      <c r="U282" t="s">
        <v>48</v>
      </c>
      <c r="V282">
        <v>5</v>
      </c>
      <c r="W282">
        <f>Table1[[#This Row],[Profit]]/Table1[[#This Row],[Sales]]</f>
        <v>0.17647058823529413</v>
      </c>
    </row>
    <row r="283" spans="1:23" x14ac:dyDescent="0.25">
      <c r="A283" t="s">
        <v>807</v>
      </c>
      <c r="B283" s="1">
        <v>45984</v>
      </c>
      <c r="C283" t="s">
        <v>808</v>
      </c>
      <c r="D283" t="s">
        <v>432</v>
      </c>
      <c r="E283" t="s">
        <v>38</v>
      </c>
      <c r="F283" t="s">
        <v>39</v>
      </c>
      <c r="G283" t="s">
        <v>40</v>
      </c>
      <c r="H283" t="s">
        <v>41</v>
      </c>
      <c r="I283" t="s">
        <v>42</v>
      </c>
      <c r="J283">
        <v>2</v>
      </c>
      <c r="K283">
        <v>4500</v>
      </c>
      <c r="L283">
        <v>15</v>
      </c>
      <c r="M283">
        <v>7650</v>
      </c>
      <c r="N283">
        <v>6300</v>
      </c>
      <c r="O283">
        <v>1350</v>
      </c>
      <c r="P283" t="s">
        <v>95</v>
      </c>
      <c r="Q283" t="s">
        <v>96</v>
      </c>
      <c r="R283" t="s">
        <v>45</v>
      </c>
      <c r="S283" t="s">
        <v>32</v>
      </c>
      <c r="T283" t="s">
        <v>33</v>
      </c>
      <c r="U283" t="s">
        <v>34</v>
      </c>
      <c r="V283">
        <v>1</v>
      </c>
      <c r="W283">
        <f>Table1[[#This Row],[Profit]]/Table1[[#This Row],[Sales]]</f>
        <v>0.17647058823529413</v>
      </c>
    </row>
    <row r="284" spans="1:23" x14ac:dyDescent="0.25">
      <c r="A284" t="s">
        <v>809</v>
      </c>
      <c r="B284" s="1">
        <v>46013</v>
      </c>
      <c r="C284" t="s">
        <v>810</v>
      </c>
      <c r="D284" t="s">
        <v>811</v>
      </c>
      <c r="E284" t="s">
        <v>67</v>
      </c>
      <c r="F284" t="s">
        <v>68</v>
      </c>
      <c r="G284" t="s">
        <v>27</v>
      </c>
      <c r="H284" t="s">
        <v>28</v>
      </c>
      <c r="I284" t="s">
        <v>69</v>
      </c>
      <c r="J284">
        <v>5</v>
      </c>
      <c r="K284">
        <v>1500</v>
      </c>
      <c r="L284">
        <v>15</v>
      </c>
      <c r="M284">
        <v>6375</v>
      </c>
      <c r="N284">
        <v>5250</v>
      </c>
      <c r="O284">
        <v>1125</v>
      </c>
      <c r="P284" t="s">
        <v>109</v>
      </c>
      <c r="Q284" t="s">
        <v>110</v>
      </c>
      <c r="R284" t="s">
        <v>111</v>
      </c>
      <c r="S284" t="s">
        <v>60</v>
      </c>
      <c r="T284" t="s">
        <v>56</v>
      </c>
      <c r="U284" t="s">
        <v>34</v>
      </c>
      <c r="V284">
        <v>4</v>
      </c>
      <c r="W284">
        <f>Table1[[#This Row],[Profit]]/Table1[[#This Row],[Sales]]</f>
        <v>0.17647058823529413</v>
      </c>
    </row>
    <row r="285" spans="1:23" x14ac:dyDescent="0.25">
      <c r="A285" t="s">
        <v>812</v>
      </c>
      <c r="B285" s="1">
        <v>45865</v>
      </c>
      <c r="C285" t="s">
        <v>800</v>
      </c>
      <c r="D285" t="s">
        <v>813</v>
      </c>
      <c r="E285" t="s">
        <v>73</v>
      </c>
      <c r="F285" t="s">
        <v>74</v>
      </c>
      <c r="G285" t="s">
        <v>27</v>
      </c>
      <c r="H285" t="s">
        <v>75</v>
      </c>
      <c r="I285" t="s">
        <v>76</v>
      </c>
      <c r="J285">
        <v>3</v>
      </c>
      <c r="K285">
        <v>3500</v>
      </c>
      <c r="L285">
        <v>0</v>
      </c>
      <c r="M285">
        <v>10500</v>
      </c>
      <c r="N285">
        <v>7349.9999999999991</v>
      </c>
      <c r="O285">
        <v>3150.0000000000009</v>
      </c>
      <c r="P285" t="s">
        <v>95</v>
      </c>
      <c r="Q285" t="s">
        <v>96</v>
      </c>
      <c r="R285" t="s">
        <v>45</v>
      </c>
      <c r="S285" t="s">
        <v>60</v>
      </c>
      <c r="T285" t="s">
        <v>47</v>
      </c>
      <c r="U285" t="s">
        <v>48</v>
      </c>
      <c r="V285">
        <v>4</v>
      </c>
      <c r="W285">
        <f>Table1[[#This Row],[Profit]]/Table1[[#This Row],[Sales]]</f>
        <v>0.3000000000000001</v>
      </c>
    </row>
    <row r="286" spans="1:23" x14ac:dyDescent="0.25">
      <c r="A286" t="s">
        <v>814</v>
      </c>
      <c r="B286" s="1">
        <v>45915</v>
      </c>
      <c r="C286" t="s">
        <v>815</v>
      </c>
      <c r="D286" t="s">
        <v>657</v>
      </c>
      <c r="E286" t="s">
        <v>38</v>
      </c>
      <c r="F286" t="s">
        <v>39</v>
      </c>
      <c r="G286" t="s">
        <v>40</v>
      </c>
      <c r="H286" t="s">
        <v>41</v>
      </c>
      <c r="I286" t="s">
        <v>42</v>
      </c>
      <c r="J286">
        <v>3</v>
      </c>
      <c r="K286">
        <v>4500</v>
      </c>
      <c r="L286">
        <v>5</v>
      </c>
      <c r="M286">
        <v>12825</v>
      </c>
      <c r="N286">
        <v>9450</v>
      </c>
      <c r="O286">
        <v>3375</v>
      </c>
      <c r="P286" t="s">
        <v>30</v>
      </c>
      <c r="Q286" t="s">
        <v>30</v>
      </c>
      <c r="R286" t="s">
        <v>31</v>
      </c>
      <c r="S286" t="s">
        <v>60</v>
      </c>
      <c r="T286" t="s">
        <v>33</v>
      </c>
      <c r="U286" t="s">
        <v>48</v>
      </c>
      <c r="V286">
        <v>4</v>
      </c>
      <c r="W286">
        <f>Table1[[#This Row],[Profit]]/Table1[[#This Row],[Sales]]</f>
        <v>0.26315789473684209</v>
      </c>
    </row>
    <row r="287" spans="1:23" x14ac:dyDescent="0.25">
      <c r="A287" t="s">
        <v>816</v>
      </c>
      <c r="B287" s="1">
        <v>45802</v>
      </c>
      <c r="C287" t="s">
        <v>817</v>
      </c>
      <c r="D287" t="s">
        <v>455</v>
      </c>
      <c r="E287" t="s">
        <v>67</v>
      </c>
      <c r="F287" t="s">
        <v>68</v>
      </c>
      <c r="G287" t="s">
        <v>27</v>
      </c>
      <c r="H287" t="s">
        <v>28</v>
      </c>
      <c r="I287" t="s">
        <v>69</v>
      </c>
      <c r="J287">
        <v>5</v>
      </c>
      <c r="K287">
        <v>1500</v>
      </c>
      <c r="L287">
        <v>15</v>
      </c>
      <c r="M287">
        <v>6375</v>
      </c>
      <c r="N287">
        <v>5250</v>
      </c>
      <c r="O287">
        <v>1125</v>
      </c>
      <c r="P287" t="s">
        <v>109</v>
      </c>
      <c r="Q287" t="s">
        <v>110</v>
      </c>
      <c r="R287" t="s">
        <v>111</v>
      </c>
      <c r="S287" t="s">
        <v>60</v>
      </c>
      <c r="T287" t="s">
        <v>56</v>
      </c>
      <c r="U287" t="s">
        <v>48</v>
      </c>
      <c r="V287">
        <v>5</v>
      </c>
      <c r="W287">
        <f>Table1[[#This Row],[Profit]]/Table1[[#This Row],[Sales]]</f>
        <v>0.17647058823529413</v>
      </c>
    </row>
    <row r="288" spans="1:23" x14ac:dyDescent="0.25">
      <c r="A288" t="s">
        <v>818</v>
      </c>
      <c r="B288" s="1">
        <v>45812</v>
      </c>
      <c r="C288" t="s">
        <v>819</v>
      </c>
      <c r="D288" t="s">
        <v>820</v>
      </c>
      <c r="E288" t="s">
        <v>67</v>
      </c>
      <c r="F288" t="s">
        <v>68</v>
      </c>
      <c r="G288" t="s">
        <v>27</v>
      </c>
      <c r="H288" t="s">
        <v>28</v>
      </c>
      <c r="I288" t="s">
        <v>69</v>
      </c>
      <c r="J288">
        <v>2</v>
      </c>
      <c r="K288">
        <v>1500</v>
      </c>
      <c r="L288">
        <v>10</v>
      </c>
      <c r="M288">
        <v>2700</v>
      </c>
      <c r="N288">
        <v>2100</v>
      </c>
      <c r="O288">
        <v>600</v>
      </c>
      <c r="P288" t="s">
        <v>30</v>
      </c>
      <c r="Q288" t="s">
        <v>30</v>
      </c>
      <c r="R288" t="s">
        <v>31</v>
      </c>
      <c r="S288" t="s">
        <v>32</v>
      </c>
      <c r="T288" t="s">
        <v>33</v>
      </c>
      <c r="U288" t="s">
        <v>34</v>
      </c>
      <c r="V288">
        <v>1</v>
      </c>
      <c r="W288">
        <f>Table1[[#This Row],[Profit]]/Table1[[#This Row],[Sales]]</f>
        <v>0.22222222222222221</v>
      </c>
    </row>
    <row r="289" spans="1:23" x14ac:dyDescent="0.25">
      <c r="A289" t="s">
        <v>821</v>
      </c>
      <c r="B289" s="1">
        <v>46021</v>
      </c>
      <c r="C289" t="s">
        <v>822</v>
      </c>
      <c r="D289" t="s">
        <v>823</v>
      </c>
      <c r="E289" t="s">
        <v>38</v>
      </c>
      <c r="F289" t="s">
        <v>39</v>
      </c>
      <c r="G289" t="s">
        <v>40</v>
      </c>
      <c r="H289" t="s">
        <v>41</v>
      </c>
      <c r="I289" t="s">
        <v>42</v>
      </c>
      <c r="J289">
        <v>2</v>
      </c>
      <c r="K289">
        <v>4500</v>
      </c>
      <c r="L289">
        <v>10</v>
      </c>
      <c r="M289">
        <v>8100</v>
      </c>
      <c r="N289">
        <v>6300</v>
      </c>
      <c r="O289">
        <v>1800</v>
      </c>
      <c r="P289" t="s">
        <v>95</v>
      </c>
      <c r="Q289" t="s">
        <v>96</v>
      </c>
      <c r="R289" t="s">
        <v>45</v>
      </c>
      <c r="S289" t="s">
        <v>32</v>
      </c>
      <c r="T289" t="s">
        <v>56</v>
      </c>
      <c r="U289" t="s">
        <v>48</v>
      </c>
      <c r="V289">
        <v>5</v>
      </c>
      <c r="W289">
        <f>Table1[[#This Row],[Profit]]/Table1[[#This Row],[Sales]]</f>
        <v>0.22222222222222221</v>
      </c>
    </row>
    <row r="290" spans="1:23" x14ac:dyDescent="0.25">
      <c r="A290" t="s">
        <v>824</v>
      </c>
      <c r="B290" s="1">
        <v>45797</v>
      </c>
      <c r="C290" t="s">
        <v>373</v>
      </c>
      <c r="D290" t="s">
        <v>825</v>
      </c>
      <c r="E290" t="s">
        <v>67</v>
      </c>
      <c r="F290" t="s">
        <v>68</v>
      </c>
      <c r="G290" t="s">
        <v>27</v>
      </c>
      <c r="H290" t="s">
        <v>28</v>
      </c>
      <c r="I290" t="s">
        <v>69</v>
      </c>
      <c r="J290">
        <v>3</v>
      </c>
      <c r="K290">
        <v>1500</v>
      </c>
      <c r="L290">
        <v>0</v>
      </c>
      <c r="M290">
        <v>4500</v>
      </c>
      <c r="N290">
        <v>3150</v>
      </c>
      <c r="O290">
        <v>1350</v>
      </c>
      <c r="P290" t="s">
        <v>95</v>
      </c>
      <c r="Q290" t="s">
        <v>96</v>
      </c>
      <c r="R290" t="s">
        <v>45</v>
      </c>
      <c r="S290" t="s">
        <v>46</v>
      </c>
      <c r="T290" t="s">
        <v>47</v>
      </c>
      <c r="U290" t="s">
        <v>34</v>
      </c>
      <c r="V290">
        <v>1</v>
      </c>
      <c r="W290">
        <f>Table1[[#This Row],[Profit]]/Table1[[#This Row],[Sales]]</f>
        <v>0.3</v>
      </c>
    </row>
    <row r="291" spans="1:23" x14ac:dyDescent="0.25">
      <c r="A291" t="s">
        <v>826</v>
      </c>
      <c r="B291" s="1">
        <v>45967</v>
      </c>
      <c r="C291" t="s">
        <v>745</v>
      </c>
      <c r="D291" t="s">
        <v>349</v>
      </c>
      <c r="E291" t="s">
        <v>67</v>
      </c>
      <c r="F291" t="s">
        <v>68</v>
      </c>
      <c r="G291" t="s">
        <v>27</v>
      </c>
      <c r="H291" t="s">
        <v>28</v>
      </c>
      <c r="I291" t="s">
        <v>69</v>
      </c>
      <c r="J291">
        <v>5</v>
      </c>
      <c r="K291">
        <v>1500</v>
      </c>
      <c r="L291">
        <v>15</v>
      </c>
      <c r="M291">
        <v>6375</v>
      </c>
      <c r="N291">
        <v>5250</v>
      </c>
      <c r="O291">
        <v>1125</v>
      </c>
      <c r="P291" t="s">
        <v>30</v>
      </c>
      <c r="Q291" t="s">
        <v>30</v>
      </c>
      <c r="R291" t="s">
        <v>31</v>
      </c>
      <c r="S291" t="s">
        <v>60</v>
      </c>
      <c r="T291" t="s">
        <v>33</v>
      </c>
      <c r="U291" t="s">
        <v>34</v>
      </c>
      <c r="V291">
        <v>4</v>
      </c>
      <c r="W291">
        <f>Table1[[#This Row],[Profit]]/Table1[[#This Row],[Sales]]</f>
        <v>0.17647058823529413</v>
      </c>
    </row>
    <row r="292" spans="1:23" x14ac:dyDescent="0.25">
      <c r="A292" t="s">
        <v>827</v>
      </c>
      <c r="B292" s="1">
        <v>45779</v>
      </c>
      <c r="C292" t="s">
        <v>828</v>
      </c>
      <c r="D292" t="s">
        <v>657</v>
      </c>
      <c r="E292" t="s">
        <v>73</v>
      </c>
      <c r="F292" t="s">
        <v>74</v>
      </c>
      <c r="G292" t="s">
        <v>27</v>
      </c>
      <c r="H292" t="s">
        <v>75</v>
      </c>
      <c r="I292" t="s">
        <v>76</v>
      </c>
      <c r="J292">
        <v>2</v>
      </c>
      <c r="K292">
        <v>3500</v>
      </c>
      <c r="L292">
        <v>15</v>
      </c>
      <c r="M292">
        <v>5950</v>
      </c>
      <c r="N292">
        <v>4900</v>
      </c>
      <c r="O292">
        <v>1050</v>
      </c>
      <c r="P292" t="s">
        <v>109</v>
      </c>
      <c r="Q292" t="s">
        <v>110</v>
      </c>
      <c r="R292" t="s">
        <v>111</v>
      </c>
      <c r="S292" t="s">
        <v>46</v>
      </c>
      <c r="T292" t="s">
        <v>47</v>
      </c>
      <c r="U292" t="s">
        <v>34</v>
      </c>
      <c r="V292">
        <v>2</v>
      </c>
      <c r="W292">
        <f>Table1[[#This Row],[Profit]]/Table1[[#This Row],[Sales]]</f>
        <v>0.17647058823529413</v>
      </c>
    </row>
    <row r="293" spans="1:23" x14ac:dyDescent="0.25">
      <c r="A293" t="s">
        <v>829</v>
      </c>
      <c r="B293" s="1">
        <v>45990</v>
      </c>
      <c r="C293" t="s">
        <v>830</v>
      </c>
      <c r="D293" t="s">
        <v>397</v>
      </c>
      <c r="E293" t="s">
        <v>38</v>
      </c>
      <c r="F293" t="s">
        <v>39</v>
      </c>
      <c r="G293" t="s">
        <v>40</v>
      </c>
      <c r="H293" t="s">
        <v>41</v>
      </c>
      <c r="I293" t="s">
        <v>42</v>
      </c>
      <c r="J293">
        <v>4</v>
      </c>
      <c r="K293">
        <v>4500</v>
      </c>
      <c r="L293">
        <v>15</v>
      </c>
      <c r="M293">
        <v>15300</v>
      </c>
      <c r="N293">
        <v>12600</v>
      </c>
      <c r="O293">
        <v>2700</v>
      </c>
      <c r="P293" t="s">
        <v>109</v>
      </c>
      <c r="Q293" t="s">
        <v>110</v>
      </c>
      <c r="R293" t="s">
        <v>111</v>
      </c>
      <c r="S293" t="s">
        <v>46</v>
      </c>
      <c r="T293" t="s">
        <v>33</v>
      </c>
      <c r="U293" t="s">
        <v>48</v>
      </c>
      <c r="V293">
        <v>4</v>
      </c>
      <c r="W293">
        <f>Table1[[#This Row],[Profit]]/Table1[[#This Row],[Sales]]</f>
        <v>0.17647058823529413</v>
      </c>
    </row>
    <row r="294" spans="1:23" x14ac:dyDescent="0.25">
      <c r="A294" t="s">
        <v>831</v>
      </c>
      <c r="B294" s="1">
        <v>45997</v>
      </c>
      <c r="C294" t="s">
        <v>832</v>
      </c>
      <c r="D294" t="s">
        <v>294</v>
      </c>
      <c r="E294" t="s">
        <v>25</v>
      </c>
      <c r="F294" t="s">
        <v>26</v>
      </c>
      <c r="G294" t="s">
        <v>27</v>
      </c>
      <c r="H294" t="s">
        <v>28</v>
      </c>
      <c r="I294" t="s">
        <v>29</v>
      </c>
      <c r="J294">
        <v>4</v>
      </c>
      <c r="K294">
        <v>800</v>
      </c>
      <c r="L294">
        <v>10</v>
      </c>
      <c r="M294">
        <v>2880</v>
      </c>
      <c r="N294">
        <v>2240</v>
      </c>
      <c r="O294">
        <v>640</v>
      </c>
      <c r="P294" t="s">
        <v>30</v>
      </c>
      <c r="Q294" t="s">
        <v>30</v>
      </c>
      <c r="R294" t="s">
        <v>31</v>
      </c>
      <c r="S294" t="s">
        <v>46</v>
      </c>
      <c r="T294" t="s">
        <v>56</v>
      </c>
      <c r="U294" t="s">
        <v>48</v>
      </c>
      <c r="V294">
        <v>3</v>
      </c>
      <c r="W294">
        <f>Table1[[#This Row],[Profit]]/Table1[[#This Row],[Sales]]</f>
        <v>0.22222222222222221</v>
      </c>
    </row>
    <row r="295" spans="1:23" x14ac:dyDescent="0.25">
      <c r="A295" t="s">
        <v>833</v>
      </c>
      <c r="B295" s="1">
        <v>45898</v>
      </c>
      <c r="C295" t="s">
        <v>514</v>
      </c>
      <c r="D295" t="s">
        <v>529</v>
      </c>
      <c r="E295" t="s">
        <v>73</v>
      </c>
      <c r="F295" t="s">
        <v>74</v>
      </c>
      <c r="G295" t="s">
        <v>27</v>
      </c>
      <c r="H295" t="s">
        <v>75</v>
      </c>
      <c r="I295" t="s">
        <v>76</v>
      </c>
      <c r="J295">
        <v>2</v>
      </c>
      <c r="K295">
        <v>3500</v>
      </c>
      <c r="L295">
        <v>15</v>
      </c>
      <c r="M295">
        <v>5950</v>
      </c>
      <c r="N295">
        <v>4900</v>
      </c>
      <c r="O295">
        <v>1050</v>
      </c>
      <c r="P295" t="s">
        <v>30</v>
      </c>
      <c r="Q295" t="s">
        <v>30</v>
      </c>
      <c r="R295" t="s">
        <v>31</v>
      </c>
      <c r="S295" t="s">
        <v>60</v>
      </c>
      <c r="T295" t="s">
        <v>47</v>
      </c>
      <c r="U295" t="s">
        <v>34</v>
      </c>
      <c r="V295">
        <v>2</v>
      </c>
      <c r="W295">
        <f>Table1[[#This Row],[Profit]]/Table1[[#This Row],[Sales]]</f>
        <v>0.17647058823529413</v>
      </c>
    </row>
    <row r="296" spans="1:23" x14ac:dyDescent="0.25">
      <c r="A296" t="s">
        <v>834</v>
      </c>
      <c r="B296" s="1">
        <v>45888</v>
      </c>
      <c r="C296" t="s">
        <v>835</v>
      </c>
      <c r="D296" t="s">
        <v>601</v>
      </c>
      <c r="E296" t="s">
        <v>67</v>
      </c>
      <c r="F296" t="s">
        <v>68</v>
      </c>
      <c r="G296" t="s">
        <v>27</v>
      </c>
      <c r="H296" t="s">
        <v>28</v>
      </c>
      <c r="I296" t="s">
        <v>69</v>
      </c>
      <c r="J296">
        <v>2</v>
      </c>
      <c r="K296">
        <v>1500</v>
      </c>
      <c r="L296">
        <v>0</v>
      </c>
      <c r="M296">
        <v>3000</v>
      </c>
      <c r="N296">
        <v>2100</v>
      </c>
      <c r="O296">
        <v>900</v>
      </c>
      <c r="P296" t="s">
        <v>95</v>
      </c>
      <c r="Q296" t="s">
        <v>96</v>
      </c>
      <c r="R296" t="s">
        <v>45</v>
      </c>
      <c r="S296" t="s">
        <v>32</v>
      </c>
      <c r="T296" t="s">
        <v>47</v>
      </c>
      <c r="U296" t="s">
        <v>34</v>
      </c>
      <c r="V296">
        <v>3</v>
      </c>
      <c r="W296">
        <f>Table1[[#This Row],[Profit]]/Table1[[#This Row],[Sales]]</f>
        <v>0.3</v>
      </c>
    </row>
    <row r="297" spans="1:23" x14ac:dyDescent="0.25">
      <c r="A297" t="s">
        <v>836</v>
      </c>
      <c r="B297" s="1">
        <v>45910</v>
      </c>
      <c r="C297" t="s">
        <v>837</v>
      </c>
      <c r="D297" t="s">
        <v>838</v>
      </c>
      <c r="E297" t="s">
        <v>73</v>
      </c>
      <c r="F297" t="s">
        <v>74</v>
      </c>
      <c r="G297" t="s">
        <v>27</v>
      </c>
      <c r="H297" t="s">
        <v>75</v>
      </c>
      <c r="I297" t="s">
        <v>76</v>
      </c>
      <c r="J297">
        <v>3</v>
      </c>
      <c r="K297">
        <v>3500</v>
      </c>
      <c r="L297">
        <v>10</v>
      </c>
      <c r="M297">
        <v>9450</v>
      </c>
      <c r="N297">
        <v>7349.9999999999991</v>
      </c>
      <c r="O297">
        <v>2100.0000000000009</v>
      </c>
      <c r="P297" t="s">
        <v>95</v>
      </c>
      <c r="Q297" t="s">
        <v>96</v>
      </c>
      <c r="R297" t="s">
        <v>45</v>
      </c>
      <c r="S297" t="s">
        <v>46</v>
      </c>
      <c r="T297" t="s">
        <v>33</v>
      </c>
      <c r="U297" t="s">
        <v>48</v>
      </c>
      <c r="V297">
        <v>5</v>
      </c>
      <c r="W297">
        <f>Table1[[#This Row],[Profit]]/Table1[[#This Row],[Sales]]</f>
        <v>0.22222222222222232</v>
      </c>
    </row>
    <row r="298" spans="1:23" x14ac:dyDescent="0.25">
      <c r="A298" t="s">
        <v>839</v>
      </c>
      <c r="B298" s="1">
        <v>45879</v>
      </c>
      <c r="C298" t="s">
        <v>840</v>
      </c>
      <c r="D298" t="s">
        <v>841</v>
      </c>
      <c r="E298" t="s">
        <v>73</v>
      </c>
      <c r="F298" t="s">
        <v>74</v>
      </c>
      <c r="G298" t="s">
        <v>27</v>
      </c>
      <c r="H298" t="s">
        <v>75</v>
      </c>
      <c r="I298" t="s">
        <v>76</v>
      </c>
      <c r="J298">
        <v>3</v>
      </c>
      <c r="K298">
        <v>3500</v>
      </c>
      <c r="L298">
        <v>0</v>
      </c>
      <c r="M298">
        <v>10500</v>
      </c>
      <c r="N298">
        <v>7349.9999999999991</v>
      </c>
      <c r="O298">
        <v>3150.0000000000009</v>
      </c>
      <c r="P298" t="s">
        <v>109</v>
      </c>
      <c r="Q298" t="s">
        <v>110</v>
      </c>
      <c r="R298" t="s">
        <v>111</v>
      </c>
      <c r="S298" t="s">
        <v>32</v>
      </c>
      <c r="T298" t="s">
        <v>56</v>
      </c>
      <c r="U298" t="s">
        <v>48</v>
      </c>
      <c r="V298">
        <v>4</v>
      </c>
      <c r="W298">
        <f>Table1[[#This Row],[Profit]]/Table1[[#This Row],[Sales]]</f>
        <v>0.3000000000000001</v>
      </c>
    </row>
    <row r="299" spans="1:23" x14ac:dyDescent="0.25">
      <c r="A299" t="s">
        <v>842</v>
      </c>
      <c r="B299" s="1">
        <v>45697</v>
      </c>
      <c r="C299" t="s">
        <v>843</v>
      </c>
      <c r="D299" t="s">
        <v>601</v>
      </c>
      <c r="E299" t="s">
        <v>25</v>
      </c>
      <c r="F299" t="s">
        <v>26</v>
      </c>
      <c r="G299" t="s">
        <v>27</v>
      </c>
      <c r="H299" t="s">
        <v>28</v>
      </c>
      <c r="I299" t="s">
        <v>29</v>
      </c>
      <c r="J299">
        <v>1</v>
      </c>
      <c r="K299">
        <v>800</v>
      </c>
      <c r="L299">
        <v>15</v>
      </c>
      <c r="M299">
        <v>680</v>
      </c>
      <c r="N299">
        <v>560</v>
      </c>
      <c r="O299">
        <v>120</v>
      </c>
      <c r="P299" t="s">
        <v>43</v>
      </c>
      <c r="Q299" t="s">
        <v>44</v>
      </c>
      <c r="R299" t="s">
        <v>45</v>
      </c>
      <c r="S299" t="s">
        <v>60</v>
      </c>
      <c r="T299" t="s">
        <v>47</v>
      </c>
      <c r="U299" t="s">
        <v>48</v>
      </c>
      <c r="V299">
        <v>4</v>
      </c>
      <c r="W299">
        <f>Table1[[#This Row],[Profit]]/Table1[[#This Row],[Sales]]</f>
        <v>0.17647058823529413</v>
      </c>
    </row>
    <row r="300" spans="1:23" x14ac:dyDescent="0.25">
      <c r="A300" t="s">
        <v>844</v>
      </c>
      <c r="B300" s="1">
        <v>45810</v>
      </c>
      <c r="C300" t="s">
        <v>845</v>
      </c>
      <c r="D300" t="s">
        <v>719</v>
      </c>
      <c r="E300" t="s">
        <v>52</v>
      </c>
      <c r="F300" t="s">
        <v>53</v>
      </c>
      <c r="G300" t="s">
        <v>27</v>
      </c>
      <c r="H300" t="s">
        <v>54</v>
      </c>
      <c r="I300" t="s">
        <v>55</v>
      </c>
      <c r="J300">
        <v>3</v>
      </c>
      <c r="K300">
        <v>55000</v>
      </c>
      <c r="L300">
        <v>15</v>
      </c>
      <c r="M300">
        <v>140250</v>
      </c>
      <c r="N300">
        <v>115500</v>
      </c>
      <c r="O300">
        <v>24750.000000000011</v>
      </c>
      <c r="P300" t="s">
        <v>109</v>
      </c>
      <c r="Q300" t="s">
        <v>110</v>
      </c>
      <c r="R300" t="s">
        <v>111</v>
      </c>
      <c r="S300" t="s">
        <v>32</v>
      </c>
      <c r="T300" t="s">
        <v>47</v>
      </c>
      <c r="U300" t="s">
        <v>34</v>
      </c>
      <c r="V300">
        <v>3</v>
      </c>
      <c r="W300">
        <f>Table1[[#This Row],[Profit]]/Table1[[#This Row],[Sales]]</f>
        <v>0.17647058823529418</v>
      </c>
    </row>
    <row r="301" spans="1:23" x14ac:dyDescent="0.25">
      <c r="A301" t="s">
        <v>846</v>
      </c>
      <c r="B301" s="1">
        <v>45712</v>
      </c>
      <c r="C301" t="s">
        <v>847</v>
      </c>
      <c r="D301" t="s">
        <v>848</v>
      </c>
      <c r="E301" t="s">
        <v>67</v>
      </c>
      <c r="F301" t="s">
        <v>68</v>
      </c>
      <c r="G301" t="s">
        <v>27</v>
      </c>
      <c r="H301" t="s">
        <v>28</v>
      </c>
      <c r="I301" t="s">
        <v>69</v>
      </c>
      <c r="J301">
        <v>4</v>
      </c>
      <c r="K301">
        <v>1500</v>
      </c>
      <c r="L301">
        <v>0</v>
      </c>
      <c r="M301">
        <v>6000</v>
      </c>
      <c r="N301">
        <v>4200</v>
      </c>
      <c r="O301">
        <v>1800</v>
      </c>
      <c r="P301" t="s">
        <v>30</v>
      </c>
      <c r="Q301" t="s">
        <v>30</v>
      </c>
      <c r="R301" t="s">
        <v>31</v>
      </c>
      <c r="S301" t="s">
        <v>32</v>
      </c>
      <c r="T301" t="s">
        <v>47</v>
      </c>
      <c r="U301" t="s">
        <v>34</v>
      </c>
      <c r="V301">
        <v>1</v>
      </c>
      <c r="W301">
        <f>Table1[[#This Row],[Profit]]/Table1[[#This Row],[Sales]]</f>
        <v>0.3</v>
      </c>
    </row>
    <row r="302" spans="1:23" x14ac:dyDescent="0.25">
      <c r="A302" t="s">
        <v>849</v>
      </c>
      <c r="B302" s="1">
        <v>45678</v>
      </c>
      <c r="C302" t="s">
        <v>850</v>
      </c>
      <c r="D302" t="s">
        <v>316</v>
      </c>
      <c r="E302" t="s">
        <v>73</v>
      </c>
      <c r="F302" t="s">
        <v>74</v>
      </c>
      <c r="G302" t="s">
        <v>27</v>
      </c>
      <c r="H302" t="s">
        <v>75</v>
      </c>
      <c r="I302" t="s">
        <v>76</v>
      </c>
      <c r="J302">
        <v>5</v>
      </c>
      <c r="K302">
        <v>3500</v>
      </c>
      <c r="L302">
        <v>0</v>
      </c>
      <c r="M302">
        <v>17500</v>
      </c>
      <c r="N302">
        <v>12250</v>
      </c>
      <c r="O302">
        <v>5250</v>
      </c>
      <c r="P302" t="s">
        <v>95</v>
      </c>
      <c r="Q302" t="s">
        <v>96</v>
      </c>
      <c r="R302" t="s">
        <v>45</v>
      </c>
      <c r="S302" t="s">
        <v>32</v>
      </c>
      <c r="T302" t="s">
        <v>47</v>
      </c>
      <c r="U302" t="s">
        <v>48</v>
      </c>
      <c r="V302">
        <v>3</v>
      </c>
      <c r="W302">
        <f>Table1[[#This Row],[Profit]]/Table1[[#This Row],[Sales]]</f>
        <v>0.3</v>
      </c>
    </row>
    <row r="303" spans="1:23" x14ac:dyDescent="0.25">
      <c r="A303" t="s">
        <v>851</v>
      </c>
      <c r="B303" s="1">
        <v>45730</v>
      </c>
      <c r="C303" t="s">
        <v>852</v>
      </c>
      <c r="D303" t="s">
        <v>512</v>
      </c>
      <c r="E303" t="s">
        <v>52</v>
      </c>
      <c r="F303" t="s">
        <v>53</v>
      </c>
      <c r="G303" t="s">
        <v>27</v>
      </c>
      <c r="H303" t="s">
        <v>54</v>
      </c>
      <c r="I303" t="s">
        <v>55</v>
      </c>
      <c r="J303">
        <v>1</v>
      </c>
      <c r="K303">
        <v>55000</v>
      </c>
      <c r="L303">
        <v>0</v>
      </c>
      <c r="M303">
        <v>55000</v>
      </c>
      <c r="N303">
        <v>38500</v>
      </c>
      <c r="O303">
        <v>16500</v>
      </c>
      <c r="P303" t="s">
        <v>109</v>
      </c>
      <c r="Q303" t="s">
        <v>110</v>
      </c>
      <c r="R303" t="s">
        <v>111</v>
      </c>
      <c r="S303" t="s">
        <v>60</v>
      </c>
      <c r="T303" t="s">
        <v>47</v>
      </c>
      <c r="U303" t="s">
        <v>34</v>
      </c>
      <c r="V303">
        <v>3</v>
      </c>
      <c r="W303">
        <f>Table1[[#This Row],[Profit]]/Table1[[#This Row],[Sales]]</f>
        <v>0.3</v>
      </c>
    </row>
    <row r="304" spans="1:23" x14ac:dyDescent="0.25">
      <c r="A304" t="s">
        <v>853</v>
      </c>
      <c r="B304" s="1">
        <v>45807</v>
      </c>
      <c r="C304" t="s">
        <v>431</v>
      </c>
      <c r="D304" t="s">
        <v>854</v>
      </c>
      <c r="E304" t="s">
        <v>38</v>
      </c>
      <c r="F304" t="s">
        <v>39</v>
      </c>
      <c r="G304" t="s">
        <v>40</v>
      </c>
      <c r="H304" t="s">
        <v>41</v>
      </c>
      <c r="I304" t="s">
        <v>42</v>
      </c>
      <c r="J304">
        <v>5</v>
      </c>
      <c r="K304">
        <v>4500</v>
      </c>
      <c r="L304">
        <v>15</v>
      </c>
      <c r="M304">
        <v>19125</v>
      </c>
      <c r="N304">
        <v>15750</v>
      </c>
      <c r="O304">
        <v>3375.0000000000018</v>
      </c>
      <c r="P304" t="s">
        <v>95</v>
      </c>
      <c r="Q304" t="s">
        <v>96</v>
      </c>
      <c r="R304" t="s">
        <v>45</v>
      </c>
      <c r="S304" t="s">
        <v>46</v>
      </c>
      <c r="T304" t="s">
        <v>47</v>
      </c>
      <c r="U304" t="s">
        <v>34</v>
      </c>
      <c r="V304">
        <v>5</v>
      </c>
      <c r="W304">
        <f>Table1[[#This Row],[Profit]]/Table1[[#This Row],[Sales]]</f>
        <v>0.17647058823529421</v>
      </c>
    </row>
    <row r="305" spans="1:23" x14ac:dyDescent="0.25">
      <c r="A305" t="s">
        <v>855</v>
      </c>
      <c r="B305" s="1">
        <v>46018</v>
      </c>
      <c r="C305" t="s">
        <v>856</v>
      </c>
      <c r="D305" t="s">
        <v>424</v>
      </c>
      <c r="E305" t="s">
        <v>73</v>
      </c>
      <c r="F305" t="s">
        <v>74</v>
      </c>
      <c r="G305" t="s">
        <v>27</v>
      </c>
      <c r="H305" t="s">
        <v>75</v>
      </c>
      <c r="I305" t="s">
        <v>76</v>
      </c>
      <c r="J305">
        <v>3</v>
      </c>
      <c r="K305">
        <v>3500</v>
      </c>
      <c r="L305">
        <v>0</v>
      </c>
      <c r="M305">
        <v>10500</v>
      </c>
      <c r="N305">
        <v>7349.9999999999991</v>
      </c>
      <c r="O305">
        <v>3150.0000000000009</v>
      </c>
      <c r="P305" t="s">
        <v>43</v>
      </c>
      <c r="Q305" t="s">
        <v>44</v>
      </c>
      <c r="R305" t="s">
        <v>45</v>
      </c>
      <c r="S305" t="s">
        <v>32</v>
      </c>
      <c r="T305" t="s">
        <v>56</v>
      </c>
      <c r="U305" t="s">
        <v>34</v>
      </c>
      <c r="V305">
        <v>3</v>
      </c>
      <c r="W305">
        <f>Table1[[#This Row],[Profit]]/Table1[[#This Row],[Sales]]</f>
        <v>0.3000000000000001</v>
      </c>
    </row>
    <row r="306" spans="1:23" x14ac:dyDescent="0.25">
      <c r="A306" t="s">
        <v>857</v>
      </c>
      <c r="B306" s="1">
        <v>45697</v>
      </c>
      <c r="C306" t="s">
        <v>858</v>
      </c>
      <c r="D306" t="s">
        <v>859</v>
      </c>
      <c r="E306" t="s">
        <v>52</v>
      </c>
      <c r="F306" t="s">
        <v>53</v>
      </c>
      <c r="G306" t="s">
        <v>27</v>
      </c>
      <c r="H306" t="s">
        <v>54</v>
      </c>
      <c r="I306" t="s">
        <v>55</v>
      </c>
      <c r="J306">
        <v>4</v>
      </c>
      <c r="K306">
        <v>55000</v>
      </c>
      <c r="L306">
        <v>10</v>
      </c>
      <c r="M306">
        <v>198000</v>
      </c>
      <c r="N306">
        <v>154000</v>
      </c>
      <c r="O306">
        <v>44000</v>
      </c>
      <c r="P306" t="s">
        <v>30</v>
      </c>
      <c r="Q306" t="s">
        <v>30</v>
      </c>
      <c r="R306" t="s">
        <v>31</v>
      </c>
      <c r="S306" t="s">
        <v>32</v>
      </c>
      <c r="T306" t="s">
        <v>56</v>
      </c>
      <c r="U306" t="s">
        <v>34</v>
      </c>
      <c r="V306">
        <v>3</v>
      </c>
      <c r="W306">
        <f>Table1[[#This Row],[Profit]]/Table1[[#This Row],[Sales]]</f>
        <v>0.22222222222222221</v>
      </c>
    </row>
    <row r="307" spans="1:23" x14ac:dyDescent="0.25">
      <c r="A307" t="s">
        <v>860</v>
      </c>
      <c r="B307" s="1">
        <v>45937</v>
      </c>
      <c r="C307" t="s">
        <v>861</v>
      </c>
      <c r="D307" t="s">
        <v>862</v>
      </c>
      <c r="E307" t="s">
        <v>52</v>
      </c>
      <c r="F307" t="s">
        <v>53</v>
      </c>
      <c r="G307" t="s">
        <v>27</v>
      </c>
      <c r="H307" t="s">
        <v>54</v>
      </c>
      <c r="I307" t="s">
        <v>55</v>
      </c>
      <c r="J307">
        <v>2</v>
      </c>
      <c r="K307">
        <v>55000</v>
      </c>
      <c r="L307">
        <v>10</v>
      </c>
      <c r="M307">
        <v>99000</v>
      </c>
      <c r="N307">
        <v>77000</v>
      </c>
      <c r="O307">
        <v>22000</v>
      </c>
      <c r="P307" t="s">
        <v>30</v>
      </c>
      <c r="Q307" t="s">
        <v>30</v>
      </c>
      <c r="R307" t="s">
        <v>31</v>
      </c>
      <c r="S307" t="s">
        <v>32</v>
      </c>
      <c r="T307" t="s">
        <v>56</v>
      </c>
      <c r="U307" t="s">
        <v>34</v>
      </c>
      <c r="V307">
        <v>4</v>
      </c>
      <c r="W307">
        <f>Table1[[#This Row],[Profit]]/Table1[[#This Row],[Sales]]</f>
        <v>0.22222222222222221</v>
      </c>
    </row>
    <row r="308" spans="1:23" x14ac:dyDescent="0.25">
      <c r="A308" t="s">
        <v>863</v>
      </c>
      <c r="B308" s="1">
        <v>45845</v>
      </c>
      <c r="C308" t="s">
        <v>864</v>
      </c>
      <c r="D308" t="s">
        <v>450</v>
      </c>
      <c r="E308" t="s">
        <v>25</v>
      </c>
      <c r="F308" t="s">
        <v>26</v>
      </c>
      <c r="G308" t="s">
        <v>27</v>
      </c>
      <c r="H308" t="s">
        <v>28</v>
      </c>
      <c r="I308" t="s">
        <v>29</v>
      </c>
      <c r="J308">
        <v>2</v>
      </c>
      <c r="K308">
        <v>800</v>
      </c>
      <c r="L308">
        <v>15</v>
      </c>
      <c r="M308">
        <v>1360</v>
      </c>
      <c r="N308">
        <v>1120</v>
      </c>
      <c r="O308">
        <v>240</v>
      </c>
      <c r="P308" t="s">
        <v>109</v>
      </c>
      <c r="Q308" t="s">
        <v>110</v>
      </c>
      <c r="R308" t="s">
        <v>111</v>
      </c>
      <c r="S308" t="s">
        <v>46</v>
      </c>
      <c r="T308" t="s">
        <v>56</v>
      </c>
      <c r="U308" t="s">
        <v>34</v>
      </c>
      <c r="V308">
        <v>5</v>
      </c>
      <c r="W308">
        <f>Table1[[#This Row],[Profit]]/Table1[[#This Row],[Sales]]</f>
        <v>0.17647058823529413</v>
      </c>
    </row>
    <row r="309" spans="1:23" x14ac:dyDescent="0.25">
      <c r="A309" t="s">
        <v>865</v>
      </c>
      <c r="B309" s="1">
        <v>45805</v>
      </c>
      <c r="C309" t="s">
        <v>866</v>
      </c>
      <c r="D309" t="s">
        <v>867</v>
      </c>
      <c r="E309" t="s">
        <v>25</v>
      </c>
      <c r="F309" t="s">
        <v>26</v>
      </c>
      <c r="G309" t="s">
        <v>27</v>
      </c>
      <c r="H309" t="s">
        <v>28</v>
      </c>
      <c r="I309" t="s">
        <v>29</v>
      </c>
      <c r="J309">
        <v>4</v>
      </c>
      <c r="K309">
        <v>800</v>
      </c>
      <c r="L309">
        <v>15</v>
      </c>
      <c r="M309">
        <v>2720</v>
      </c>
      <c r="N309">
        <v>2240</v>
      </c>
      <c r="O309">
        <v>480</v>
      </c>
      <c r="P309" t="s">
        <v>109</v>
      </c>
      <c r="Q309" t="s">
        <v>110</v>
      </c>
      <c r="R309" t="s">
        <v>111</v>
      </c>
      <c r="S309" t="s">
        <v>32</v>
      </c>
      <c r="T309" t="s">
        <v>56</v>
      </c>
      <c r="U309" t="s">
        <v>34</v>
      </c>
      <c r="V309">
        <v>3</v>
      </c>
      <c r="W309">
        <f>Table1[[#This Row],[Profit]]/Table1[[#This Row],[Sales]]</f>
        <v>0.17647058823529413</v>
      </c>
    </row>
    <row r="310" spans="1:23" x14ac:dyDescent="0.25">
      <c r="A310" t="s">
        <v>868</v>
      </c>
      <c r="B310" s="1">
        <v>45765</v>
      </c>
      <c r="C310" t="s">
        <v>869</v>
      </c>
      <c r="D310" t="s">
        <v>534</v>
      </c>
      <c r="E310" t="s">
        <v>67</v>
      </c>
      <c r="F310" t="s">
        <v>68</v>
      </c>
      <c r="G310" t="s">
        <v>27</v>
      </c>
      <c r="H310" t="s">
        <v>28</v>
      </c>
      <c r="I310" t="s">
        <v>69</v>
      </c>
      <c r="J310">
        <v>5</v>
      </c>
      <c r="K310">
        <v>1500</v>
      </c>
      <c r="L310">
        <v>5</v>
      </c>
      <c r="M310">
        <v>7125</v>
      </c>
      <c r="N310">
        <v>5250</v>
      </c>
      <c r="O310">
        <v>1875</v>
      </c>
      <c r="P310" t="s">
        <v>30</v>
      </c>
      <c r="Q310" t="s">
        <v>30</v>
      </c>
      <c r="R310" t="s">
        <v>31</v>
      </c>
      <c r="S310" t="s">
        <v>46</v>
      </c>
      <c r="T310" t="s">
        <v>56</v>
      </c>
      <c r="U310" t="s">
        <v>34</v>
      </c>
      <c r="V310">
        <v>4</v>
      </c>
      <c r="W310">
        <f>Table1[[#This Row],[Profit]]/Table1[[#This Row],[Sales]]</f>
        <v>0.26315789473684209</v>
      </c>
    </row>
    <row r="311" spans="1:23" x14ac:dyDescent="0.25">
      <c r="A311" t="s">
        <v>870</v>
      </c>
      <c r="B311" s="1">
        <v>46019</v>
      </c>
      <c r="C311" t="s">
        <v>669</v>
      </c>
      <c r="D311" t="s">
        <v>507</v>
      </c>
      <c r="E311" t="s">
        <v>52</v>
      </c>
      <c r="F311" t="s">
        <v>53</v>
      </c>
      <c r="G311" t="s">
        <v>27</v>
      </c>
      <c r="H311" t="s">
        <v>54</v>
      </c>
      <c r="I311" t="s">
        <v>55</v>
      </c>
      <c r="J311">
        <v>3</v>
      </c>
      <c r="K311">
        <v>55000</v>
      </c>
      <c r="L311">
        <v>10</v>
      </c>
      <c r="M311">
        <v>148500</v>
      </c>
      <c r="N311">
        <v>115500</v>
      </c>
      <c r="O311">
        <v>33000.000000000007</v>
      </c>
      <c r="P311" t="s">
        <v>43</v>
      </c>
      <c r="Q311" t="s">
        <v>44</v>
      </c>
      <c r="R311" t="s">
        <v>45</v>
      </c>
      <c r="S311" t="s">
        <v>32</v>
      </c>
      <c r="T311" t="s">
        <v>47</v>
      </c>
      <c r="U311" t="s">
        <v>48</v>
      </c>
      <c r="V311">
        <v>1</v>
      </c>
      <c r="W311">
        <f>Table1[[#This Row],[Profit]]/Table1[[#This Row],[Sales]]</f>
        <v>0.22222222222222227</v>
      </c>
    </row>
    <row r="312" spans="1:23" x14ac:dyDescent="0.25">
      <c r="A312" t="s">
        <v>871</v>
      </c>
      <c r="B312" s="1">
        <v>45669</v>
      </c>
      <c r="C312" t="s">
        <v>872</v>
      </c>
      <c r="D312" t="s">
        <v>873</v>
      </c>
      <c r="E312" t="s">
        <v>52</v>
      </c>
      <c r="F312" t="s">
        <v>53</v>
      </c>
      <c r="G312" t="s">
        <v>27</v>
      </c>
      <c r="H312" t="s">
        <v>54</v>
      </c>
      <c r="I312" t="s">
        <v>55</v>
      </c>
      <c r="J312">
        <v>3</v>
      </c>
      <c r="K312">
        <v>55000</v>
      </c>
      <c r="L312">
        <v>15</v>
      </c>
      <c r="M312">
        <v>140250</v>
      </c>
      <c r="N312">
        <v>115500</v>
      </c>
      <c r="O312">
        <v>24750.000000000011</v>
      </c>
      <c r="P312" t="s">
        <v>30</v>
      </c>
      <c r="Q312" t="s">
        <v>30</v>
      </c>
      <c r="R312" t="s">
        <v>31</v>
      </c>
      <c r="S312" t="s">
        <v>60</v>
      </c>
      <c r="T312" t="s">
        <v>47</v>
      </c>
      <c r="U312" t="s">
        <v>48</v>
      </c>
      <c r="V312">
        <v>5</v>
      </c>
      <c r="W312">
        <f>Table1[[#This Row],[Profit]]/Table1[[#This Row],[Sales]]</f>
        <v>0.17647058823529418</v>
      </c>
    </row>
    <row r="313" spans="1:23" x14ac:dyDescent="0.25">
      <c r="A313" t="s">
        <v>874</v>
      </c>
      <c r="B313" s="1">
        <v>45788</v>
      </c>
      <c r="C313" t="s">
        <v>875</v>
      </c>
      <c r="D313" t="s">
        <v>629</v>
      </c>
      <c r="E313" t="s">
        <v>73</v>
      </c>
      <c r="F313" t="s">
        <v>74</v>
      </c>
      <c r="G313" t="s">
        <v>27</v>
      </c>
      <c r="H313" t="s">
        <v>75</v>
      </c>
      <c r="I313" t="s">
        <v>76</v>
      </c>
      <c r="J313">
        <v>3</v>
      </c>
      <c r="K313">
        <v>3500</v>
      </c>
      <c r="L313">
        <v>15</v>
      </c>
      <c r="M313">
        <v>8925</v>
      </c>
      <c r="N313">
        <v>7349.9999999999991</v>
      </c>
      <c r="O313">
        <v>1575.0000000000009</v>
      </c>
      <c r="P313" t="s">
        <v>109</v>
      </c>
      <c r="Q313" t="s">
        <v>110</v>
      </c>
      <c r="R313" t="s">
        <v>111</v>
      </c>
      <c r="S313" t="s">
        <v>46</v>
      </c>
      <c r="T313" t="s">
        <v>33</v>
      </c>
      <c r="U313" t="s">
        <v>34</v>
      </c>
      <c r="V313">
        <v>2</v>
      </c>
      <c r="W313">
        <f>Table1[[#This Row],[Profit]]/Table1[[#This Row],[Sales]]</f>
        <v>0.17647058823529421</v>
      </c>
    </row>
    <row r="314" spans="1:23" x14ac:dyDescent="0.25">
      <c r="A314" t="s">
        <v>876</v>
      </c>
      <c r="B314" s="1">
        <v>45712</v>
      </c>
      <c r="C314" t="s">
        <v>877</v>
      </c>
      <c r="D314" t="s">
        <v>276</v>
      </c>
      <c r="E314" t="s">
        <v>38</v>
      </c>
      <c r="F314" t="s">
        <v>39</v>
      </c>
      <c r="G314" t="s">
        <v>40</v>
      </c>
      <c r="H314" t="s">
        <v>41</v>
      </c>
      <c r="I314" t="s">
        <v>42</v>
      </c>
      <c r="J314">
        <v>1</v>
      </c>
      <c r="K314">
        <v>4500</v>
      </c>
      <c r="L314">
        <v>0</v>
      </c>
      <c r="M314">
        <v>4500</v>
      </c>
      <c r="N314">
        <v>3150</v>
      </c>
      <c r="O314">
        <v>1350</v>
      </c>
      <c r="P314" t="s">
        <v>30</v>
      </c>
      <c r="Q314" t="s">
        <v>30</v>
      </c>
      <c r="R314" t="s">
        <v>31</v>
      </c>
      <c r="S314" t="s">
        <v>60</v>
      </c>
      <c r="T314" t="s">
        <v>47</v>
      </c>
      <c r="U314" t="s">
        <v>34</v>
      </c>
      <c r="V314">
        <v>5</v>
      </c>
      <c r="W314">
        <f>Table1[[#This Row],[Profit]]/Table1[[#This Row],[Sales]]</f>
        <v>0.3</v>
      </c>
    </row>
    <row r="315" spans="1:23" x14ac:dyDescent="0.25">
      <c r="A315" t="s">
        <v>878</v>
      </c>
      <c r="B315" s="1">
        <v>45743</v>
      </c>
      <c r="C315" t="s">
        <v>879</v>
      </c>
      <c r="D315" t="s">
        <v>194</v>
      </c>
      <c r="E315" t="s">
        <v>67</v>
      </c>
      <c r="F315" t="s">
        <v>68</v>
      </c>
      <c r="G315" t="s">
        <v>27</v>
      </c>
      <c r="H315" t="s">
        <v>28</v>
      </c>
      <c r="I315" t="s">
        <v>69</v>
      </c>
      <c r="J315">
        <v>1</v>
      </c>
      <c r="K315">
        <v>1500</v>
      </c>
      <c r="L315">
        <v>0</v>
      </c>
      <c r="M315">
        <v>1500</v>
      </c>
      <c r="N315">
        <v>1050</v>
      </c>
      <c r="O315">
        <v>450</v>
      </c>
      <c r="P315" t="s">
        <v>95</v>
      </c>
      <c r="Q315" t="s">
        <v>96</v>
      </c>
      <c r="R315" t="s">
        <v>45</v>
      </c>
      <c r="S315" t="s">
        <v>32</v>
      </c>
      <c r="T315" t="s">
        <v>47</v>
      </c>
      <c r="U315" t="s">
        <v>34</v>
      </c>
      <c r="V315">
        <v>2</v>
      </c>
      <c r="W315">
        <f>Table1[[#This Row],[Profit]]/Table1[[#This Row],[Sales]]</f>
        <v>0.3</v>
      </c>
    </row>
    <row r="316" spans="1:23" x14ac:dyDescent="0.25">
      <c r="A316" t="s">
        <v>880</v>
      </c>
      <c r="B316" s="1">
        <v>45914</v>
      </c>
      <c r="C316" t="s">
        <v>881</v>
      </c>
      <c r="D316" t="s">
        <v>534</v>
      </c>
      <c r="E316" t="s">
        <v>38</v>
      </c>
      <c r="F316" t="s">
        <v>39</v>
      </c>
      <c r="G316" t="s">
        <v>40</v>
      </c>
      <c r="H316" t="s">
        <v>41</v>
      </c>
      <c r="I316" t="s">
        <v>42</v>
      </c>
      <c r="J316">
        <v>5</v>
      </c>
      <c r="K316">
        <v>4500</v>
      </c>
      <c r="L316">
        <v>15</v>
      </c>
      <c r="M316">
        <v>19125</v>
      </c>
      <c r="N316">
        <v>15750</v>
      </c>
      <c r="O316">
        <v>3375.0000000000018</v>
      </c>
      <c r="P316" t="s">
        <v>43</v>
      </c>
      <c r="Q316" t="s">
        <v>44</v>
      </c>
      <c r="R316" t="s">
        <v>45</v>
      </c>
      <c r="S316" t="s">
        <v>60</v>
      </c>
      <c r="T316" t="s">
        <v>47</v>
      </c>
      <c r="U316" t="s">
        <v>48</v>
      </c>
      <c r="V316">
        <v>4</v>
      </c>
      <c r="W316">
        <f>Table1[[#This Row],[Profit]]/Table1[[#This Row],[Sales]]</f>
        <v>0.17647058823529421</v>
      </c>
    </row>
    <row r="317" spans="1:23" x14ac:dyDescent="0.25">
      <c r="A317" t="s">
        <v>882</v>
      </c>
      <c r="B317" s="1">
        <v>45720</v>
      </c>
      <c r="C317" t="s">
        <v>671</v>
      </c>
      <c r="D317" t="s">
        <v>883</v>
      </c>
      <c r="E317" t="s">
        <v>73</v>
      </c>
      <c r="F317" t="s">
        <v>74</v>
      </c>
      <c r="G317" t="s">
        <v>27</v>
      </c>
      <c r="H317" t="s">
        <v>75</v>
      </c>
      <c r="I317" t="s">
        <v>76</v>
      </c>
      <c r="J317">
        <v>1</v>
      </c>
      <c r="K317">
        <v>3500</v>
      </c>
      <c r="L317">
        <v>0</v>
      </c>
      <c r="M317">
        <v>3500</v>
      </c>
      <c r="N317">
        <v>2450</v>
      </c>
      <c r="O317">
        <v>1050</v>
      </c>
      <c r="P317" t="s">
        <v>43</v>
      </c>
      <c r="Q317" t="s">
        <v>44</v>
      </c>
      <c r="R317" t="s">
        <v>45</v>
      </c>
      <c r="S317" t="s">
        <v>46</v>
      </c>
      <c r="T317" t="s">
        <v>47</v>
      </c>
      <c r="U317" t="s">
        <v>34</v>
      </c>
      <c r="V317">
        <v>3</v>
      </c>
      <c r="W317">
        <f>Table1[[#This Row],[Profit]]/Table1[[#This Row],[Sales]]</f>
        <v>0.3</v>
      </c>
    </row>
    <row r="318" spans="1:23" x14ac:dyDescent="0.25">
      <c r="A318" t="s">
        <v>884</v>
      </c>
      <c r="B318" s="1">
        <v>45807</v>
      </c>
      <c r="C318" t="s">
        <v>81</v>
      </c>
      <c r="D318" t="s">
        <v>713</v>
      </c>
      <c r="E318" t="s">
        <v>52</v>
      </c>
      <c r="F318" t="s">
        <v>53</v>
      </c>
      <c r="G318" t="s">
        <v>27</v>
      </c>
      <c r="H318" t="s">
        <v>54</v>
      </c>
      <c r="I318" t="s">
        <v>55</v>
      </c>
      <c r="J318">
        <v>2</v>
      </c>
      <c r="K318">
        <v>55000</v>
      </c>
      <c r="L318">
        <v>0</v>
      </c>
      <c r="M318">
        <v>110000</v>
      </c>
      <c r="N318">
        <v>77000</v>
      </c>
      <c r="O318">
        <v>33000</v>
      </c>
      <c r="P318" t="s">
        <v>95</v>
      </c>
      <c r="Q318" t="s">
        <v>96</v>
      </c>
      <c r="R318" t="s">
        <v>45</v>
      </c>
      <c r="S318" t="s">
        <v>46</v>
      </c>
      <c r="T318" t="s">
        <v>47</v>
      </c>
      <c r="U318" t="s">
        <v>34</v>
      </c>
      <c r="V318">
        <v>1</v>
      </c>
      <c r="W318">
        <f>Table1[[#This Row],[Profit]]/Table1[[#This Row],[Sales]]</f>
        <v>0.3</v>
      </c>
    </row>
    <row r="319" spans="1:23" x14ac:dyDescent="0.25">
      <c r="A319" t="s">
        <v>885</v>
      </c>
      <c r="B319" s="1">
        <v>45898</v>
      </c>
      <c r="C319" t="s">
        <v>116</v>
      </c>
      <c r="D319" t="s">
        <v>153</v>
      </c>
      <c r="E319" t="s">
        <v>52</v>
      </c>
      <c r="F319" t="s">
        <v>53</v>
      </c>
      <c r="G319" t="s">
        <v>27</v>
      </c>
      <c r="H319" t="s">
        <v>54</v>
      </c>
      <c r="I319" t="s">
        <v>55</v>
      </c>
      <c r="J319">
        <v>4</v>
      </c>
      <c r="K319">
        <v>55000</v>
      </c>
      <c r="L319">
        <v>15</v>
      </c>
      <c r="M319">
        <v>187000</v>
      </c>
      <c r="N319">
        <v>154000</v>
      </c>
      <c r="O319">
        <v>33000</v>
      </c>
      <c r="P319" t="s">
        <v>109</v>
      </c>
      <c r="Q319" t="s">
        <v>110</v>
      </c>
      <c r="R319" t="s">
        <v>111</v>
      </c>
      <c r="S319" t="s">
        <v>46</v>
      </c>
      <c r="T319" t="s">
        <v>47</v>
      </c>
      <c r="U319" t="s">
        <v>48</v>
      </c>
      <c r="V319">
        <v>5</v>
      </c>
      <c r="W319">
        <f>Table1[[#This Row],[Profit]]/Table1[[#This Row],[Sales]]</f>
        <v>0.17647058823529413</v>
      </c>
    </row>
    <row r="320" spans="1:23" x14ac:dyDescent="0.25">
      <c r="A320" t="s">
        <v>886</v>
      </c>
      <c r="B320" s="1">
        <v>45721</v>
      </c>
      <c r="C320" t="s">
        <v>887</v>
      </c>
      <c r="D320" t="s">
        <v>888</v>
      </c>
      <c r="E320" t="s">
        <v>38</v>
      </c>
      <c r="F320" t="s">
        <v>39</v>
      </c>
      <c r="G320" t="s">
        <v>40</v>
      </c>
      <c r="H320" t="s">
        <v>41</v>
      </c>
      <c r="I320" t="s">
        <v>42</v>
      </c>
      <c r="J320">
        <v>5</v>
      </c>
      <c r="K320">
        <v>4500</v>
      </c>
      <c r="L320">
        <v>10</v>
      </c>
      <c r="M320">
        <v>20250</v>
      </c>
      <c r="N320">
        <v>15750</v>
      </c>
      <c r="O320">
        <v>4500.0000000000018</v>
      </c>
      <c r="P320" t="s">
        <v>109</v>
      </c>
      <c r="Q320" t="s">
        <v>110</v>
      </c>
      <c r="R320" t="s">
        <v>111</v>
      </c>
      <c r="S320" t="s">
        <v>32</v>
      </c>
      <c r="T320" t="s">
        <v>56</v>
      </c>
      <c r="U320" t="s">
        <v>48</v>
      </c>
      <c r="V320">
        <v>4</v>
      </c>
      <c r="W320">
        <f>Table1[[#This Row],[Profit]]/Table1[[#This Row],[Sales]]</f>
        <v>0.22222222222222232</v>
      </c>
    </row>
    <row r="321" spans="1:23" x14ac:dyDescent="0.25">
      <c r="A321" t="s">
        <v>889</v>
      </c>
      <c r="B321" s="1">
        <v>45819</v>
      </c>
      <c r="C321" t="s">
        <v>890</v>
      </c>
      <c r="D321" t="s">
        <v>319</v>
      </c>
      <c r="E321" t="s">
        <v>25</v>
      </c>
      <c r="F321" t="s">
        <v>26</v>
      </c>
      <c r="G321" t="s">
        <v>27</v>
      </c>
      <c r="H321" t="s">
        <v>28</v>
      </c>
      <c r="I321" t="s">
        <v>29</v>
      </c>
      <c r="J321">
        <v>3</v>
      </c>
      <c r="K321">
        <v>800</v>
      </c>
      <c r="L321">
        <v>0</v>
      </c>
      <c r="M321">
        <v>2400</v>
      </c>
      <c r="N321">
        <v>1680</v>
      </c>
      <c r="O321">
        <v>720</v>
      </c>
      <c r="P321" t="s">
        <v>95</v>
      </c>
      <c r="Q321" t="s">
        <v>96</v>
      </c>
      <c r="R321" t="s">
        <v>45</v>
      </c>
      <c r="S321" t="s">
        <v>60</v>
      </c>
      <c r="T321" t="s">
        <v>56</v>
      </c>
      <c r="U321" t="s">
        <v>34</v>
      </c>
      <c r="V321">
        <v>4</v>
      </c>
      <c r="W321">
        <f>Table1[[#This Row],[Profit]]/Table1[[#This Row],[Sales]]</f>
        <v>0.3</v>
      </c>
    </row>
    <row r="322" spans="1:23" x14ac:dyDescent="0.25">
      <c r="A322" t="s">
        <v>891</v>
      </c>
      <c r="B322" s="1">
        <v>45738</v>
      </c>
      <c r="C322" t="s">
        <v>892</v>
      </c>
      <c r="D322" t="s">
        <v>471</v>
      </c>
      <c r="E322" t="s">
        <v>52</v>
      </c>
      <c r="F322" t="s">
        <v>53</v>
      </c>
      <c r="G322" t="s">
        <v>27</v>
      </c>
      <c r="H322" t="s">
        <v>54</v>
      </c>
      <c r="I322" t="s">
        <v>55</v>
      </c>
      <c r="J322">
        <v>1</v>
      </c>
      <c r="K322">
        <v>55000</v>
      </c>
      <c r="L322">
        <v>0</v>
      </c>
      <c r="M322">
        <v>55000</v>
      </c>
      <c r="N322">
        <v>38500</v>
      </c>
      <c r="O322">
        <v>16500</v>
      </c>
      <c r="P322" t="s">
        <v>109</v>
      </c>
      <c r="Q322" t="s">
        <v>110</v>
      </c>
      <c r="R322" t="s">
        <v>111</v>
      </c>
      <c r="S322" t="s">
        <v>46</v>
      </c>
      <c r="T322" t="s">
        <v>56</v>
      </c>
      <c r="U322" t="s">
        <v>34</v>
      </c>
      <c r="V322">
        <v>5</v>
      </c>
      <c r="W322">
        <f>Table1[[#This Row],[Profit]]/Table1[[#This Row],[Sales]]</f>
        <v>0.3</v>
      </c>
    </row>
    <row r="323" spans="1:23" x14ac:dyDescent="0.25">
      <c r="A323" t="s">
        <v>893</v>
      </c>
      <c r="B323" s="1">
        <v>45720</v>
      </c>
      <c r="C323" t="s">
        <v>894</v>
      </c>
      <c r="D323" t="s">
        <v>895</v>
      </c>
      <c r="E323" t="s">
        <v>38</v>
      </c>
      <c r="F323" t="s">
        <v>39</v>
      </c>
      <c r="G323" t="s">
        <v>40</v>
      </c>
      <c r="H323" t="s">
        <v>41</v>
      </c>
      <c r="I323" t="s">
        <v>42</v>
      </c>
      <c r="J323">
        <v>5</v>
      </c>
      <c r="K323">
        <v>4500</v>
      </c>
      <c r="L323">
        <v>10</v>
      </c>
      <c r="M323">
        <v>20250</v>
      </c>
      <c r="N323">
        <v>15750</v>
      </c>
      <c r="O323">
        <v>4500.0000000000018</v>
      </c>
      <c r="P323" t="s">
        <v>95</v>
      </c>
      <c r="Q323" t="s">
        <v>96</v>
      </c>
      <c r="R323" t="s">
        <v>45</v>
      </c>
      <c r="S323" t="s">
        <v>46</v>
      </c>
      <c r="T323" t="s">
        <v>33</v>
      </c>
      <c r="U323" t="s">
        <v>48</v>
      </c>
      <c r="V323">
        <v>4</v>
      </c>
      <c r="W323">
        <f>Table1[[#This Row],[Profit]]/Table1[[#This Row],[Sales]]</f>
        <v>0.22222222222222232</v>
      </c>
    </row>
    <row r="324" spans="1:23" x14ac:dyDescent="0.25">
      <c r="A324" t="s">
        <v>896</v>
      </c>
      <c r="B324" s="1">
        <v>45862</v>
      </c>
      <c r="C324" t="s">
        <v>897</v>
      </c>
      <c r="D324" t="s">
        <v>231</v>
      </c>
      <c r="E324" t="s">
        <v>25</v>
      </c>
      <c r="F324" t="s">
        <v>26</v>
      </c>
      <c r="G324" t="s">
        <v>27</v>
      </c>
      <c r="H324" t="s">
        <v>28</v>
      </c>
      <c r="I324" t="s">
        <v>29</v>
      </c>
      <c r="J324">
        <v>2</v>
      </c>
      <c r="K324">
        <v>800</v>
      </c>
      <c r="L324">
        <v>5</v>
      </c>
      <c r="M324">
        <v>1520</v>
      </c>
      <c r="N324">
        <v>1120</v>
      </c>
      <c r="O324">
        <v>400</v>
      </c>
      <c r="P324" t="s">
        <v>109</v>
      </c>
      <c r="Q324" t="s">
        <v>110</v>
      </c>
      <c r="R324" t="s">
        <v>111</v>
      </c>
      <c r="S324" t="s">
        <v>32</v>
      </c>
      <c r="T324" t="s">
        <v>47</v>
      </c>
      <c r="U324" t="s">
        <v>34</v>
      </c>
      <c r="V324">
        <v>2</v>
      </c>
      <c r="W324">
        <f>Table1[[#This Row],[Profit]]/Table1[[#This Row],[Sales]]</f>
        <v>0.26315789473684209</v>
      </c>
    </row>
    <row r="325" spans="1:23" x14ac:dyDescent="0.25">
      <c r="A325" t="s">
        <v>898</v>
      </c>
      <c r="B325" s="1">
        <v>45872</v>
      </c>
      <c r="C325" t="s">
        <v>899</v>
      </c>
      <c r="D325" t="s">
        <v>99</v>
      </c>
      <c r="E325" t="s">
        <v>25</v>
      </c>
      <c r="F325" t="s">
        <v>26</v>
      </c>
      <c r="G325" t="s">
        <v>27</v>
      </c>
      <c r="H325" t="s">
        <v>28</v>
      </c>
      <c r="I325" t="s">
        <v>29</v>
      </c>
      <c r="J325">
        <v>1</v>
      </c>
      <c r="K325">
        <v>800</v>
      </c>
      <c r="L325">
        <v>5</v>
      </c>
      <c r="M325">
        <v>760</v>
      </c>
      <c r="N325">
        <v>560</v>
      </c>
      <c r="O325">
        <v>200</v>
      </c>
      <c r="P325" t="s">
        <v>95</v>
      </c>
      <c r="Q325" t="s">
        <v>96</v>
      </c>
      <c r="R325" t="s">
        <v>45</v>
      </c>
      <c r="S325" t="s">
        <v>32</v>
      </c>
      <c r="T325" t="s">
        <v>33</v>
      </c>
      <c r="U325" t="s">
        <v>34</v>
      </c>
      <c r="V325">
        <v>2</v>
      </c>
      <c r="W325">
        <f>Table1[[#This Row],[Profit]]/Table1[[#This Row],[Sales]]</f>
        <v>0.26315789473684209</v>
      </c>
    </row>
    <row r="326" spans="1:23" x14ac:dyDescent="0.25">
      <c r="A326" t="s">
        <v>900</v>
      </c>
      <c r="B326" s="1">
        <v>45963</v>
      </c>
      <c r="C326" t="s">
        <v>901</v>
      </c>
      <c r="D326" t="s">
        <v>557</v>
      </c>
      <c r="E326" t="s">
        <v>38</v>
      </c>
      <c r="F326" t="s">
        <v>39</v>
      </c>
      <c r="G326" t="s">
        <v>40</v>
      </c>
      <c r="H326" t="s">
        <v>41</v>
      </c>
      <c r="I326" t="s">
        <v>42</v>
      </c>
      <c r="J326">
        <v>5</v>
      </c>
      <c r="K326">
        <v>4500</v>
      </c>
      <c r="L326">
        <v>5</v>
      </c>
      <c r="M326">
        <v>21375</v>
      </c>
      <c r="N326">
        <v>15750</v>
      </c>
      <c r="O326">
        <v>5625.0000000000018</v>
      </c>
      <c r="P326" t="s">
        <v>43</v>
      </c>
      <c r="Q326" t="s">
        <v>44</v>
      </c>
      <c r="R326" t="s">
        <v>45</v>
      </c>
      <c r="S326" t="s">
        <v>32</v>
      </c>
      <c r="T326" t="s">
        <v>56</v>
      </c>
      <c r="U326" t="s">
        <v>34</v>
      </c>
      <c r="V326">
        <v>4</v>
      </c>
      <c r="W326">
        <f>Table1[[#This Row],[Profit]]/Table1[[#This Row],[Sales]]</f>
        <v>0.2631578947368422</v>
      </c>
    </row>
    <row r="327" spans="1:23" x14ac:dyDescent="0.25">
      <c r="A327" t="s">
        <v>902</v>
      </c>
      <c r="B327" s="1">
        <v>45998</v>
      </c>
      <c r="C327" t="s">
        <v>903</v>
      </c>
      <c r="D327" t="s">
        <v>904</v>
      </c>
      <c r="E327" t="s">
        <v>67</v>
      </c>
      <c r="F327" t="s">
        <v>68</v>
      </c>
      <c r="G327" t="s">
        <v>27</v>
      </c>
      <c r="H327" t="s">
        <v>28</v>
      </c>
      <c r="I327" t="s">
        <v>69</v>
      </c>
      <c r="J327">
        <v>4</v>
      </c>
      <c r="K327">
        <v>1500</v>
      </c>
      <c r="L327">
        <v>10</v>
      </c>
      <c r="M327">
        <v>5400</v>
      </c>
      <c r="N327">
        <v>4200</v>
      </c>
      <c r="O327">
        <v>1200</v>
      </c>
      <c r="P327" t="s">
        <v>43</v>
      </c>
      <c r="Q327" t="s">
        <v>44</v>
      </c>
      <c r="R327" t="s">
        <v>45</v>
      </c>
      <c r="S327" t="s">
        <v>60</v>
      </c>
      <c r="T327" t="s">
        <v>47</v>
      </c>
      <c r="U327" t="s">
        <v>48</v>
      </c>
      <c r="V327">
        <v>2</v>
      </c>
      <c r="W327">
        <f>Table1[[#This Row],[Profit]]/Table1[[#This Row],[Sales]]</f>
        <v>0.22222222222222221</v>
      </c>
    </row>
    <row r="328" spans="1:23" x14ac:dyDescent="0.25">
      <c r="A328" t="s">
        <v>905</v>
      </c>
      <c r="B328" s="1">
        <v>45756</v>
      </c>
      <c r="C328" t="s">
        <v>628</v>
      </c>
      <c r="D328" t="s">
        <v>906</v>
      </c>
      <c r="E328" t="s">
        <v>73</v>
      </c>
      <c r="F328" t="s">
        <v>74</v>
      </c>
      <c r="G328" t="s">
        <v>27</v>
      </c>
      <c r="H328" t="s">
        <v>75</v>
      </c>
      <c r="I328" t="s">
        <v>76</v>
      </c>
      <c r="J328">
        <v>3</v>
      </c>
      <c r="K328">
        <v>3500</v>
      </c>
      <c r="L328">
        <v>10</v>
      </c>
      <c r="M328">
        <v>9450</v>
      </c>
      <c r="N328">
        <v>7349.9999999999991</v>
      </c>
      <c r="O328">
        <v>2100.0000000000009</v>
      </c>
      <c r="P328" t="s">
        <v>30</v>
      </c>
      <c r="Q328" t="s">
        <v>30</v>
      </c>
      <c r="R328" t="s">
        <v>31</v>
      </c>
      <c r="S328" t="s">
        <v>60</v>
      </c>
      <c r="T328" t="s">
        <v>47</v>
      </c>
      <c r="U328" t="s">
        <v>34</v>
      </c>
      <c r="V328">
        <v>1</v>
      </c>
      <c r="W328">
        <f>Table1[[#This Row],[Profit]]/Table1[[#This Row],[Sales]]</f>
        <v>0.22222222222222232</v>
      </c>
    </row>
    <row r="329" spans="1:23" x14ac:dyDescent="0.25">
      <c r="A329" t="s">
        <v>907</v>
      </c>
      <c r="B329" s="1">
        <v>45727</v>
      </c>
      <c r="C329" t="s">
        <v>908</v>
      </c>
      <c r="D329" t="s">
        <v>909</v>
      </c>
      <c r="E329" t="s">
        <v>25</v>
      </c>
      <c r="F329" t="s">
        <v>26</v>
      </c>
      <c r="G329" t="s">
        <v>27</v>
      </c>
      <c r="H329" t="s">
        <v>28</v>
      </c>
      <c r="I329" t="s">
        <v>29</v>
      </c>
      <c r="J329">
        <v>3</v>
      </c>
      <c r="K329">
        <v>800</v>
      </c>
      <c r="L329">
        <v>10</v>
      </c>
      <c r="M329">
        <v>2160</v>
      </c>
      <c r="N329">
        <v>1680</v>
      </c>
      <c r="O329">
        <v>480</v>
      </c>
      <c r="P329" t="s">
        <v>95</v>
      </c>
      <c r="Q329" t="s">
        <v>96</v>
      </c>
      <c r="R329" t="s">
        <v>45</v>
      </c>
      <c r="S329" t="s">
        <v>46</v>
      </c>
      <c r="T329" t="s">
        <v>47</v>
      </c>
      <c r="U329" t="s">
        <v>34</v>
      </c>
      <c r="V329">
        <v>3</v>
      </c>
      <c r="W329">
        <f>Table1[[#This Row],[Profit]]/Table1[[#This Row],[Sales]]</f>
        <v>0.22222222222222221</v>
      </c>
    </row>
    <row r="330" spans="1:23" x14ac:dyDescent="0.25">
      <c r="A330" t="s">
        <v>910</v>
      </c>
      <c r="B330" s="1">
        <v>45738</v>
      </c>
      <c r="C330" t="s">
        <v>911</v>
      </c>
      <c r="D330" t="s">
        <v>376</v>
      </c>
      <c r="E330" t="s">
        <v>73</v>
      </c>
      <c r="F330" t="s">
        <v>74</v>
      </c>
      <c r="G330" t="s">
        <v>27</v>
      </c>
      <c r="H330" t="s">
        <v>75</v>
      </c>
      <c r="I330" t="s">
        <v>76</v>
      </c>
      <c r="J330">
        <v>2</v>
      </c>
      <c r="K330">
        <v>3500</v>
      </c>
      <c r="L330">
        <v>0</v>
      </c>
      <c r="M330">
        <v>7000</v>
      </c>
      <c r="N330">
        <v>4900</v>
      </c>
      <c r="O330">
        <v>2100</v>
      </c>
      <c r="P330" t="s">
        <v>95</v>
      </c>
      <c r="Q330" t="s">
        <v>96</v>
      </c>
      <c r="R330" t="s">
        <v>45</v>
      </c>
      <c r="S330" t="s">
        <v>46</v>
      </c>
      <c r="T330" t="s">
        <v>33</v>
      </c>
      <c r="U330" t="s">
        <v>34</v>
      </c>
      <c r="V330">
        <v>5</v>
      </c>
      <c r="W330">
        <f>Table1[[#This Row],[Profit]]/Table1[[#This Row],[Sales]]</f>
        <v>0.3</v>
      </c>
    </row>
    <row r="331" spans="1:23" x14ac:dyDescent="0.25">
      <c r="A331" t="s">
        <v>912</v>
      </c>
      <c r="B331" s="1">
        <v>45784</v>
      </c>
      <c r="C331" t="s">
        <v>913</v>
      </c>
      <c r="D331" t="s">
        <v>914</v>
      </c>
      <c r="E331" t="s">
        <v>38</v>
      </c>
      <c r="F331" t="s">
        <v>39</v>
      </c>
      <c r="G331" t="s">
        <v>40</v>
      </c>
      <c r="H331" t="s">
        <v>41</v>
      </c>
      <c r="I331" t="s">
        <v>42</v>
      </c>
      <c r="J331">
        <v>3</v>
      </c>
      <c r="K331">
        <v>4500</v>
      </c>
      <c r="L331">
        <v>15</v>
      </c>
      <c r="M331">
        <v>11475</v>
      </c>
      <c r="N331">
        <v>9450</v>
      </c>
      <c r="O331">
        <v>2025</v>
      </c>
      <c r="P331" t="s">
        <v>95</v>
      </c>
      <c r="Q331" t="s">
        <v>96</v>
      </c>
      <c r="R331" t="s">
        <v>45</v>
      </c>
      <c r="S331" t="s">
        <v>46</v>
      </c>
      <c r="T331" t="s">
        <v>47</v>
      </c>
      <c r="U331" t="s">
        <v>34</v>
      </c>
      <c r="V331">
        <v>1</v>
      </c>
      <c r="W331">
        <f>Table1[[#This Row],[Profit]]/Table1[[#This Row],[Sales]]</f>
        <v>0.17647058823529413</v>
      </c>
    </row>
    <row r="332" spans="1:23" x14ac:dyDescent="0.25">
      <c r="A332" t="s">
        <v>915</v>
      </c>
      <c r="B332" s="1">
        <v>45663</v>
      </c>
      <c r="C332" t="s">
        <v>916</v>
      </c>
      <c r="D332" t="s">
        <v>917</v>
      </c>
      <c r="E332" t="s">
        <v>67</v>
      </c>
      <c r="F332" t="s">
        <v>68</v>
      </c>
      <c r="G332" t="s">
        <v>27</v>
      </c>
      <c r="H332" t="s">
        <v>28</v>
      </c>
      <c r="I332" t="s">
        <v>69</v>
      </c>
      <c r="J332">
        <v>2</v>
      </c>
      <c r="K332">
        <v>1500</v>
      </c>
      <c r="L332">
        <v>10</v>
      </c>
      <c r="M332">
        <v>2700</v>
      </c>
      <c r="N332">
        <v>2100</v>
      </c>
      <c r="O332">
        <v>600</v>
      </c>
      <c r="P332" t="s">
        <v>109</v>
      </c>
      <c r="Q332" t="s">
        <v>110</v>
      </c>
      <c r="R332" t="s">
        <v>111</v>
      </c>
      <c r="S332" t="s">
        <v>46</v>
      </c>
      <c r="T332" t="s">
        <v>47</v>
      </c>
      <c r="U332" t="s">
        <v>48</v>
      </c>
      <c r="V332">
        <v>5</v>
      </c>
      <c r="W332">
        <f>Table1[[#This Row],[Profit]]/Table1[[#This Row],[Sales]]</f>
        <v>0.22222222222222221</v>
      </c>
    </row>
    <row r="333" spans="1:23" x14ac:dyDescent="0.25">
      <c r="A333" t="s">
        <v>918</v>
      </c>
      <c r="B333" s="1">
        <v>45915</v>
      </c>
      <c r="C333" t="s">
        <v>919</v>
      </c>
      <c r="D333" t="s">
        <v>920</v>
      </c>
      <c r="E333" t="s">
        <v>38</v>
      </c>
      <c r="F333" t="s">
        <v>39</v>
      </c>
      <c r="G333" t="s">
        <v>40</v>
      </c>
      <c r="H333" t="s">
        <v>41</v>
      </c>
      <c r="I333" t="s">
        <v>42</v>
      </c>
      <c r="J333">
        <v>5</v>
      </c>
      <c r="K333">
        <v>4500</v>
      </c>
      <c r="L333">
        <v>15</v>
      </c>
      <c r="M333">
        <v>19125</v>
      </c>
      <c r="N333">
        <v>15750</v>
      </c>
      <c r="O333">
        <v>3375.0000000000018</v>
      </c>
      <c r="P333" t="s">
        <v>30</v>
      </c>
      <c r="Q333" t="s">
        <v>30</v>
      </c>
      <c r="R333" t="s">
        <v>31</v>
      </c>
      <c r="S333" t="s">
        <v>60</v>
      </c>
      <c r="T333" t="s">
        <v>33</v>
      </c>
      <c r="U333" t="s">
        <v>34</v>
      </c>
      <c r="V333">
        <v>5</v>
      </c>
      <c r="W333">
        <f>Table1[[#This Row],[Profit]]/Table1[[#This Row],[Sales]]</f>
        <v>0.17647058823529421</v>
      </c>
    </row>
    <row r="334" spans="1:23" x14ac:dyDescent="0.25">
      <c r="A334" t="s">
        <v>921</v>
      </c>
      <c r="B334" s="1">
        <v>45694</v>
      </c>
      <c r="C334" t="s">
        <v>922</v>
      </c>
      <c r="D334" t="s">
        <v>415</v>
      </c>
      <c r="E334" t="s">
        <v>52</v>
      </c>
      <c r="F334" t="s">
        <v>53</v>
      </c>
      <c r="G334" t="s">
        <v>27</v>
      </c>
      <c r="H334" t="s">
        <v>54</v>
      </c>
      <c r="I334" t="s">
        <v>55</v>
      </c>
      <c r="J334">
        <v>2</v>
      </c>
      <c r="K334">
        <v>55000</v>
      </c>
      <c r="L334">
        <v>15</v>
      </c>
      <c r="M334">
        <v>93500</v>
      </c>
      <c r="N334">
        <v>77000</v>
      </c>
      <c r="O334">
        <v>16500</v>
      </c>
      <c r="P334" t="s">
        <v>43</v>
      </c>
      <c r="Q334" t="s">
        <v>44</v>
      </c>
      <c r="R334" t="s">
        <v>45</v>
      </c>
      <c r="S334" t="s">
        <v>32</v>
      </c>
      <c r="T334" t="s">
        <v>47</v>
      </c>
      <c r="U334" t="s">
        <v>34</v>
      </c>
      <c r="V334">
        <v>4</v>
      </c>
      <c r="W334">
        <f>Table1[[#This Row],[Profit]]/Table1[[#This Row],[Sales]]</f>
        <v>0.17647058823529413</v>
      </c>
    </row>
    <row r="335" spans="1:23" x14ac:dyDescent="0.25">
      <c r="A335" t="s">
        <v>923</v>
      </c>
      <c r="B335" s="1">
        <v>45971</v>
      </c>
      <c r="C335" t="s">
        <v>228</v>
      </c>
      <c r="D335" t="s">
        <v>580</v>
      </c>
      <c r="E335" t="s">
        <v>25</v>
      </c>
      <c r="F335" t="s">
        <v>26</v>
      </c>
      <c r="G335" t="s">
        <v>27</v>
      </c>
      <c r="H335" t="s">
        <v>28</v>
      </c>
      <c r="I335" t="s">
        <v>29</v>
      </c>
      <c r="J335">
        <v>1</v>
      </c>
      <c r="K335">
        <v>800</v>
      </c>
      <c r="L335">
        <v>5</v>
      </c>
      <c r="M335">
        <v>760</v>
      </c>
      <c r="N335">
        <v>560</v>
      </c>
      <c r="O335">
        <v>200</v>
      </c>
      <c r="P335" t="s">
        <v>43</v>
      </c>
      <c r="Q335" t="s">
        <v>44</v>
      </c>
      <c r="R335" t="s">
        <v>45</v>
      </c>
      <c r="S335" t="s">
        <v>46</v>
      </c>
      <c r="T335" t="s">
        <v>47</v>
      </c>
      <c r="U335" t="s">
        <v>34</v>
      </c>
      <c r="V335">
        <v>2</v>
      </c>
      <c r="W335">
        <f>Table1[[#This Row],[Profit]]/Table1[[#This Row],[Sales]]</f>
        <v>0.26315789473684209</v>
      </c>
    </row>
    <row r="336" spans="1:23" x14ac:dyDescent="0.25">
      <c r="A336" t="s">
        <v>924</v>
      </c>
      <c r="B336" s="1">
        <v>45746</v>
      </c>
      <c r="C336" t="s">
        <v>704</v>
      </c>
      <c r="D336" t="s">
        <v>925</v>
      </c>
      <c r="E336" t="s">
        <v>73</v>
      </c>
      <c r="F336" t="s">
        <v>74</v>
      </c>
      <c r="G336" t="s">
        <v>27</v>
      </c>
      <c r="H336" t="s">
        <v>75</v>
      </c>
      <c r="I336" t="s">
        <v>76</v>
      </c>
      <c r="J336">
        <v>2</v>
      </c>
      <c r="K336">
        <v>3500</v>
      </c>
      <c r="L336">
        <v>15</v>
      </c>
      <c r="M336">
        <v>5950</v>
      </c>
      <c r="N336">
        <v>4900</v>
      </c>
      <c r="O336">
        <v>1050</v>
      </c>
      <c r="P336" t="s">
        <v>109</v>
      </c>
      <c r="Q336" t="s">
        <v>110</v>
      </c>
      <c r="R336" t="s">
        <v>111</v>
      </c>
      <c r="S336" t="s">
        <v>32</v>
      </c>
      <c r="T336" t="s">
        <v>56</v>
      </c>
      <c r="U336" t="s">
        <v>48</v>
      </c>
      <c r="V336">
        <v>5</v>
      </c>
      <c r="W336">
        <f>Table1[[#This Row],[Profit]]/Table1[[#This Row],[Sales]]</f>
        <v>0.17647058823529413</v>
      </c>
    </row>
    <row r="337" spans="1:23" x14ac:dyDescent="0.25">
      <c r="A337" t="s">
        <v>926</v>
      </c>
      <c r="B337" s="1">
        <v>45795</v>
      </c>
      <c r="C337" t="s">
        <v>296</v>
      </c>
      <c r="D337" t="s">
        <v>927</v>
      </c>
      <c r="E337" t="s">
        <v>67</v>
      </c>
      <c r="F337" t="s">
        <v>68</v>
      </c>
      <c r="G337" t="s">
        <v>27</v>
      </c>
      <c r="H337" t="s">
        <v>28</v>
      </c>
      <c r="I337" t="s">
        <v>69</v>
      </c>
      <c r="J337">
        <v>4</v>
      </c>
      <c r="K337">
        <v>1500</v>
      </c>
      <c r="L337">
        <v>0</v>
      </c>
      <c r="M337">
        <v>6000</v>
      </c>
      <c r="N337">
        <v>4200</v>
      </c>
      <c r="O337">
        <v>1800</v>
      </c>
      <c r="P337" t="s">
        <v>30</v>
      </c>
      <c r="Q337" t="s">
        <v>30</v>
      </c>
      <c r="R337" t="s">
        <v>31</v>
      </c>
      <c r="S337" t="s">
        <v>46</v>
      </c>
      <c r="T337" t="s">
        <v>47</v>
      </c>
      <c r="U337" t="s">
        <v>34</v>
      </c>
      <c r="V337">
        <v>2</v>
      </c>
      <c r="W337">
        <f>Table1[[#This Row],[Profit]]/Table1[[#This Row],[Sales]]</f>
        <v>0.3</v>
      </c>
    </row>
    <row r="338" spans="1:23" x14ac:dyDescent="0.25">
      <c r="A338" t="s">
        <v>928</v>
      </c>
      <c r="B338" s="1">
        <v>45969</v>
      </c>
      <c r="C338" t="s">
        <v>929</v>
      </c>
      <c r="D338" t="s">
        <v>646</v>
      </c>
      <c r="E338" t="s">
        <v>52</v>
      </c>
      <c r="F338" t="s">
        <v>53</v>
      </c>
      <c r="G338" t="s">
        <v>27</v>
      </c>
      <c r="H338" t="s">
        <v>54</v>
      </c>
      <c r="I338" t="s">
        <v>55</v>
      </c>
      <c r="J338">
        <v>5</v>
      </c>
      <c r="K338">
        <v>55000</v>
      </c>
      <c r="L338">
        <v>10</v>
      </c>
      <c r="M338">
        <v>247500</v>
      </c>
      <c r="N338">
        <v>192500</v>
      </c>
      <c r="O338">
        <v>55000</v>
      </c>
      <c r="P338" t="s">
        <v>43</v>
      </c>
      <c r="Q338" t="s">
        <v>44</v>
      </c>
      <c r="R338" t="s">
        <v>45</v>
      </c>
      <c r="S338" t="s">
        <v>60</v>
      </c>
      <c r="T338" t="s">
        <v>56</v>
      </c>
      <c r="U338" t="s">
        <v>48</v>
      </c>
      <c r="V338">
        <v>5</v>
      </c>
      <c r="W338">
        <f>Table1[[#This Row],[Profit]]/Table1[[#This Row],[Sales]]</f>
        <v>0.22222222222222221</v>
      </c>
    </row>
    <row r="339" spans="1:23" x14ac:dyDescent="0.25">
      <c r="A339" t="s">
        <v>930</v>
      </c>
      <c r="B339" s="1">
        <v>45969</v>
      </c>
      <c r="C339" t="s">
        <v>931</v>
      </c>
      <c r="D339" t="s">
        <v>586</v>
      </c>
      <c r="E339" t="s">
        <v>67</v>
      </c>
      <c r="F339" t="s">
        <v>68</v>
      </c>
      <c r="G339" t="s">
        <v>27</v>
      </c>
      <c r="H339" t="s">
        <v>28</v>
      </c>
      <c r="I339" t="s">
        <v>69</v>
      </c>
      <c r="J339">
        <v>1</v>
      </c>
      <c r="K339">
        <v>1500</v>
      </c>
      <c r="L339">
        <v>15</v>
      </c>
      <c r="M339">
        <v>1275</v>
      </c>
      <c r="N339">
        <v>1050</v>
      </c>
      <c r="O339">
        <v>225</v>
      </c>
      <c r="P339" t="s">
        <v>109</v>
      </c>
      <c r="Q339" t="s">
        <v>110</v>
      </c>
      <c r="R339" t="s">
        <v>111</v>
      </c>
      <c r="S339" t="s">
        <v>32</v>
      </c>
      <c r="T339" t="s">
        <v>47</v>
      </c>
      <c r="U339" t="s">
        <v>34</v>
      </c>
      <c r="V339">
        <v>4</v>
      </c>
      <c r="W339">
        <f>Table1[[#This Row],[Profit]]/Table1[[#This Row],[Sales]]</f>
        <v>0.17647058823529413</v>
      </c>
    </row>
    <row r="340" spans="1:23" x14ac:dyDescent="0.25">
      <c r="A340" t="s">
        <v>932</v>
      </c>
      <c r="B340" s="1">
        <v>45952</v>
      </c>
      <c r="C340" t="s">
        <v>443</v>
      </c>
      <c r="D340" t="s">
        <v>933</v>
      </c>
      <c r="E340" t="s">
        <v>67</v>
      </c>
      <c r="F340" t="s">
        <v>68</v>
      </c>
      <c r="G340" t="s">
        <v>27</v>
      </c>
      <c r="H340" t="s">
        <v>28</v>
      </c>
      <c r="I340" t="s">
        <v>69</v>
      </c>
      <c r="J340">
        <v>1</v>
      </c>
      <c r="K340">
        <v>1500</v>
      </c>
      <c r="L340">
        <v>5</v>
      </c>
      <c r="M340">
        <v>1425</v>
      </c>
      <c r="N340">
        <v>1050</v>
      </c>
      <c r="O340">
        <v>375</v>
      </c>
      <c r="P340" t="s">
        <v>43</v>
      </c>
      <c r="Q340" t="s">
        <v>44</v>
      </c>
      <c r="R340" t="s">
        <v>45</v>
      </c>
      <c r="S340" t="s">
        <v>60</v>
      </c>
      <c r="T340" t="s">
        <v>56</v>
      </c>
      <c r="U340" t="s">
        <v>34</v>
      </c>
      <c r="V340">
        <v>1</v>
      </c>
      <c r="W340">
        <f>Table1[[#This Row],[Profit]]/Table1[[#This Row],[Sales]]</f>
        <v>0.26315789473684209</v>
      </c>
    </row>
    <row r="341" spans="1:23" x14ac:dyDescent="0.25">
      <c r="A341" t="s">
        <v>934</v>
      </c>
      <c r="B341" s="1">
        <v>45970</v>
      </c>
      <c r="C341" t="s">
        <v>935</v>
      </c>
      <c r="D341" t="s">
        <v>165</v>
      </c>
      <c r="E341" t="s">
        <v>38</v>
      </c>
      <c r="F341" t="s">
        <v>39</v>
      </c>
      <c r="G341" t="s">
        <v>40</v>
      </c>
      <c r="H341" t="s">
        <v>41</v>
      </c>
      <c r="I341" t="s">
        <v>42</v>
      </c>
      <c r="J341">
        <v>3</v>
      </c>
      <c r="K341">
        <v>4500</v>
      </c>
      <c r="L341">
        <v>10</v>
      </c>
      <c r="M341">
        <v>12150</v>
      </c>
      <c r="N341">
        <v>9450</v>
      </c>
      <c r="O341">
        <v>2700</v>
      </c>
      <c r="P341" t="s">
        <v>95</v>
      </c>
      <c r="Q341" t="s">
        <v>96</v>
      </c>
      <c r="R341" t="s">
        <v>45</v>
      </c>
      <c r="S341" t="s">
        <v>46</v>
      </c>
      <c r="T341" t="s">
        <v>56</v>
      </c>
      <c r="U341" t="s">
        <v>34</v>
      </c>
      <c r="V341">
        <v>3</v>
      </c>
      <c r="W341">
        <f>Table1[[#This Row],[Profit]]/Table1[[#This Row],[Sales]]</f>
        <v>0.22222222222222221</v>
      </c>
    </row>
    <row r="342" spans="1:23" x14ac:dyDescent="0.25">
      <c r="A342" t="s">
        <v>936</v>
      </c>
      <c r="B342" s="1">
        <v>45886</v>
      </c>
      <c r="C342" t="s">
        <v>937</v>
      </c>
      <c r="D342" t="s">
        <v>938</v>
      </c>
      <c r="E342" t="s">
        <v>38</v>
      </c>
      <c r="F342" t="s">
        <v>39</v>
      </c>
      <c r="G342" t="s">
        <v>40</v>
      </c>
      <c r="H342" t="s">
        <v>41</v>
      </c>
      <c r="I342" t="s">
        <v>42</v>
      </c>
      <c r="J342">
        <v>2</v>
      </c>
      <c r="K342">
        <v>4500</v>
      </c>
      <c r="L342">
        <v>5</v>
      </c>
      <c r="M342">
        <v>8550</v>
      </c>
      <c r="N342">
        <v>6300</v>
      </c>
      <c r="O342">
        <v>2250</v>
      </c>
      <c r="P342" t="s">
        <v>95</v>
      </c>
      <c r="Q342" t="s">
        <v>96</v>
      </c>
      <c r="R342" t="s">
        <v>45</v>
      </c>
      <c r="S342" t="s">
        <v>46</v>
      </c>
      <c r="T342" t="s">
        <v>56</v>
      </c>
      <c r="U342" t="s">
        <v>48</v>
      </c>
      <c r="V342">
        <v>1</v>
      </c>
      <c r="W342">
        <f>Table1[[#This Row],[Profit]]/Table1[[#This Row],[Sales]]</f>
        <v>0.26315789473684209</v>
      </c>
    </row>
    <row r="343" spans="1:23" x14ac:dyDescent="0.25">
      <c r="A343" t="s">
        <v>939</v>
      </c>
      <c r="B343" s="1">
        <v>45790</v>
      </c>
      <c r="C343" t="s">
        <v>940</v>
      </c>
      <c r="D343" t="s">
        <v>592</v>
      </c>
      <c r="E343" t="s">
        <v>25</v>
      </c>
      <c r="F343" t="s">
        <v>26</v>
      </c>
      <c r="G343" t="s">
        <v>27</v>
      </c>
      <c r="H343" t="s">
        <v>28</v>
      </c>
      <c r="I343" t="s">
        <v>29</v>
      </c>
      <c r="J343">
        <v>4</v>
      </c>
      <c r="K343">
        <v>800</v>
      </c>
      <c r="L343">
        <v>15</v>
      </c>
      <c r="M343">
        <v>2720</v>
      </c>
      <c r="N343">
        <v>2240</v>
      </c>
      <c r="O343">
        <v>480</v>
      </c>
      <c r="P343" t="s">
        <v>43</v>
      </c>
      <c r="Q343" t="s">
        <v>44</v>
      </c>
      <c r="R343" t="s">
        <v>45</v>
      </c>
      <c r="S343" t="s">
        <v>60</v>
      </c>
      <c r="T343" t="s">
        <v>56</v>
      </c>
      <c r="U343" t="s">
        <v>34</v>
      </c>
      <c r="V343">
        <v>5</v>
      </c>
      <c r="W343">
        <f>Table1[[#This Row],[Profit]]/Table1[[#This Row],[Sales]]</f>
        <v>0.17647058823529413</v>
      </c>
    </row>
    <row r="344" spans="1:23" x14ac:dyDescent="0.25">
      <c r="A344" t="s">
        <v>941</v>
      </c>
      <c r="B344" s="1">
        <v>45691</v>
      </c>
      <c r="C344" t="s">
        <v>942</v>
      </c>
      <c r="D344" t="s">
        <v>351</v>
      </c>
      <c r="E344" t="s">
        <v>52</v>
      </c>
      <c r="F344" t="s">
        <v>53</v>
      </c>
      <c r="G344" t="s">
        <v>27</v>
      </c>
      <c r="H344" t="s">
        <v>54</v>
      </c>
      <c r="I344" t="s">
        <v>55</v>
      </c>
      <c r="J344">
        <v>4</v>
      </c>
      <c r="K344">
        <v>55000</v>
      </c>
      <c r="L344">
        <v>5</v>
      </c>
      <c r="M344">
        <v>209000</v>
      </c>
      <c r="N344">
        <v>154000</v>
      </c>
      <c r="O344">
        <v>55000</v>
      </c>
      <c r="P344" t="s">
        <v>43</v>
      </c>
      <c r="Q344" t="s">
        <v>44</v>
      </c>
      <c r="R344" t="s">
        <v>45</v>
      </c>
      <c r="S344" t="s">
        <v>60</v>
      </c>
      <c r="T344" t="s">
        <v>47</v>
      </c>
      <c r="U344" t="s">
        <v>34</v>
      </c>
      <c r="V344">
        <v>3</v>
      </c>
      <c r="W344">
        <f>Table1[[#This Row],[Profit]]/Table1[[#This Row],[Sales]]</f>
        <v>0.26315789473684209</v>
      </c>
    </row>
    <row r="345" spans="1:23" x14ac:dyDescent="0.25">
      <c r="A345" t="s">
        <v>943</v>
      </c>
      <c r="B345" s="1">
        <v>45992</v>
      </c>
      <c r="C345" t="s">
        <v>944</v>
      </c>
      <c r="D345" t="s">
        <v>215</v>
      </c>
      <c r="E345" t="s">
        <v>38</v>
      </c>
      <c r="F345" t="s">
        <v>39</v>
      </c>
      <c r="G345" t="s">
        <v>40</v>
      </c>
      <c r="H345" t="s">
        <v>41</v>
      </c>
      <c r="I345" t="s">
        <v>42</v>
      </c>
      <c r="J345">
        <v>1</v>
      </c>
      <c r="K345">
        <v>4500</v>
      </c>
      <c r="L345">
        <v>5</v>
      </c>
      <c r="M345">
        <v>4275</v>
      </c>
      <c r="N345">
        <v>3150</v>
      </c>
      <c r="O345">
        <v>1125</v>
      </c>
      <c r="P345" t="s">
        <v>109</v>
      </c>
      <c r="Q345" t="s">
        <v>110</v>
      </c>
      <c r="R345" t="s">
        <v>111</v>
      </c>
      <c r="S345" t="s">
        <v>32</v>
      </c>
      <c r="T345" t="s">
        <v>56</v>
      </c>
      <c r="U345" t="s">
        <v>34</v>
      </c>
      <c r="V345">
        <v>4</v>
      </c>
      <c r="W345">
        <f>Table1[[#This Row],[Profit]]/Table1[[#This Row],[Sales]]</f>
        <v>0.26315789473684209</v>
      </c>
    </row>
    <row r="346" spans="1:23" x14ac:dyDescent="0.25">
      <c r="A346" t="s">
        <v>945</v>
      </c>
      <c r="B346" s="1">
        <v>45720</v>
      </c>
      <c r="C346" t="s">
        <v>184</v>
      </c>
      <c r="D346" t="s">
        <v>946</v>
      </c>
      <c r="E346" t="s">
        <v>67</v>
      </c>
      <c r="F346" t="s">
        <v>68</v>
      </c>
      <c r="G346" t="s">
        <v>27</v>
      </c>
      <c r="H346" t="s">
        <v>28</v>
      </c>
      <c r="I346" t="s">
        <v>69</v>
      </c>
      <c r="J346">
        <v>3</v>
      </c>
      <c r="K346">
        <v>1500</v>
      </c>
      <c r="L346">
        <v>0</v>
      </c>
      <c r="M346">
        <v>4500</v>
      </c>
      <c r="N346">
        <v>3150</v>
      </c>
      <c r="O346">
        <v>1350</v>
      </c>
      <c r="P346" t="s">
        <v>30</v>
      </c>
      <c r="Q346" t="s">
        <v>30</v>
      </c>
      <c r="R346" t="s">
        <v>31</v>
      </c>
      <c r="S346" t="s">
        <v>60</v>
      </c>
      <c r="T346" t="s">
        <v>47</v>
      </c>
      <c r="U346" t="s">
        <v>48</v>
      </c>
      <c r="V346">
        <v>2</v>
      </c>
      <c r="W346">
        <f>Table1[[#This Row],[Profit]]/Table1[[#This Row],[Sales]]</f>
        <v>0.3</v>
      </c>
    </row>
    <row r="347" spans="1:23" x14ac:dyDescent="0.25">
      <c r="A347" t="s">
        <v>947</v>
      </c>
      <c r="B347" s="1">
        <v>45673</v>
      </c>
      <c r="C347" t="s">
        <v>948</v>
      </c>
      <c r="D347" t="s">
        <v>949</v>
      </c>
      <c r="E347" t="s">
        <v>25</v>
      </c>
      <c r="F347" t="s">
        <v>26</v>
      </c>
      <c r="G347" t="s">
        <v>27</v>
      </c>
      <c r="H347" t="s">
        <v>28</v>
      </c>
      <c r="I347" t="s">
        <v>29</v>
      </c>
      <c r="J347">
        <v>2</v>
      </c>
      <c r="K347">
        <v>800</v>
      </c>
      <c r="L347">
        <v>0</v>
      </c>
      <c r="M347">
        <v>1600</v>
      </c>
      <c r="N347">
        <v>1120</v>
      </c>
      <c r="O347">
        <v>480</v>
      </c>
      <c r="P347" t="s">
        <v>109</v>
      </c>
      <c r="Q347" t="s">
        <v>110</v>
      </c>
      <c r="R347" t="s">
        <v>111</v>
      </c>
      <c r="S347" t="s">
        <v>32</v>
      </c>
      <c r="T347" t="s">
        <v>56</v>
      </c>
      <c r="U347" t="s">
        <v>48</v>
      </c>
      <c r="V347">
        <v>3</v>
      </c>
      <c r="W347">
        <f>Table1[[#This Row],[Profit]]/Table1[[#This Row],[Sales]]</f>
        <v>0.3</v>
      </c>
    </row>
    <row r="348" spans="1:23" x14ac:dyDescent="0.25">
      <c r="A348" t="s">
        <v>950</v>
      </c>
      <c r="B348" s="1">
        <v>45884</v>
      </c>
      <c r="C348" t="s">
        <v>364</v>
      </c>
      <c r="D348" t="s">
        <v>949</v>
      </c>
      <c r="E348" t="s">
        <v>73</v>
      </c>
      <c r="F348" t="s">
        <v>74</v>
      </c>
      <c r="G348" t="s">
        <v>27</v>
      </c>
      <c r="H348" t="s">
        <v>75</v>
      </c>
      <c r="I348" t="s">
        <v>76</v>
      </c>
      <c r="J348">
        <v>3</v>
      </c>
      <c r="K348">
        <v>3500</v>
      </c>
      <c r="L348">
        <v>5</v>
      </c>
      <c r="M348">
        <v>9975</v>
      </c>
      <c r="N348">
        <v>7349.9999999999991</v>
      </c>
      <c r="O348">
        <v>2625.0000000000009</v>
      </c>
      <c r="P348" t="s">
        <v>95</v>
      </c>
      <c r="Q348" t="s">
        <v>96</v>
      </c>
      <c r="R348" t="s">
        <v>45</v>
      </c>
      <c r="S348" t="s">
        <v>60</v>
      </c>
      <c r="T348" t="s">
        <v>56</v>
      </c>
      <c r="U348" t="s">
        <v>48</v>
      </c>
      <c r="V348">
        <v>1</v>
      </c>
      <c r="W348">
        <f>Table1[[#This Row],[Profit]]/Table1[[#This Row],[Sales]]</f>
        <v>0.2631578947368422</v>
      </c>
    </row>
    <row r="349" spans="1:23" x14ac:dyDescent="0.25">
      <c r="A349" t="s">
        <v>951</v>
      </c>
      <c r="B349" s="1">
        <v>45906</v>
      </c>
      <c r="C349" t="s">
        <v>611</v>
      </c>
      <c r="D349" t="s">
        <v>952</v>
      </c>
      <c r="E349" t="s">
        <v>52</v>
      </c>
      <c r="F349" t="s">
        <v>53</v>
      </c>
      <c r="G349" t="s">
        <v>27</v>
      </c>
      <c r="H349" t="s">
        <v>54</v>
      </c>
      <c r="I349" t="s">
        <v>55</v>
      </c>
      <c r="J349">
        <v>3</v>
      </c>
      <c r="K349">
        <v>55000</v>
      </c>
      <c r="L349">
        <v>15</v>
      </c>
      <c r="M349">
        <v>140250</v>
      </c>
      <c r="N349">
        <v>115500</v>
      </c>
      <c r="O349">
        <v>24750.000000000011</v>
      </c>
      <c r="P349" t="s">
        <v>30</v>
      </c>
      <c r="Q349" t="s">
        <v>30</v>
      </c>
      <c r="R349" t="s">
        <v>31</v>
      </c>
      <c r="S349" t="s">
        <v>46</v>
      </c>
      <c r="T349" t="s">
        <v>33</v>
      </c>
      <c r="U349" t="s">
        <v>48</v>
      </c>
      <c r="V349">
        <v>4</v>
      </c>
      <c r="W349">
        <f>Table1[[#This Row],[Profit]]/Table1[[#This Row],[Sales]]</f>
        <v>0.17647058823529418</v>
      </c>
    </row>
    <row r="350" spans="1:23" x14ac:dyDescent="0.25">
      <c r="A350" t="s">
        <v>953</v>
      </c>
      <c r="B350" s="1">
        <v>45968</v>
      </c>
      <c r="C350" t="s">
        <v>954</v>
      </c>
      <c r="D350" t="s">
        <v>51</v>
      </c>
      <c r="E350" t="s">
        <v>52</v>
      </c>
      <c r="F350" t="s">
        <v>53</v>
      </c>
      <c r="G350" t="s">
        <v>27</v>
      </c>
      <c r="H350" t="s">
        <v>54</v>
      </c>
      <c r="I350" t="s">
        <v>55</v>
      </c>
      <c r="J350">
        <v>5</v>
      </c>
      <c r="K350">
        <v>55000</v>
      </c>
      <c r="L350">
        <v>10</v>
      </c>
      <c r="M350">
        <v>247500</v>
      </c>
      <c r="N350">
        <v>192500</v>
      </c>
      <c r="O350">
        <v>55000</v>
      </c>
      <c r="P350" t="s">
        <v>43</v>
      </c>
      <c r="Q350" t="s">
        <v>44</v>
      </c>
      <c r="R350" t="s">
        <v>45</v>
      </c>
      <c r="S350" t="s">
        <v>46</v>
      </c>
      <c r="T350" t="s">
        <v>33</v>
      </c>
      <c r="U350" t="s">
        <v>34</v>
      </c>
      <c r="V350">
        <v>1</v>
      </c>
      <c r="W350">
        <f>Table1[[#This Row],[Profit]]/Table1[[#This Row],[Sales]]</f>
        <v>0.22222222222222221</v>
      </c>
    </row>
    <row r="351" spans="1:23" x14ac:dyDescent="0.25">
      <c r="A351" t="s">
        <v>955</v>
      </c>
      <c r="B351" s="1">
        <v>45684</v>
      </c>
      <c r="C351" t="s">
        <v>956</v>
      </c>
      <c r="D351" t="s">
        <v>957</v>
      </c>
      <c r="E351" t="s">
        <v>67</v>
      </c>
      <c r="F351" t="s">
        <v>68</v>
      </c>
      <c r="G351" t="s">
        <v>27</v>
      </c>
      <c r="H351" t="s">
        <v>28</v>
      </c>
      <c r="I351" t="s">
        <v>69</v>
      </c>
      <c r="J351">
        <v>3</v>
      </c>
      <c r="K351">
        <v>1500</v>
      </c>
      <c r="L351">
        <v>10</v>
      </c>
      <c r="M351">
        <v>4050</v>
      </c>
      <c r="N351">
        <v>3150</v>
      </c>
      <c r="O351">
        <v>900</v>
      </c>
      <c r="P351" t="s">
        <v>109</v>
      </c>
      <c r="Q351" t="s">
        <v>110</v>
      </c>
      <c r="R351" t="s">
        <v>111</v>
      </c>
      <c r="S351" t="s">
        <v>46</v>
      </c>
      <c r="T351" t="s">
        <v>33</v>
      </c>
      <c r="U351" t="s">
        <v>48</v>
      </c>
      <c r="V351">
        <v>4</v>
      </c>
      <c r="W351">
        <f>Table1[[#This Row],[Profit]]/Table1[[#This Row],[Sales]]</f>
        <v>0.22222222222222221</v>
      </c>
    </row>
    <row r="352" spans="1:23" x14ac:dyDescent="0.25">
      <c r="A352" t="s">
        <v>958</v>
      </c>
      <c r="B352" s="1">
        <v>45681</v>
      </c>
      <c r="C352" t="s">
        <v>959</v>
      </c>
      <c r="D352" t="s">
        <v>497</v>
      </c>
      <c r="E352" t="s">
        <v>25</v>
      </c>
      <c r="F352" t="s">
        <v>26</v>
      </c>
      <c r="G352" t="s">
        <v>27</v>
      </c>
      <c r="H352" t="s">
        <v>28</v>
      </c>
      <c r="I352" t="s">
        <v>29</v>
      </c>
      <c r="J352">
        <v>5</v>
      </c>
      <c r="K352">
        <v>800</v>
      </c>
      <c r="L352">
        <v>10</v>
      </c>
      <c r="M352">
        <v>3600</v>
      </c>
      <c r="N352">
        <v>2800</v>
      </c>
      <c r="O352">
        <v>800</v>
      </c>
      <c r="P352" t="s">
        <v>43</v>
      </c>
      <c r="Q352" t="s">
        <v>44</v>
      </c>
      <c r="R352" t="s">
        <v>45</v>
      </c>
      <c r="S352" t="s">
        <v>60</v>
      </c>
      <c r="T352" t="s">
        <v>56</v>
      </c>
      <c r="U352" t="s">
        <v>34</v>
      </c>
      <c r="V352">
        <v>5</v>
      </c>
      <c r="W352">
        <f>Table1[[#This Row],[Profit]]/Table1[[#This Row],[Sales]]</f>
        <v>0.22222222222222221</v>
      </c>
    </row>
    <row r="353" spans="1:23" x14ac:dyDescent="0.25">
      <c r="A353" t="s">
        <v>960</v>
      </c>
      <c r="B353" s="1">
        <v>45752</v>
      </c>
      <c r="C353" t="s">
        <v>125</v>
      </c>
      <c r="D353" t="s">
        <v>961</v>
      </c>
      <c r="E353" t="s">
        <v>67</v>
      </c>
      <c r="F353" t="s">
        <v>68</v>
      </c>
      <c r="G353" t="s">
        <v>27</v>
      </c>
      <c r="H353" t="s">
        <v>28</v>
      </c>
      <c r="I353" t="s">
        <v>69</v>
      </c>
      <c r="J353">
        <v>1</v>
      </c>
      <c r="K353">
        <v>1500</v>
      </c>
      <c r="L353">
        <v>0</v>
      </c>
      <c r="M353">
        <v>1500</v>
      </c>
      <c r="N353">
        <v>1050</v>
      </c>
      <c r="O353">
        <v>450</v>
      </c>
      <c r="P353" t="s">
        <v>30</v>
      </c>
      <c r="Q353" t="s">
        <v>30</v>
      </c>
      <c r="R353" t="s">
        <v>31</v>
      </c>
      <c r="S353" t="s">
        <v>32</v>
      </c>
      <c r="T353" t="s">
        <v>56</v>
      </c>
      <c r="U353" t="s">
        <v>34</v>
      </c>
      <c r="V353">
        <v>2</v>
      </c>
      <c r="W353">
        <f>Table1[[#This Row],[Profit]]/Table1[[#This Row],[Sales]]</f>
        <v>0.3</v>
      </c>
    </row>
    <row r="354" spans="1:23" x14ac:dyDescent="0.25">
      <c r="A354" t="s">
        <v>962</v>
      </c>
      <c r="B354" s="1">
        <v>45696</v>
      </c>
      <c r="C354" t="s">
        <v>963</v>
      </c>
      <c r="D354" t="s">
        <v>964</v>
      </c>
      <c r="E354" t="s">
        <v>73</v>
      </c>
      <c r="F354" t="s">
        <v>74</v>
      </c>
      <c r="G354" t="s">
        <v>27</v>
      </c>
      <c r="H354" t="s">
        <v>75</v>
      </c>
      <c r="I354" t="s">
        <v>76</v>
      </c>
      <c r="J354">
        <v>3</v>
      </c>
      <c r="K354">
        <v>3500</v>
      </c>
      <c r="L354">
        <v>0</v>
      </c>
      <c r="M354">
        <v>10500</v>
      </c>
      <c r="N354">
        <v>7349.9999999999991</v>
      </c>
      <c r="O354">
        <v>3150.0000000000009</v>
      </c>
      <c r="P354" t="s">
        <v>43</v>
      </c>
      <c r="Q354" t="s">
        <v>44</v>
      </c>
      <c r="R354" t="s">
        <v>45</v>
      </c>
      <c r="S354" t="s">
        <v>32</v>
      </c>
      <c r="T354" t="s">
        <v>47</v>
      </c>
      <c r="U354" t="s">
        <v>48</v>
      </c>
      <c r="V354">
        <v>3</v>
      </c>
      <c r="W354">
        <f>Table1[[#This Row],[Profit]]/Table1[[#This Row],[Sales]]</f>
        <v>0.3000000000000001</v>
      </c>
    </row>
    <row r="355" spans="1:23" x14ac:dyDescent="0.25">
      <c r="A355" t="s">
        <v>965</v>
      </c>
      <c r="B355" s="1">
        <v>46016</v>
      </c>
      <c r="C355" t="s">
        <v>966</v>
      </c>
      <c r="D355" t="s">
        <v>105</v>
      </c>
      <c r="E355" t="s">
        <v>73</v>
      </c>
      <c r="F355" t="s">
        <v>74</v>
      </c>
      <c r="G355" t="s">
        <v>27</v>
      </c>
      <c r="H355" t="s">
        <v>75</v>
      </c>
      <c r="I355" t="s">
        <v>76</v>
      </c>
      <c r="J355">
        <v>4</v>
      </c>
      <c r="K355">
        <v>3500</v>
      </c>
      <c r="L355">
        <v>15</v>
      </c>
      <c r="M355">
        <v>11900</v>
      </c>
      <c r="N355">
        <v>9800</v>
      </c>
      <c r="O355">
        <v>2100</v>
      </c>
      <c r="P355" t="s">
        <v>109</v>
      </c>
      <c r="Q355" t="s">
        <v>110</v>
      </c>
      <c r="R355" t="s">
        <v>111</v>
      </c>
      <c r="S355" t="s">
        <v>60</v>
      </c>
      <c r="T355" t="s">
        <v>33</v>
      </c>
      <c r="U355" t="s">
        <v>34</v>
      </c>
      <c r="V355">
        <v>4</v>
      </c>
      <c r="W355">
        <f>Table1[[#This Row],[Profit]]/Table1[[#This Row],[Sales]]</f>
        <v>0.17647058823529413</v>
      </c>
    </row>
    <row r="356" spans="1:23" x14ac:dyDescent="0.25">
      <c r="A356" t="s">
        <v>967</v>
      </c>
      <c r="B356" s="1">
        <v>45878</v>
      </c>
      <c r="C356" t="s">
        <v>968</v>
      </c>
      <c r="D356" t="s">
        <v>969</v>
      </c>
      <c r="E356" t="s">
        <v>25</v>
      </c>
      <c r="F356" t="s">
        <v>26</v>
      </c>
      <c r="G356" t="s">
        <v>27</v>
      </c>
      <c r="H356" t="s">
        <v>28</v>
      </c>
      <c r="I356" t="s">
        <v>29</v>
      </c>
      <c r="J356">
        <v>3</v>
      </c>
      <c r="K356">
        <v>800</v>
      </c>
      <c r="L356">
        <v>0</v>
      </c>
      <c r="M356">
        <v>2400</v>
      </c>
      <c r="N356">
        <v>1680</v>
      </c>
      <c r="O356">
        <v>720</v>
      </c>
      <c r="P356" t="s">
        <v>30</v>
      </c>
      <c r="Q356" t="s">
        <v>30</v>
      </c>
      <c r="R356" t="s">
        <v>31</v>
      </c>
      <c r="S356" t="s">
        <v>60</v>
      </c>
      <c r="T356" t="s">
        <v>33</v>
      </c>
      <c r="U356" t="s">
        <v>48</v>
      </c>
      <c r="V356">
        <v>1</v>
      </c>
      <c r="W356">
        <f>Table1[[#This Row],[Profit]]/Table1[[#This Row],[Sales]]</f>
        <v>0.3</v>
      </c>
    </row>
    <row r="357" spans="1:23" x14ac:dyDescent="0.25">
      <c r="A357" t="s">
        <v>970</v>
      </c>
      <c r="B357" s="1">
        <v>45834</v>
      </c>
      <c r="C357" t="s">
        <v>971</v>
      </c>
      <c r="D357" t="s">
        <v>740</v>
      </c>
      <c r="E357" t="s">
        <v>38</v>
      </c>
      <c r="F357" t="s">
        <v>39</v>
      </c>
      <c r="G357" t="s">
        <v>40</v>
      </c>
      <c r="H357" t="s">
        <v>41</v>
      </c>
      <c r="I357" t="s">
        <v>42</v>
      </c>
      <c r="J357">
        <v>4</v>
      </c>
      <c r="K357">
        <v>4500</v>
      </c>
      <c r="L357">
        <v>0</v>
      </c>
      <c r="M357">
        <v>18000</v>
      </c>
      <c r="N357">
        <v>12600</v>
      </c>
      <c r="O357">
        <v>5400</v>
      </c>
      <c r="P357" t="s">
        <v>43</v>
      </c>
      <c r="Q357" t="s">
        <v>44</v>
      </c>
      <c r="R357" t="s">
        <v>45</v>
      </c>
      <c r="S357" t="s">
        <v>46</v>
      </c>
      <c r="T357" t="s">
        <v>47</v>
      </c>
      <c r="U357" t="s">
        <v>48</v>
      </c>
      <c r="V357">
        <v>1</v>
      </c>
      <c r="W357">
        <f>Table1[[#This Row],[Profit]]/Table1[[#This Row],[Sales]]</f>
        <v>0.3</v>
      </c>
    </row>
    <row r="358" spans="1:23" x14ac:dyDescent="0.25">
      <c r="A358" t="s">
        <v>972</v>
      </c>
      <c r="B358" s="1">
        <v>45864</v>
      </c>
      <c r="C358" t="s">
        <v>140</v>
      </c>
      <c r="D358" t="s">
        <v>973</v>
      </c>
      <c r="E358" t="s">
        <v>67</v>
      </c>
      <c r="F358" t="s">
        <v>68</v>
      </c>
      <c r="G358" t="s">
        <v>27</v>
      </c>
      <c r="H358" t="s">
        <v>28</v>
      </c>
      <c r="I358" t="s">
        <v>69</v>
      </c>
      <c r="J358">
        <v>5</v>
      </c>
      <c r="K358">
        <v>1500</v>
      </c>
      <c r="L358">
        <v>10</v>
      </c>
      <c r="M358">
        <v>6750</v>
      </c>
      <c r="N358">
        <v>5250</v>
      </c>
      <c r="O358">
        <v>1500</v>
      </c>
      <c r="P358" t="s">
        <v>43</v>
      </c>
      <c r="Q358" t="s">
        <v>44</v>
      </c>
      <c r="R358" t="s">
        <v>45</v>
      </c>
      <c r="S358" t="s">
        <v>46</v>
      </c>
      <c r="T358" t="s">
        <v>33</v>
      </c>
      <c r="U358" t="s">
        <v>34</v>
      </c>
      <c r="V358">
        <v>1</v>
      </c>
      <c r="W358">
        <f>Table1[[#This Row],[Profit]]/Table1[[#This Row],[Sales]]</f>
        <v>0.22222222222222221</v>
      </c>
    </row>
    <row r="359" spans="1:23" x14ac:dyDescent="0.25">
      <c r="A359" t="s">
        <v>974</v>
      </c>
      <c r="B359" s="1">
        <v>45929</v>
      </c>
      <c r="C359" t="s">
        <v>975</v>
      </c>
      <c r="D359" t="s">
        <v>976</v>
      </c>
      <c r="E359" t="s">
        <v>25</v>
      </c>
      <c r="F359" t="s">
        <v>26</v>
      </c>
      <c r="G359" t="s">
        <v>27</v>
      </c>
      <c r="H359" t="s">
        <v>28</v>
      </c>
      <c r="I359" t="s">
        <v>29</v>
      </c>
      <c r="J359">
        <v>1</v>
      </c>
      <c r="K359">
        <v>800</v>
      </c>
      <c r="L359">
        <v>5</v>
      </c>
      <c r="M359">
        <v>760</v>
      </c>
      <c r="N359">
        <v>560</v>
      </c>
      <c r="O359">
        <v>200</v>
      </c>
      <c r="P359" t="s">
        <v>30</v>
      </c>
      <c r="Q359" t="s">
        <v>30</v>
      </c>
      <c r="R359" t="s">
        <v>31</v>
      </c>
      <c r="S359" t="s">
        <v>32</v>
      </c>
      <c r="T359" t="s">
        <v>56</v>
      </c>
      <c r="U359" t="s">
        <v>48</v>
      </c>
      <c r="V359">
        <v>3</v>
      </c>
      <c r="W359">
        <f>Table1[[#This Row],[Profit]]/Table1[[#This Row],[Sales]]</f>
        <v>0.26315789473684209</v>
      </c>
    </row>
    <row r="360" spans="1:23" x14ac:dyDescent="0.25">
      <c r="A360" t="s">
        <v>977</v>
      </c>
      <c r="B360" s="1">
        <v>45918</v>
      </c>
      <c r="C360" t="s">
        <v>978</v>
      </c>
      <c r="D360" t="s">
        <v>979</v>
      </c>
      <c r="E360" t="s">
        <v>25</v>
      </c>
      <c r="F360" t="s">
        <v>26</v>
      </c>
      <c r="G360" t="s">
        <v>27</v>
      </c>
      <c r="H360" t="s">
        <v>28</v>
      </c>
      <c r="I360" t="s">
        <v>29</v>
      </c>
      <c r="J360">
        <v>2</v>
      </c>
      <c r="K360">
        <v>800</v>
      </c>
      <c r="L360">
        <v>15</v>
      </c>
      <c r="M360">
        <v>1360</v>
      </c>
      <c r="N360">
        <v>1120</v>
      </c>
      <c r="O360">
        <v>240</v>
      </c>
      <c r="P360" t="s">
        <v>30</v>
      </c>
      <c r="Q360" t="s">
        <v>30</v>
      </c>
      <c r="R360" t="s">
        <v>31</v>
      </c>
      <c r="S360" t="s">
        <v>60</v>
      </c>
      <c r="T360" t="s">
        <v>33</v>
      </c>
      <c r="U360" t="s">
        <v>48</v>
      </c>
      <c r="V360">
        <v>2</v>
      </c>
      <c r="W360">
        <f>Table1[[#This Row],[Profit]]/Table1[[#This Row],[Sales]]</f>
        <v>0.17647058823529413</v>
      </c>
    </row>
    <row r="361" spans="1:23" x14ac:dyDescent="0.25">
      <c r="A361" t="s">
        <v>980</v>
      </c>
      <c r="B361" s="1">
        <v>45962</v>
      </c>
      <c r="C361" t="s">
        <v>981</v>
      </c>
      <c r="D361" t="s">
        <v>700</v>
      </c>
      <c r="E361" t="s">
        <v>38</v>
      </c>
      <c r="F361" t="s">
        <v>39</v>
      </c>
      <c r="G361" t="s">
        <v>40</v>
      </c>
      <c r="H361" t="s">
        <v>41</v>
      </c>
      <c r="I361" t="s">
        <v>42</v>
      </c>
      <c r="J361">
        <v>1</v>
      </c>
      <c r="K361">
        <v>4500</v>
      </c>
      <c r="L361">
        <v>5</v>
      </c>
      <c r="M361">
        <v>4275</v>
      </c>
      <c r="N361">
        <v>3150</v>
      </c>
      <c r="O361">
        <v>1125</v>
      </c>
      <c r="P361" t="s">
        <v>43</v>
      </c>
      <c r="Q361" t="s">
        <v>44</v>
      </c>
      <c r="R361" t="s">
        <v>45</v>
      </c>
      <c r="S361" t="s">
        <v>46</v>
      </c>
      <c r="T361" t="s">
        <v>47</v>
      </c>
      <c r="U361" t="s">
        <v>48</v>
      </c>
      <c r="V361">
        <v>5</v>
      </c>
      <c r="W361">
        <f>Table1[[#This Row],[Profit]]/Table1[[#This Row],[Sales]]</f>
        <v>0.26315789473684209</v>
      </c>
    </row>
    <row r="362" spans="1:23" x14ac:dyDescent="0.25">
      <c r="A362" t="s">
        <v>982</v>
      </c>
      <c r="B362" s="1">
        <v>45976</v>
      </c>
      <c r="C362" t="s">
        <v>386</v>
      </c>
      <c r="D362" t="s">
        <v>983</v>
      </c>
      <c r="E362" t="s">
        <v>67</v>
      </c>
      <c r="F362" t="s">
        <v>68</v>
      </c>
      <c r="G362" t="s">
        <v>27</v>
      </c>
      <c r="H362" t="s">
        <v>28</v>
      </c>
      <c r="I362" t="s">
        <v>69</v>
      </c>
      <c r="J362">
        <v>4</v>
      </c>
      <c r="K362">
        <v>1500</v>
      </c>
      <c r="L362">
        <v>10</v>
      </c>
      <c r="M362">
        <v>5400</v>
      </c>
      <c r="N362">
        <v>4200</v>
      </c>
      <c r="O362">
        <v>1200</v>
      </c>
      <c r="P362" t="s">
        <v>109</v>
      </c>
      <c r="Q362" t="s">
        <v>110</v>
      </c>
      <c r="R362" t="s">
        <v>111</v>
      </c>
      <c r="S362" t="s">
        <v>46</v>
      </c>
      <c r="T362" t="s">
        <v>47</v>
      </c>
      <c r="U362" t="s">
        <v>48</v>
      </c>
      <c r="V362">
        <v>1</v>
      </c>
      <c r="W362">
        <f>Table1[[#This Row],[Profit]]/Table1[[#This Row],[Sales]]</f>
        <v>0.22222222222222221</v>
      </c>
    </row>
    <row r="363" spans="1:23" x14ac:dyDescent="0.25">
      <c r="A363" t="s">
        <v>984</v>
      </c>
      <c r="B363" s="1">
        <v>45794</v>
      </c>
      <c r="C363" t="s">
        <v>985</v>
      </c>
      <c r="D363" t="s">
        <v>888</v>
      </c>
      <c r="E363" t="s">
        <v>73</v>
      </c>
      <c r="F363" t="s">
        <v>74</v>
      </c>
      <c r="G363" t="s">
        <v>27</v>
      </c>
      <c r="H363" t="s">
        <v>75</v>
      </c>
      <c r="I363" t="s">
        <v>76</v>
      </c>
      <c r="J363">
        <v>4</v>
      </c>
      <c r="K363">
        <v>3500</v>
      </c>
      <c r="L363">
        <v>10</v>
      </c>
      <c r="M363">
        <v>12600</v>
      </c>
      <c r="N363">
        <v>9800</v>
      </c>
      <c r="O363">
        <v>2800</v>
      </c>
      <c r="P363" t="s">
        <v>95</v>
      </c>
      <c r="Q363" t="s">
        <v>96</v>
      </c>
      <c r="R363" t="s">
        <v>45</v>
      </c>
      <c r="S363" t="s">
        <v>46</v>
      </c>
      <c r="T363" t="s">
        <v>56</v>
      </c>
      <c r="U363" t="s">
        <v>34</v>
      </c>
      <c r="V363">
        <v>2</v>
      </c>
      <c r="W363">
        <f>Table1[[#This Row],[Profit]]/Table1[[#This Row],[Sales]]</f>
        <v>0.22222222222222221</v>
      </c>
    </row>
    <row r="364" spans="1:23" x14ac:dyDescent="0.25">
      <c r="A364" t="s">
        <v>986</v>
      </c>
      <c r="B364" s="1">
        <v>45917</v>
      </c>
      <c r="C364" t="s">
        <v>987</v>
      </c>
      <c r="D364" t="s">
        <v>592</v>
      </c>
      <c r="E364" t="s">
        <v>67</v>
      </c>
      <c r="F364" t="s">
        <v>68</v>
      </c>
      <c r="G364" t="s">
        <v>27</v>
      </c>
      <c r="H364" t="s">
        <v>28</v>
      </c>
      <c r="I364" t="s">
        <v>69</v>
      </c>
      <c r="J364">
        <v>2</v>
      </c>
      <c r="K364">
        <v>1500</v>
      </c>
      <c r="L364">
        <v>15</v>
      </c>
      <c r="M364">
        <v>2550</v>
      </c>
      <c r="N364">
        <v>2100</v>
      </c>
      <c r="O364">
        <v>450</v>
      </c>
      <c r="P364" t="s">
        <v>95</v>
      </c>
      <c r="Q364" t="s">
        <v>96</v>
      </c>
      <c r="R364" t="s">
        <v>45</v>
      </c>
      <c r="S364" t="s">
        <v>32</v>
      </c>
      <c r="T364" t="s">
        <v>33</v>
      </c>
      <c r="U364" t="s">
        <v>34</v>
      </c>
      <c r="V364">
        <v>5</v>
      </c>
      <c r="W364">
        <f>Table1[[#This Row],[Profit]]/Table1[[#This Row],[Sales]]</f>
        <v>0.17647058823529413</v>
      </c>
    </row>
    <row r="365" spans="1:23" x14ac:dyDescent="0.25">
      <c r="A365" t="s">
        <v>988</v>
      </c>
      <c r="B365" s="1">
        <v>45782</v>
      </c>
      <c r="C365" t="s">
        <v>989</v>
      </c>
      <c r="D365" t="s">
        <v>990</v>
      </c>
      <c r="E365" t="s">
        <v>38</v>
      </c>
      <c r="F365" t="s">
        <v>39</v>
      </c>
      <c r="G365" t="s">
        <v>40</v>
      </c>
      <c r="H365" t="s">
        <v>41</v>
      </c>
      <c r="I365" t="s">
        <v>42</v>
      </c>
      <c r="J365">
        <v>2</v>
      </c>
      <c r="K365">
        <v>4500</v>
      </c>
      <c r="L365">
        <v>15</v>
      </c>
      <c r="M365">
        <v>7650</v>
      </c>
      <c r="N365">
        <v>6300</v>
      </c>
      <c r="O365">
        <v>1350</v>
      </c>
      <c r="P365" t="s">
        <v>95</v>
      </c>
      <c r="Q365" t="s">
        <v>96</v>
      </c>
      <c r="R365" t="s">
        <v>45</v>
      </c>
      <c r="S365" t="s">
        <v>46</v>
      </c>
      <c r="T365" t="s">
        <v>47</v>
      </c>
      <c r="U365" t="s">
        <v>34</v>
      </c>
      <c r="V365">
        <v>4</v>
      </c>
      <c r="W365">
        <f>Table1[[#This Row],[Profit]]/Table1[[#This Row],[Sales]]</f>
        <v>0.17647058823529413</v>
      </c>
    </row>
    <row r="366" spans="1:23" x14ac:dyDescent="0.25">
      <c r="A366" t="s">
        <v>991</v>
      </c>
      <c r="B366" s="1">
        <v>45985</v>
      </c>
      <c r="C366" t="s">
        <v>992</v>
      </c>
      <c r="D366" t="s">
        <v>993</v>
      </c>
      <c r="E366" t="s">
        <v>52</v>
      </c>
      <c r="F366" t="s">
        <v>53</v>
      </c>
      <c r="G366" t="s">
        <v>27</v>
      </c>
      <c r="H366" t="s">
        <v>54</v>
      </c>
      <c r="I366" t="s">
        <v>55</v>
      </c>
      <c r="J366">
        <v>2</v>
      </c>
      <c r="K366">
        <v>55000</v>
      </c>
      <c r="L366">
        <v>5</v>
      </c>
      <c r="M366">
        <v>104500</v>
      </c>
      <c r="N366">
        <v>77000</v>
      </c>
      <c r="O366">
        <v>27500</v>
      </c>
      <c r="P366" t="s">
        <v>30</v>
      </c>
      <c r="Q366" t="s">
        <v>30</v>
      </c>
      <c r="R366" t="s">
        <v>31</v>
      </c>
      <c r="S366" t="s">
        <v>46</v>
      </c>
      <c r="T366" t="s">
        <v>47</v>
      </c>
      <c r="U366" t="s">
        <v>34</v>
      </c>
      <c r="V366">
        <v>2</v>
      </c>
      <c r="W366">
        <f>Table1[[#This Row],[Profit]]/Table1[[#This Row],[Sales]]</f>
        <v>0.26315789473684209</v>
      </c>
    </row>
    <row r="367" spans="1:23" x14ac:dyDescent="0.25">
      <c r="A367" t="s">
        <v>994</v>
      </c>
      <c r="B367" s="1">
        <v>45987</v>
      </c>
      <c r="C367" t="s">
        <v>995</v>
      </c>
      <c r="D367" t="s">
        <v>996</v>
      </c>
      <c r="E367" t="s">
        <v>52</v>
      </c>
      <c r="F367" t="s">
        <v>53</v>
      </c>
      <c r="G367" t="s">
        <v>27</v>
      </c>
      <c r="H367" t="s">
        <v>54</v>
      </c>
      <c r="I367" t="s">
        <v>55</v>
      </c>
      <c r="J367">
        <v>2</v>
      </c>
      <c r="K367">
        <v>55000</v>
      </c>
      <c r="L367">
        <v>10</v>
      </c>
      <c r="M367">
        <v>99000</v>
      </c>
      <c r="N367">
        <v>77000</v>
      </c>
      <c r="O367">
        <v>22000</v>
      </c>
      <c r="P367" t="s">
        <v>109</v>
      </c>
      <c r="Q367" t="s">
        <v>110</v>
      </c>
      <c r="R367" t="s">
        <v>111</v>
      </c>
      <c r="S367" t="s">
        <v>46</v>
      </c>
      <c r="T367" t="s">
        <v>47</v>
      </c>
      <c r="U367" t="s">
        <v>48</v>
      </c>
      <c r="V367">
        <v>3</v>
      </c>
      <c r="W367">
        <f>Table1[[#This Row],[Profit]]/Table1[[#This Row],[Sales]]</f>
        <v>0.22222222222222221</v>
      </c>
    </row>
    <row r="368" spans="1:23" x14ac:dyDescent="0.25">
      <c r="A368" t="s">
        <v>997</v>
      </c>
      <c r="B368" s="1">
        <v>45846</v>
      </c>
      <c r="C368" t="s">
        <v>998</v>
      </c>
      <c r="D368" t="s">
        <v>999</v>
      </c>
      <c r="E368" t="s">
        <v>73</v>
      </c>
      <c r="F368" t="s">
        <v>74</v>
      </c>
      <c r="G368" t="s">
        <v>27</v>
      </c>
      <c r="H368" t="s">
        <v>75</v>
      </c>
      <c r="I368" t="s">
        <v>76</v>
      </c>
      <c r="J368">
        <v>1</v>
      </c>
      <c r="K368">
        <v>3500</v>
      </c>
      <c r="L368">
        <v>10</v>
      </c>
      <c r="M368">
        <v>3150</v>
      </c>
      <c r="N368">
        <v>2450</v>
      </c>
      <c r="O368">
        <v>700</v>
      </c>
      <c r="P368" t="s">
        <v>30</v>
      </c>
      <c r="Q368" t="s">
        <v>30</v>
      </c>
      <c r="R368" t="s">
        <v>31</v>
      </c>
      <c r="S368" t="s">
        <v>60</v>
      </c>
      <c r="T368" t="s">
        <v>33</v>
      </c>
      <c r="U368" t="s">
        <v>34</v>
      </c>
      <c r="V368">
        <v>2</v>
      </c>
      <c r="W368">
        <f>Table1[[#This Row],[Profit]]/Table1[[#This Row],[Sales]]</f>
        <v>0.22222222222222221</v>
      </c>
    </row>
    <row r="369" spans="1:23" x14ac:dyDescent="0.25">
      <c r="A369" t="s">
        <v>1000</v>
      </c>
      <c r="B369" s="1">
        <v>45914</v>
      </c>
      <c r="C369" t="s">
        <v>582</v>
      </c>
      <c r="D369" t="s">
        <v>746</v>
      </c>
      <c r="E369" t="s">
        <v>25</v>
      </c>
      <c r="F369" t="s">
        <v>26</v>
      </c>
      <c r="G369" t="s">
        <v>27</v>
      </c>
      <c r="H369" t="s">
        <v>28</v>
      </c>
      <c r="I369" t="s">
        <v>29</v>
      </c>
      <c r="J369">
        <v>1</v>
      </c>
      <c r="K369">
        <v>800</v>
      </c>
      <c r="L369">
        <v>15</v>
      </c>
      <c r="M369">
        <v>680</v>
      </c>
      <c r="N369">
        <v>560</v>
      </c>
      <c r="O369">
        <v>120</v>
      </c>
      <c r="P369" t="s">
        <v>109</v>
      </c>
      <c r="Q369" t="s">
        <v>110</v>
      </c>
      <c r="R369" t="s">
        <v>111</v>
      </c>
      <c r="S369" t="s">
        <v>60</v>
      </c>
      <c r="T369" t="s">
        <v>47</v>
      </c>
      <c r="U369" t="s">
        <v>48</v>
      </c>
      <c r="V369">
        <v>5</v>
      </c>
      <c r="W369">
        <f>Table1[[#This Row],[Profit]]/Table1[[#This Row],[Sales]]</f>
        <v>0.17647058823529413</v>
      </c>
    </row>
    <row r="370" spans="1:23" x14ac:dyDescent="0.25">
      <c r="A370" t="s">
        <v>1001</v>
      </c>
      <c r="B370" s="1">
        <v>45766</v>
      </c>
      <c r="C370" t="s">
        <v>1002</v>
      </c>
      <c r="D370" t="s">
        <v>273</v>
      </c>
      <c r="E370" t="s">
        <v>52</v>
      </c>
      <c r="F370" t="s">
        <v>53</v>
      </c>
      <c r="G370" t="s">
        <v>27</v>
      </c>
      <c r="H370" t="s">
        <v>54</v>
      </c>
      <c r="I370" t="s">
        <v>55</v>
      </c>
      <c r="J370">
        <v>4</v>
      </c>
      <c r="K370">
        <v>55000</v>
      </c>
      <c r="L370">
        <v>15</v>
      </c>
      <c r="M370">
        <v>187000</v>
      </c>
      <c r="N370">
        <v>154000</v>
      </c>
      <c r="O370">
        <v>33000</v>
      </c>
      <c r="P370" t="s">
        <v>30</v>
      </c>
      <c r="Q370" t="s">
        <v>30</v>
      </c>
      <c r="R370" t="s">
        <v>31</v>
      </c>
      <c r="S370" t="s">
        <v>46</v>
      </c>
      <c r="T370" t="s">
        <v>56</v>
      </c>
      <c r="U370" t="s">
        <v>34</v>
      </c>
      <c r="V370">
        <v>3</v>
      </c>
      <c r="W370">
        <f>Table1[[#This Row],[Profit]]/Table1[[#This Row],[Sales]]</f>
        <v>0.17647058823529413</v>
      </c>
    </row>
    <row r="371" spans="1:23" x14ac:dyDescent="0.25">
      <c r="A371" t="s">
        <v>1003</v>
      </c>
      <c r="B371" s="1">
        <v>45821</v>
      </c>
      <c r="C371" t="s">
        <v>1004</v>
      </c>
      <c r="D371" t="s">
        <v>1005</v>
      </c>
      <c r="E371" t="s">
        <v>38</v>
      </c>
      <c r="F371" t="s">
        <v>39</v>
      </c>
      <c r="G371" t="s">
        <v>40</v>
      </c>
      <c r="H371" t="s">
        <v>41</v>
      </c>
      <c r="I371" t="s">
        <v>42</v>
      </c>
      <c r="J371">
        <v>4</v>
      </c>
      <c r="K371">
        <v>4500</v>
      </c>
      <c r="L371">
        <v>0</v>
      </c>
      <c r="M371">
        <v>18000</v>
      </c>
      <c r="N371">
        <v>12600</v>
      </c>
      <c r="O371">
        <v>5400</v>
      </c>
      <c r="P371" t="s">
        <v>95</v>
      </c>
      <c r="Q371" t="s">
        <v>96</v>
      </c>
      <c r="R371" t="s">
        <v>45</v>
      </c>
      <c r="S371" t="s">
        <v>32</v>
      </c>
      <c r="T371" t="s">
        <v>47</v>
      </c>
      <c r="U371" t="s">
        <v>34</v>
      </c>
      <c r="V371">
        <v>5</v>
      </c>
      <c r="W371">
        <f>Table1[[#This Row],[Profit]]/Table1[[#This Row],[Sales]]</f>
        <v>0.3</v>
      </c>
    </row>
    <row r="372" spans="1:23" x14ac:dyDescent="0.25">
      <c r="A372" t="s">
        <v>1006</v>
      </c>
      <c r="B372" s="1">
        <v>45805</v>
      </c>
      <c r="C372" t="s">
        <v>50</v>
      </c>
      <c r="D372" t="s">
        <v>1007</v>
      </c>
      <c r="E372" t="s">
        <v>25</v>
      </c>
      <c r="F372" t="s">
        <v>26</v>
      </c>
      <c r="G372" t="s">
        <v>27</v>
      </c>
      <c r="H372" t="s">
        <v>28</v>
      </c>
      <c r="I372" t="s">
        <v>29</v>
      </c>
      <c r="J372">
        <v>5</v>
      </c>
      <c r="K372">
        <v>800</v>
      </c>
      <c r="L372">
        <v>15</v>
      </c>
      <c r="M372">
        <v>3400</v>
      </c>
      <c r="N372">
        <v>2800</v>
      </c>
      <c r="O372">
        <v>600</v>
      </c>
      <c r="P372" t="s">
        <v>95</v>
      </c>
      <c r="Q372" t="s">
        <v>96</v>
      </c>
      <c r="R372" t="s">
        <v>45</v>
      </c>
      <c r="S372" t="s">
        <v>60</v>
      </c>
      <c r="T372" t="s">
        <v>47</v>
      </c>
      <c r="U372" t="s">
        <v>34</v>
      </c>
      <c r="V372">
        <v>5</v>
      </c>
      <c r="W372">
        <f>Table1[[#This Row],[Profit]]/Table1[[#This Row],[Sales]]</f>
        <v>0.17647058823529413</v>
      </c>
    </row>
    <row r="373" spans="1:23" x14ac:dyDescent="0.25">
      <c r="A373" t="s">
        <v>1008</v>
      </c>
      <c r="B373" s="1">
        <v>45798</v>
      </c>
      <c r="C373" t="s">
        <v>1009</v>
      </c>
      <c r="D373" t="s">
        <v>572</v>
      </c>
      <c r="E373" t="s">
        <v>38</v>
      </c>
      <c r="F373" t="s">
        <v>39</v>
      </c>
      <c r="G373" t="s">
        <v>40</v>
      </c>
      <c r="H373" t="s">
        <v>41</v>
      </c>
      <c r="I373" t="s">
        <v>42</v>
      </c>
      <c r="J373">
        <v>1</v>
      </c>
      <c r="K373">
        <v>4500</v>
      </c>
      <c r="L373">
        <v>5</v>
      </c>
      <c r="M373">
        <v>4275</v>
      </c>
      <c r="N373">
        <v>3150</v>
      </c>
      <c r="O373">
        <v>1125</v>
      </c>
      <c r="P373" t="s">
        <v>95</v>
      </c>
      <c r="Q373" t="s">
        <v>96</v>
      </c>
      <c r="R373" t="s">
        <v>45</v>
      </c>
      <c r="S373" t="s">
        <v>60</v>
      </c>
      <c r="T373" t="s">
        <v>33</v>
      </c>
      <c r="U373" t="s">
        <v>34</v>
      </c>
      <c r="V373">
        <v>1</v>
      </c>
      <c r="W373">
        <f>Table1[[#This Row],[Profit]]/Table1[[#This Row],[Sales]]</f>
        <v>0.26315789473684209</v>
      </c>
    </row>
    <row r="374" spans="1:23" x14ac:dyDescent="0.25">
      <c r="A374" t="s">
        <v>1010</v>
      </c>
      <c r="B374" s="1">
        <v>46022</v>
      </c>
      <c r="C374" t="s">
        <v>1011</v>
      </c>
      <c r="D374" t="s">
        <v>1012</v>
      </c>
      <c r="E374" t="s">
        <v>38</v>
      </c>
      <c r="F374" t="s">
        <v>39</v>
      </c>
      <c r="G374" t="s">
        <v>40</v>
      </c>
      <c r="H374" t="s">
        <v>41</v>
      </c>
      <c r="I374" t="s">
        <v>42</v>
      </c>
      <c r="J374">
        <v>5</v>
      </c>
      <c r="K374">
        <v>4500</v>
      </c>
      <c r="L374">
        <v>5</v>
      </c>
      <c r="M374">
        <v>21375</v>
      </c>
      <c r="N374">
        <v>15750</v>
      </c>
      <c r="O374">
        <v>5625.0000000000018</v>
      </c>
      <c r="P374" t="s">
        <v>43</v>
      </c>
      <c r="Q374" t="s">
        <v>44</v>
      </c>
      <c r="R374" t="s">
        <v>45</v>
      </c>
      <c r="S374" t="s">
        <v>46</v>
      </c>
      <c r="T374" t="s">
        <v>47</v>
      </c>
      <c r="U374" t="s">
        <v>34</v>
      </c>
      <c r="V374">
        <v>3</v>
      </c>
      <c r="W374">
        <f>Table1[[#This Row],[Profit]]/Table1[[#This Row],[Sales]]</f>
        <v>0.2631578947368422</v>
      </c>
    </row>
    <row r="375" spans="1:23" x14ac:dyDescent="0.25">
      <c r="A375" t="s">
        <v>1013</v>
      </c>
      <c r="B375" s="1">
        <v>45754</v>
      </c>
      <c r="C375" t="s">
        <v>181</v>
      </c>
      <c r="D375" t="s">
        <v>368</v>
      </c>
      <c r="E375" t="s">
        <v>38</v>
      </c>
      <c r="F375" t="s">
        <v>39</v>
      </c>
      <c r="G375" t="s">
        <v>40</v>
      </c>
      <c r="H375" t="s">
        <v>41</v>
      </c>
      <c r="I375" t="s">
        <v>42</v>
      </c>
      <c r="J375">
        <v>1</v>
      </c>
      <c r="K375">
        <v>4500</v>
      </c>
      <c r="L375">
        <v>0</v>
      </c>
      <c r="M375">
        <v>4500</v>
      </c>
      <c r="N375">
        <v>3150</v>
      </c>
      <c r="O375">
        <v>1350</v>
      </c>
      <c r="P375" t="s">
        <v>43</v>
      </c>
      <c r="Q375" t="s">
        <v>44</v>
      </c>
      <c r="R375" t="s">
        <v>45</v>
      </c>
      <c r="S375" t="s">
        <v>32</v>
      </c>
      <c r="T375" t="s">
        <v>56</v>
      </c>
      <c r="U375" t="s">
        <v>34</v>
      </c>
      <c r="V375">
        <v>3</v>
      </c>
      <c r="W375">
        <f>Table1[[#This Row],[Profit]]/Table1[[#This Row],[Sales]]</f>
        <v>0.3</v>
      </c>
    </row>
    <row r="376" spans="1:23" x14ac:dyDescent="0.25">
      <c r="A376" t="s">
        <v>1014</v>
      </c>
      <c r="B376" s="1">
        <v>45779</v>
      </c>
      <c r="C376" t="s">
        <v>1015</v>
      </c>
      <c r="D376" t="s">
        <v>1016</v>
      </c>
      <c r="E376" t="s">
        <v>73</v>
      </c>
      <c r="F376" t="s">
        <v>74</v>
      </c>
      <c r="G376" t="s">
        <v>27</v>
      </c>
      <c r="H376" t="s">
        <v>75</v>
      </c>
      <c r="I376" t="s">
        <v>76</v>
      </c>
      <c r="J376">
        <v>4</v>
      </c>
      <c r="K376">
        <v>3500</v>
      </c>
      <c r="L376">
        <v>10</v>
      </c>
      <c r="M376">
        <v>12600</v>
      </c>
      <c r="N376">
        <v>9800</v>
      </c>
      <c r="O376">
        <v>2800</v>
      </c>
      <c r="P376" t="s">
        <v>109</v>
      </c>
      <c r="Q376" t="s">
        <v>110</v>
      </c>
      <c r="R376" t="s">
        <v>111</v>
      </c>
      <c r="S376" t="s">
        <v>46</v>
      </c>
      <c r="T376" t="s">
        <v>33</v>
      </c>
      <c r="U376" t="s">
        <v>48</v>
      </c>
      <c r="V376">
        <v>3</v>
      </c>
      <c r="W376">
        <f>Table1[[#This Row],[Profit]]/Table1[[#This Row],[Sales]]</f>
        <v>0.22222222222222221</v>
      </c>
    </row>
    <row r="377" spans="1:23" x14ac:dyDescent="0.25">
      <c r="A377" t="s">
        <v>1017</v>
      </c>
      <c r="B377" s="1">
        <v>45810</v>
      </c>
      <c r="C377" t="s">
        <v>642</v>
      </c>
      <c r="D377" t="s">
        <v>1018</v>
      </c>
      <c r="E377" t="s">
        <v>67</v>
      </c>
      <c r="F377" t="s">
        <v>68</v>
      </c>
      <c r="G377" t="s">
        <v>27</v>
      </c>
      <c r="H377" t="s">
        <v>28</v>
      </c>
      <c r="I377" t="s">
        <v>69</v>
      </c>
      <c r="J377">
        <v>3</v>
      </c>
      <c r="K377">
        <v>1500</v>
      </c>
      <c r="L377">
        <v>10</v>
      </c>
      <c r="M377">
        <v>4050</v>
      </c>
      <c r="N377">
        <v>3150</v>
      </c>
      <c r="O377">
        <v>900</v>
      </c>
      <c r="P377" t="s">
        <v>43</v>
      </c>
      <c r="Q377" t="s">
        <v>44</v>
      </c>
      <c r="R377" t="s">
        <v>45</v>
      </c>
      <c r="S377" t="s">
        <v>60</v>
      </c>
      <c r="T377" t="s">
        <v>56</v>
      </c>
      <c r="U377" t="s">
        <v>34</v>
      </c>
      <c r="V377">
        <v>4</v>
      </c>
      <c r="W377">
        <f>Table1[[#This Row],[Profit]]/Table1[[#This Row],[Sales]]</f>
        <v>0.22222222222222221</v>
      </c>
    </row>
    <row r="378" spans="1:23" x14ac:dyDescent="0.25">
      <c r="A378" t="s">
        <v>1019</v>
      </c>
      <c r="B378" s="1">
        <v>45895</v>
      </c>
      <c r="C378" t="s">
        <v>1020</v>
      </c>
      <c r="D378" t="s">
        <v>461</v>
      </c>
      <c r="E378" t="s">
        <v>25</v>
      </c>
      <c r="F378" t="s">
        <v>26</v>
      </c>
      <c r="G378" t="s">
        <v>27</v>
      </c>
      <c r="H378" t="s">
        <v>28</v>
      </c>
      <c r="I378" t="s">
        <v>29</v>
      </c>
      <c r="J378">
        <v>3</v>
      </c>
      <c r="K378">
        <v>800</v>
      </c>
      <c r="L378">
        <v>15</v>
      </c>
      <c r="M378">
        <v>2040</v>
      </c>
      <c r="N378">
        <v>1680</v>
      </c>
      <c r="O378">
        <v>360</v>
      </c>
      <c r="P378" t="s">
        <v>43</v>
      </c>
      <c r="Q378" t="s">
        <v>44</v>
      </c>
      <c r="R378" t="s">
        <v>45</v>
      </c>
      <c r="S378" t="s">
        <v>46</v>
      </c>
      <c r="T378" t="s">
        <v>56</v>
      </c>
      <c r="U378" t="s">
        <v>48</v>
      </c>
      <c r="V378">
        <v>5</v>
      </c>
      <c r="W378">
        <f>Table1[[#This Row],[Profit]]/Table1[[#This Row],[Sales]]</f>
        <v>0.17647058823529413</v>
      </c>
    </row>
    <row r="379" spans="1:23" x14ac:dyDescent="0.25">
      <c r="A379" t="s">
        <v>1021</v>
      </c>
      <c r="B379" s="1">
        <v>45908</v>
      </c>
      <c r="C379" t="s">
        <v>1022</v>
      </c>
      <c r="D379" t="s">
        <v>1023</v>
      </c>
      <c r="E379" t="s">
        <v>25</v>
      </c>
      <c r="F379" t="s">
        <v>26</v>
      </c>
      <c r="G379" t="s">
        <v>27</v>
      </c>
      <c r="H379" t="s">
        <v>28</v>
      </c>
      <c r="I379" t="s">
        <v>29</v>
      </c>
      <c r="J379">
        <v>2</v>
      </c>
      <c r="K379">
        <v>800</v>
      </c>
      <c r="L379">
        <v>15</v>
      </c>
      <c r="M379">
        <v>1360</v>
      </c>
      <c r="N379">
        <v>1120</v>
      </c>
      <c r="O379">
        <v>240</v>
      </c>
      <c r="P379" t="s">
        <v>43</v>
      </c>
      <c r="Q379" t="s">
        <v>44</v>
      </c>
      <c r="R379" t="s">
        <v>45</v>
      </c>
      <c r="S379" t="s">
        <v>60</v>
      </c>
      <c r="T379" t="s">
        <v>47</v>
      </c>
      <c r="U379" t="s">
        <v>48</v>
      </c>
      <c r="V379">
        <v>1</v>
      </c>
      <c r="W379">
        <f>Table1[[#This Row],[Profit]]/Table1[[#This Row],[Sales]]</f>
        <v>0.17647058823529413</v>
      </c>
    </row>
    <row r="380" spans="1:23" x14ac:dyDescent="0.25">
      <c r="A380" t="s">
        <v>1024</v>
      </c>
      <c r="B380" s="1">
        <v>45930</v>
      </c>
      <c r="C380" t="s">
        <v>1025</v>
      </c>
      <c r="D380" t="s">
        <v>904</v>
      </c>
      <c r="E380" t="s">
        <v>25</v>
      </c>
      <c r="F380" t="s">
        <v>26</v>
      </c>
      <c r="G380" t="s">
        <v>27</v>
      </c>
      <c r="H380" t="s">
        <v>28</v>
      </c>
      <c r="I380" t="s">
        <v>29</v>
      </c>
      <c r="J380">
        <v>1</v>
      </c>
      <c r="K380">
        <v>800</v>
      </c>
      <c r="L380">
        <v>15</v>
      </c>
      <c r="M380">
        <v>680</v>
      </c>
      <c r="N380">
        <v>560</v>
      </c>
      <c r="O380">
        <v>120</v>
      </c>
      <c r="P380" t="s">
        <v>30</v>
      </c>
      <c r="Q380" t="s">
        <v>30</v>
      </c>
      <c r="R380" t="s">
        <v>31</v>
      </c>
      <c r="S380" t="s">
        <v>46</v>
      </c>
      <c r="T380" t="s">
        <v>33</v>
      </c>
      <c r="U380" t="s">
        <v>48</v>
      </c>
      <c r="V380">
        <v>3</v>
      </c>
      <c r="W380">
        <f>Table1[[#This Row],[Profit]]/Table1[[#This Row],[Sales]]</f>
        <v>0.17647058823529413</v>
      </c>
    </row>
    <row r="381" spans="1:23" x14ac:dyDescent="0.25">
      <c r="A381" t="s">
        <v>1026</v>
      </c>
      <c r="B381" s="1">
        <v>45886</v>
      </c>
      <c r="C381" t="s">
        <v>1027</v>
      </c>
      <c r="D381" t="s">
        <v>1028</v>
      </c>
      <c r="E381" t="s">
        <v>67</v>
      </c>
      <c r="F381" t="s">
        <v>68</v>
      </c>
      <c r="G381" t="s">
        <v>27</v>
      </c>
      <c r="H381" t="s">
        <v>28</v>
      </c>
      <c r="I381" t="s">
        <v>69</v>
      </c>
      <c r="J381">
        <v>2</v>
      </c>
      <c r="K381">
        <v>1500</v>
      </c>
      <c r="L381">
        <v>0</v>
      </c>
      <c r="M381">
        <v>3000</v>
      </c>
      <c r="N381">
        <v>2100</v>
      </c>
      <c r="O381">
        <v>900</v>
      </c>
      <c r="P381" t="s">
        <v>43</v>
      </c>
      <c r="Q381" t="s">
        <v>44</v>
      </c>
      <c r="R381" t="s">
        <v>45</v>
      </c>
      <c r="S381" t="s">
        <v>32</v>
      </c>
      <c r="T381" t="s">
        <v>33</v>
      </c>
      <c r="U381" t="s">
        <v>34</v>
      </c>
      <c r="V381">
        <v>3</v>
      </c>
      <c r="W381">
        <f>Table1[[#This Row],[Profit]]/Table1[[#This Row],[Sales]]</f>
        <v>0.3</v>
      </c>
    </row>
    <row r="382" spans="1:23" x14ac:dyDescent="0.25">
      <c r="A382" t="s">
        <v>1029</v>
      </c>
      <c r="B382" s="1">
        <v>45812</v>
      </c>
      <c r="C382" t="s">
        <v>1030</v>
      </c>
      <c r="D382" t="s">
        <v>1031</v>
      </c>
      <c r="E382" t="s">
        <v>67</v>
      </c>
      <c r="F382" t="s">
        <v>68</v>
      </c>
      <c r="G382" t="s">
        <v>27</v>
      </c>
      <c r="H382" t="s">
        <v>28</v>
      </c>
      <c r="I382" t="s">
        <v>69</v>
      </c>
      <c r="J382">
        <v>2</v>
      </c>
      <c r="K382">
        <v>1500</v>
      </c>
      <c r="L382">
        <v>0</v>
      </c>
      <c r="M382">
        <v>3000</v>
      </c>
      <c r="N382">
        <v>2100</v>
      </c>
      <c r="O382">
        <v>900</v>
      </c>
      <c r="P382" t="s">
        <v>43</v>
      </c>
      <c r="Q382" t="s">
        <v>44</v>
      </c>
      <c r="R382" t="s">
        <v>45</v>
      </c>
      <c r="S382" t="s">
        <v>32</v>
      </c>
      <c r="T382" t="s">
        <v>33</v>
      </c>
      <c r="U382" t="s">
        <v>34</v>
      </c>
      <c r="V382">
        <v>4</v>
      </c>
      <c r="W382">
        <f>Table1[[#This Row],[Profit]]/Table1[[#This Row],[Sales]]</f>
        <v>0.3</v>
      </c>
    </row>
    <row r="383" spans="1:23" x14ac:dyDescent="0.25">
      <c r="A383" t="s">
        <v>1032</v>
      </c>
      <c r="B383" s="1">
        <v>45689</v>
      </c>
      <c r="C383" t="s">
        <v>875</v>
      </c>
      <c r="D383" t="s">
        <v>1033</v>
      </c>
      <c r="E383" t="s">
        <v>73</v>
      </c>
      <c r="F383" t="s">
        <v>74</v>
      </c>
      <c r="G383" t="s">
        <v>27</v>
      </c>
      <c r="H383" t="s">
        <v>75</v>
      </c>
      <c r="I383" t="s">
        <v>76</v>
      </c>
      <c r="J383">
        <v>3</v>
      </c>
      <c r="K383">
        <v>3500</v>
      </c>
      <c r="L383">
        <v>10</v>
      </c>
      <c r="M383">
        <v>9450</v>
      </c>
      <c r="N383">
        <v>7349.9999999999991</v>
      </c>
      <c r="O383">
        <v>2100.0000000000009</v>
      </c>
      <c r="P383" t="s">
        <v>43</v>
      </c>
      <c r="Q383" t="s">
        <v>44</v>
      </c>
      <c r="R383" t="s">
        <v>45</v>
      </c>
      <c r="S383" t="s">
        <v>46</v>
      </c>
      <c r="T383" t="s">
        <v>56</v>
      </c>
      <c r="U383" t="s">
        <v>34</v>
      </c>
      <c r="V383">
        <v>4</v>
      </c>
      <c r="W383">
        <f>Table1[[#This Row],[Profit]]/Table1[[#This Row],[Sales]]</f>
        <v>0.22222222222222232</v>
      </c>
    </row>
    <row r="384" spans="1:23" x14ac:dyDescent="0.25">
      <c r="A384" t="s">
        <v>1034</v>
      </c>
      <c r="B384" s="1">
        <v>45727</v>
      </c>
      <c r="C384" t="s">
        <v>1035</v>
      </c>
      <c r="D384" t="s">
        <v>1036</v>
      </c>
      <c r="E384" t="s">
        <v>25</v>
      </c>
      <c r="F384" t="s">
        <v>26</v>
      </c>
      <c r="G384" t="s">
        <v>27</v>
      </c>
      <c r="H384" t="s">
        <v>28</v>
      </c>
      <c r="I384" t="s">
        <v>29</v>
      </c>
      <c r="J384">
        <v>1</v>
      </c>
      <c r="K384">
        <v>800</v>
      </c>
      <c r="L384">
        <v>0</v>
      </c>
      <c r="M384">
        <v>800</v>
      </c>
      <c r="N384">
        <v>560</v>
      </c>
      <c r="O384">
        <v>240</v>
      </c>
      <c r="P384" t="s">
        <v>43</v>
      </c>
      <c r="Q384" t="s">
        <v>44</v>
      </c>
      <c r="R384" t="s">
        <v>45</v>
      </c>
      <c r="S384" t="s">
        <v>46</v>
      </c>
      <c r="T384" t="s">
        <v>56</v>
      </c>
      <c r="U384" t="s">
        <v>48</v>
      </c>
      <c r="V384">
        <v>5</v>
      </c>
      <c r="W384">
        <f>Table1[[#This Row],[Profit]]/Table1[[#This Row],[Sales]]</f>
        <v>0.3</v>
      </c>
    </row>
    <row r="385" spans="1:23" x14ac:dyDescent="0.25">
      <c r="A385" t="s">
        <v>1037</v>
      </c>
      <c r="B385" s="1">
        <v>45825</v>
      </c>
      <c r="C385" t="s">
        <v>1038</v>
      </c>
      <c r="D385" t="s">
        <v>1039</v>
      </c>
      <c r="E385" t="s">
        <v>73</v>
      </c>
      <c r="F385" t="s">
        <v>74</v>
      </c>
      <c r="G385" t="s">
        <v>27</v>
      </c>
      <c r="H385" t="s">
        <v>75</v>
      </c>
      <c r="I385" t="s">
        <v>76</v>
      </c>
      <c r="J385">
        <v>4</v>
      </c>
      <c r="K385">
        <v>3500</v>
      </c>
      <c r="L385">
        <v>10</v>
      </c>
      <c r="M385">
        <v>12600</v>
      </c>
      <c r="N385">
        <v>9800</v>
      </c>
      <c r="O385">
        <v>2800</v>
      </c>
      <c r="P385" t="s">
        <v>30</v>
      </c>
      <c r="Q385" t="s">
        <v>30</v>
      </c>
      <c r="R385" t="s">
        <v>31</v>
      </c>
      <c r="S385" t="s">
        <v>46</v>
      </c>
      <c r="T385" t="s">
        <v>33</v>
      </c>
      <c r="U385" t="s">
        <v>48</v>
      </c>
      <c r="V385">
        <v>1</v>
      </c>
      <c r="W385">
        <f>Table1[[#This Row],[Profit]]/Table1[[#This Row],[Sales]]</f>
        <v>0.22222222222222221</v>
      </c>
    </row>
    <row r="386" spans="1:23" x14ac:dyDescent="0.25">
      <c r="A386" t="s">
        <v>1040</v>
      </c>
      <c r="B386" s="1">
        <v>45722</v>
      </c>
      <c r="C386" t="s">
        <v>768</v>
      </c>
      <c r="D386" t="s">
        <v>407</v>
      </c>
      <c r="E386" t="s">
        <v>73</v>
      </c>
      <c r="F386" t="s">
        <v>74</v>
      </c>
      <c r="G386" t="s">
        <v>27</v>
      </c>
      <c r="H386" t="s">
        <v>75</v>
      </c>
      <c r="I386" t="s">
        <v>76</v>
      </c>
      <c r="J386">
        <v>4</v>
      </c>
      <c r="K386">
        <v>3500</v>
      </c>
      <c r="L386">
        <v>5</v>
      </c>
      <c r="M386">
        <v>13300</v>
      </c>
      <c r="N386">
        <v>9800</v>
      </c>
      <c r="O386">
        <v>3500</v>
      </c>
      <c r="P386" t="s">
        <v>109</v>
      </c>
      <c r="Q386" t="s">
        <v>110</v>
      </c>
      <c r="R386" t="s">
        <v>111</v>
      </c>
      <c r="S386" t="s">
        <v>46</v>
      </c>
      <c r="T386" t="s">
        <v>33</v>
      </c>
      <c r="U386" t="s">
        <v>48</v>
      </c>
      <c r="V386">
        <v>3</v>
      </c>
      <c r="W386">
        <f>Table1[[#This Row],[Profit]]/Table1[[#This Row],[Sales]]</f>
        <v>0.26315789473684209</v>
      </c>
    </row>
    <row r="387" spans="1:23" x14ac:dyDescent="0.25">
      <c r="A387" t="s">
        <v>1041</v>
      </c>
      <c r="B387" s="1">
        <v>45847</v>
      </c>
      <c r="C387" t="s">
        <v>1042</v>
      </c>
      <c r="D387" t="s">
        <v>1043</v>
      </c>
      <c r="E387" t="s">
        <v>25</v>
      </c>
      <c r="F387" t="s">
        <v>26</v>
      </c>
      <c r="G387" t="s">
        <v>27</v>
      </c>
      <c r="H387" t="s">
        <v>28</v>
      </c>
      <c r="I387" t="s">
        <v>29</v>
      </c>
      <c r="J387">
        <v>4</v>
      </c>
      <c r="K387">
        <v>800</v>
      </c>
      <c r="L387">
        <v>15</v>
      </c>
      <c r="M387">
        <v>2720</v>
      </c>
      <c r="N387">
        <v>2240</v>
      </c>
      <c r="O387">
        <v>480</v>
      </c>
      <c r="P387" t="s">
        <v>109</v>
      </c>
      <c r="Q387" t="s">
        <v>110</v>
      </c>
      <c r="R387" t="s">
        <v>111</v>
      </c>
      <c r="S387" t="s">
        <v>60</v>
      </c>
      <c r="T387" t="s">
        <v>56</v>
      </c>
      <c r="U387" t="s">
        <v>34</v>
      </c>
      <c r="V387">
        <v>4</v>
      </c>
      <c r="W387">
        <f>Table1[[#This Row],[Profit]]/Table1[[#This Row],[Sales]]</f>
        <v>0.17647058823529413</v>
      </c>
    </row>
    <row r="388" spans="1:23" x14ac:dyDescent="0.25">
      <c r="A388" t="s">
        <v>1044</v>
      </c>
      <c r="B388" s="1">
        <v>45663</v>
      </c>
      <c r="C388" t="s">
        <v>1045</v>
      </c>
      <c r="D388" t="s">
        <v>105</v>
      </c>
      <c r="E388" t="s">
        <v>52</v>
      </c>
      <c r="F388" t="s">
        <v>53</v>
      </c>
      <c r="G388" t="s">
        <v>27</v>
      </c>
      <c r="H388" t="s">
        <v>54</v>
      </c>
      <c r="I388" t="s">
        <v>55</v>
      </c>
      <c r="J388">
        <v>4</v>
      </c>
      <c r="K388">
        <v>55000</v>
      </c>
      <c r="L388">
        <v>5</v>
      </c>
      <c r="M388">
        <v>209000</v>
      </c>
      <c r="N388">
        <v>154000</v>
      </c>
      <c r="O388">
        <v>55000</v>
      </c>
      <c r="P388" t="s">
        <v>30</v>
      </c>
      <c r="Q388" t="s">
        <v>30</v>
      </c>
      <c r="R388" t="s">
        <v>31</v>
      </c>
      <c r="S388" t="s">
        <v>60</v>
      </c>
      <c r="T388" t="s">
        <v>33</v>
      </c>
      <c r="U388" t="s">
        <v>34</v>
      </c>
      <c r="V388">
        <v>2</v>
      </c>
      <c r="W388">
        <f>Table1[[#This Row],[Profit]]/Table1[[#This Row],[Sales]]</f>
        <v>0.26315789473684209</v>
      </c>
    </row>
    <row r="389" spans="1:23" x14ac:dyDescent="0.25">
      <c r="A389" t="s">
        <v>1046</v>
      </c>
      <c r="B389" s="1">
        <v>45807</v>
      </c>
      <c r="C389" t="s">
        <v>764</v>
      </c>
      <c r="D389" t="s">
        <v>762</v>
      </c>
      <c r="E389" t="s">
        <v>25</v>
      </c>
      <c r="F389" t="s">
        <v>26</v>
      </c>
      <c r="G389" t="s">
        <v>27</v>
      </c>
      <c r="H389" t="s">
        <v>28</v>
      </c>
      <c r="I389" t="s">
        <v>29</v>
      </c>
      <c r="J389">
        <v>3</v>
      </c>
      <c r="K389">
        <v>800</v>
      </c>
      <c r="L389">
        <v>15</v>
      </c>
      <c r="M389">
        <v>2040</v>
      </c>
      <c r="N389">
        <v>1680</v>
      </c>
      <c r="O389">
        <v>360</v>
      </c>
      <c r="P389" t="s">
        <v>43</v>
      </c>
      <c r="Q389" t="s">
        <v>44</v>
      </c>
      <c r="R389" t="s">
        <v>45</v>
      </c>
      <c r="S389" t="s">
        <v>32</v>
      </c>
      <c r="T389" t="s">
        <v>47</v>
      </c>
      <c r="U389" t="s">
        <v>48</v>
      </c>
      <c r="V389">
        <v>1</v>
      </c>
      <c r="W389">
        <f>Table1[[#This Row],[Profit]]/Table1[[#This Row],[Sales]]</f>
        <v>0.17647058823529413</v>
      </c>
    </row>
    <row r="390" spans="1:23" x14ac:dyDescent="0.25">
      <c r="A390" t="s">
        <v>1047</v>
      </c>
      <c r="B390" s="1">
        <v>45731</v>
      </c>
      <c r="C390" t="s">
        <v>1048</v>
      </c>
      <c r="D390" t="s">
        <v>325</v>
      </c>
      <c r="E390" t="s">
        <v>52</v>
      </c>
      <c r="F390" t="s">
        <v>53</v>
      </c>
      <c r="G390" t="s">
        <v>27</v>
      </c>
      <c r="H390" t="s">
        <v>54</v>
      </c>
      <c r="I390" t="s">
        <v>55</v>
      </c>
      <c r="J390">
        <v>4</v>
      </c>
      <c r="K390">
        <v>55000</v>
      </c>
      <c r="L390">
        <v>15</v>
      </c>
      <c r="M390">
        <v>187000</v>
      </c>
      <c r="N390">
        <v>154000</v>
      </c>
      <c r="O390">
        <v>33000</v>
      </c>
      <c r="P390" t="s">
        <v>30</v>
      </c>
      <c r="Q390" t="s">
        <v>30</v>
      </c>
      <c r="R390" t="s">
        <v>31</v>
      </c>
      <c r="S390" t="s">
        <v>32</v>
      </c>
      <c r="T390" t="s">
        <v>56</v>
      </c>
      <c r="U390" t="s">
        <v>48</v>
      </c>
      <c r="V390">
        <v>5</v>
      </c>
      <c r="W390">
        <f>Table1[[#This Row],[Profit]]/Table1[[#This Row],[Sales]]</f>
        <v>0.17647058823529413</v>
      </c>
    </row>
    <row r="391" spans="1:23" x14ac:dyDescent="0.25">
      <c r="A391" t="s">
        <v>1049</v>
      </c>
      <c r="B391" s="1">
        <v>45879</v>
      </c>
      <c r="C391" t="s">
        <v>1050</v>
      </c>
      <c r="D391" t="s">
        <v>1036</v>
      </c>
      <c r="E391" t="s">
        <v>38</v>
      </c>
      <c r="F391" t="s">
        <v>39</v>
      </c>
      <c r="G391" t="s">
        <v>40</v>
      </c>
      <c r="H391" t="s">
        <v>41</v>
      </c>
      <c r="I391" t="s">
        <v>42</v>
      </c>
      <c r="J391">
        <v>5</v>
      </c>
      <c r="K391">
        <v>4500</v>
      </c>
      <c r="L391">
        <v>10</v>
      </c>
      <c r="M391">
        <v>20250</v>
      </c>
      <c r="N391">
        <v>15750</v>
      </c>
      <c r="O391">
        <v>4500.0000000000018</v>
      </c>
      <c r="P391" t="s">
        <v>95</v>
      </c>
      <c r="Q391" t="s">
        <v>96</v>
      </c>
      <c r="R391" t="s">
        <v>45</v>
      </c>
      <c r="S391" t="s">
        <v>46</v>
      </c>
      <c r="T391" t="s">
        <v>47</v>
      </c>
      <c r="U391" t="s">
        <v>48</v>
      </c>
      <c r="V391">
        <v>3</v>
      </c>
      <c r="W391">
        <f>Table1[[#This Row],[Profit]]/Table1[[#This Row],[Sales]]</f>
        <v>0.22222222222222232</v>
      </c>
    </row>
    <row r="392" spans="1:23" x14ac:dyDescent="0.25">
      <c r="A392" t="s">
        <v>1051</v>
      </c>
      <c r="B392" s="1">
        <v>45734</v>
      </c>
      <c r="C392" t="s">
        <v>1052</v>
      </c>
      <c r="D392" t="s">
        <v>1016</v>
      </c>
      <c r="E392" t="s">
        <v>73</v>
      </c>
      <c r="F392" t="s">
        <v>74</v>
      </c>
      <c r="G392" t="s">
        <v>27</v>
      </c>
      <c r="H392" t="s">
        <v>75</v>
      </c>
      <c r="I392" t="s">
        <v>76</v>
      </c>
      <c r="J392">
        <v>2</v>
      </c>
      <c r="K392">
        <v>3500</v>
      </c>
      <c r="L392">
        <v>10</v>
      </c>
      <c r="M392">
        <v>6300</v>
      </c>
      <c r="N392">
        <v>4900</v>
      </c>
      <c r="O392">
        <v>1400</v>
      </c>
      <c r="P392" t="s">
        <v>43</v>
      </c>
      <c r="Q392" t="s">
        <v>44</v>
      </c>
      <c r="R392" t="s">
        <v>45</v>
      </c>
      <c r="S392" t="s">
        <v>32</v>
      </c>
      <c r="T392" t="s">
        <v>56</v>
      </c>
      <c r="U392" t="s">
        <v>48</v>
      </c>
      <c r="V392">
        <v>5</v>
      </c>
      <c r="W392">
        <f>Table1[[#This Row],[Profit]]/Table1[[#This Row],[Sales]]</f>
        <v>0.22222222222222221</v>
      </c>
    </row>
    <row r="393" spans="1:23" x14ac:dyDescent="0.25">
      <c r="A393" t="s">
        <v>1053</v>
      </c>
      <c r="B393" s="1">
        <v>45837</v>
      </c>
      <c r="C393" t="s">
        <v>1054</v>
      </c>
      <c r="D393" t="s">
        <v>529</v>
      </c>
      <c r="E393" t="s">
        <v>67</v>
      </c>
      <c r="F393" t="s">
        <v>68</v>
      </c>
      <c r="G393" t="s">
        <v>27</v>
      </c>
      <c r="H393" t="s">
        <v>28</v>
      </c>
      <c r="I393" t="s">
        <v>69</v>
      </c>
      <c r="J393">
        <v>2</v>
      </c>
      <c r="K393">
        <v>1500</v>
      </c>
      <c r="L393">
        <v>5</v>
      </c>
      <c r="M393">
        <v>2850</v>
      </c>
      <c r="N393">
        <v>2100</v>
      </c>
      <c r="O393">
        <v>750</v>
      </c>
      <c r="P393" t="s">
        <v>30</v>
      </c>
      <c r="Q393" t="s">
        <v>30</v>
      </c>
      <c r="R393" t="s">
        <v>31</v>
      </c>
      <c r="S393" t="s">
        <v>32</v>
      </c>
      <c r="T393" t="s">
        <v>56</v>
      </c>
      <c r="U393" t="s">
        <v>34</v>
      </c>
      <c r="V393">
        <v>1</v>
      </c>
      <c r="W393">
        <f>Table1[[#This Row],[Profit]]/Table1[[#This Row],[Sales]]</f>
        <v>0.26315789473684209</v>
      </c>
    </row>
    <row r="394" spans="1:23" x14ac:dyDescent="0.25">
      <c r="A394" t="s">
        <v>1055</v>
      </c>
      <c r="B394" s="1">
        <v>45996</v>
      </c>
      <c r="C394" t="s">
        <v>104</v>
      </c>
      <c r="D394" t="s">
        <v>788</v>
      </c>
      <c r="E394" t="s">
        <v>25</v>
      </c>
      <c r="F394" t="s">
        <v>26</v>
      </c>
      <c r="G394" t="s">
        <v>27</v>
      </c>
      <c r="H394" t="s">
        <v>28</v>
      </c>
      <c r="I394" t="s">
        <v>29</v>
      </c>
      <c r="J394">
        <v>1</v>
      </c>
      <c r="K394">
        <v>800</v>
      </c>
      <c r="L394">
        <v>5</v>
      </c>
      <c r="M394">
        <v>760</v>
      </c>
      <c r="N394">
        <v>560</v>
      </c>
      <c r="O394">
        <v>200</v>
      </c>
      <c r="P394" t="s">
        <v>43</v>
      </c>
      <c r="Q394" t="s">
        <v>44</v>
      </c>
      <c r="R394" t="s">
        <v>45</v>
      </c>
      <c r="S394" t="s">
        <v>46</v>
      </c>
      <c r="T394" t="s">
        <v>56</v>
      </c>
      <c r="U394" t="s">
        <v>48</v>
      </c>
      <c r="V394">
        <v>5</v>
      </c>
      <c r="W394">
        <f>Table1[[#This Row],[Profit]]/Table1[[#This Row],[Sales]]</f>
        <v>0.26315789473684209</v>
      </c>
    </row>
    <row r="395" spans="1:23" x14ac:dyDescent="0.25">
      <c r="A395" t="s">
        <v>1056</v>
      </c>
      <c r="B395" s="1">
        <v>45959</v>
      </c>
      <c r="C395" t="s">
        <v>1057</v>
      </c>
      <c r="D395" t="s">
        <v>1058</v>
      </c>
      <c r="E395" t="s">
        <v>73</v>
      </c>
      <c r="F395" t="s">
        <v>74</v>
      </c>
      <c r="G395" t="s">
        <v>27</v>
      </c>
      <c r="H395" t="s">
        <v>75</v>
      </c>
      <c r="I395" t="s">
        <v>76</v>
      </c>
      <c r="J395">
        <v>1</v>
      </c>
      <c r="K395">
        <v>3500</v>
      </c>
      <c r="L395">
        <v>5</v>
      </c>
      <c r="M395">
        <v>3325</v>
      </c>
      <c r="N395">
        <v>2450</v>
      </c>
      <c r="O395">
        <v>875</v>
      </c>
      <c r="P395" t="s">
        <v>43</v>
      </c>
      <c r="Q395" t="s">
        <v>44</v>
      </c>
      <c r="R395" t="s">
        <v>45</v>
      </c>
      <c r="S395" t="s">
        <v>32</v>
      </c>
      <c r="T395" t="s">
        <v>56</v>
      </c>
      <c r="U395" t="s">
        <v>34</v>
      </c>
      <c r="V395">
        <v>5</v>
      </c>
      <c r="W395">
        <f>Table1[[#This Row],[Profit]]/Table1[[#This Row],[Sales]]</f>
        <v>0.26315789473684209</v>
      </c>
    </row>
    <row r="396" spans="1:23" x14ac:dyDescent="0.25">
      <c r="A396" t="s">
        <v>1059</v>
      </c>
      <c r="B396" s="1">
        <v>45827</v>
      </c>
      <c r="C396" t="s">
        <v>1060</v>
      </c>
      <c r="D396" t="s">
        <v>1061</v>
      </c>
      <c r="E396" t="s">
        <v>25</v>
      </c>
      <c r="F396" t="s">
        <v>26</v>
      </c>
      <c r="G396" t="s">
        <v>27</v>
      </c>
      <c r="H396" t="s">
        <v>28</v>
      </c>
      <c r="I396" t="s">
        <v>29</v>
      </c>
      <c r="J396">
        <v>1</v>
      </c>
      <c r="K396">
        <v>800</v>
      </c>
      <c r="L396">
        <v>0</v>
      </c>
      <c r="M396">
        <v>800</v>
      </c>
      <c r="N396">
        <v>560</v>
      </c>
      <c r="O396">
        <v>240</v>
      </c>
      <c r="P396" t="s">
        <v>43</v>
      </c>
      <c r="Q396" t="s">
        <v>44</v>
      </c>
      <c r="R396" t="s">
        <v>45</v>
      </c>
      <c r="S396" t="s">
        <v>46</v>
      </c>
      <c r="T396" t="s">
        <v>47</v>
      </c>
      <c r="U396" t="s">
        <v>48</v>
      </c>
      <c r="V396">
        <v>2</v>
      </c>
      <c r="W396">
        <f>Table1[[#This Row],[Profit]]/Table1[[#This Row],[Sales]]</f>
        <v>0.3</v>
      </c>
    </row>
    <row r="397" spans="1:23" x14ac:dyDescent="0.25">
      <c r="A397" t="s">
        <v>1062</v>
      </c>
      <c r="B397" s="1">
        <v>45790</v>
      </c>
      <c r="C397" t="s">
        <v>1002</v>
      </c>
      <c r="D397" t="s">
        <v>1063</v>
      </c>
      <c r="E397" t="s">
        <v>73</v>
      </c>
      <c r="F397" t="s">
        <v>74</v>
      </c>
      <c r="G397" t="s">
        <v>27</v>
      </c>
      <c r="H397" t="s">
        <v>75</v>
      </c>
      <c r="I397" t="s">
        <v>76</v>
      </c>
      <c r="J397">
        <v>3</v>
      </c>
      <c r="K397">
        <v>3500</v>
      </c>
      <c r="L397">
        <v>5</v>
      </c>
      <c r="M397">
        <v>9975</v>
      </c>
      <c r="N397">
        <v>7349.9999999999991</v>
      </c>
      <c r="O397">
        <v>2625.0000000000009</v>
      </c>
      <c r="P397" t="s">
        <v>43</v>
      </c>
      <c r="Q397" t="s">
        <v>44</v>
      </c>
      <c r="R397" t="s">
        <v>45</v>
      </c>
      <c r="S397" t="s">
        <v>46</v>
      </c>
      <c r="T397" t="s">
        <v>47</v>
      </c>
      <c r="U397" t="s">
        <v>34</v>
      </c>
      <c r="V397">
        <v>5</v>
      </c>
      <c r="W397">
        <f>Table1[[#This Row],[Profit]]/Table1[[#This Row],[Sales]]</f>
        <v>0.2631578947368422</v>
      </c>
    </row>
    <row r="398" spans="1:23" x14ac:dyDescent="0.25">
      <c r="A398" t="s">
        <v>1064</v>
      </c>
      <c r="B398" s="1">
        <v>45868</v>
      </c>
      <c r="C398" t="s">
        <v>454</v>
      </c>
      <c r="D398" t="s">
        <v>464</v>
      </c>
      <c r="E398" t="s">
        <v>73</v>
      </c>
      <c r="F398" t="s">
        <v>74</v>
      </c>
      <c r="G398" t="s">
        <v>27</v>
      </c>
      <c r="H398" t="s">
        <v>75</v>
      </c>
      <c r="I398" t="s">
        <v>76</v>
      </c>
      <c r="J398">
        <v>5</v>
      </c>
      <c r="K398">
        <v>3500</v>
      </c>
      <c r="L398">
        <v>15</v>
      </c>
      <c r="M398">
        <v>14875</v>
      </c>
      <c r="N398">
        <v>12250</v>
      </c>
      <c r="O398">
        <v>2625</v>
      </c>
      <c r="P398" t="s">
        <v>30</v>
      </c>
      <c r="Q398" t="s">
        <v>30</v>
      </c>
      <c r="R398" t="s">
        <v>31</v>
      </c>
      <c r="S398" t="s">
        <v>32</v>
      </c>
      <c r="T398" t="s">
        <v>47</v>
      </c>
      <c r="U398" t="s">
        <v>34</v>
      </c>
      <c r="V398">
        <v>2</v>
      </c>
      <c r="W398">
        <f>Table1[[#This Row],[Profit]]/Table1[[#This Row],[Sales]]</f>
        <v>0.17647058823529413</v>
      </c>
    </row>
    <row r="399" spans="1:23" x14ac:dyDescent="0.25">
      <c r="A399" t="s">
        <v>1065</v>
      </c>
      <c r="B399" s="1">
        <v>45771</v>
      </c>
      <c r="C399" t="s">
        <v>1066</v>
      </c>
      <c r="D399" t="s">
        <v>72</v>
      </c>
      <c r="E399" t="s">
        <v>25</v>
      </c>
      <c r="F399" t="s">
        <v>26</v>
      </c>
      <c r="G399" t="s">
        <v>27</v>
      </c>
      <c r="H399" t="s">
        <v>28</v>
      </c>
      <c r="I399" t="s">
        <v>29</v>
      </c>
      <c r="J399">
        <v>4</v>
      </c>
      <c r="K399">
        <v>800</v>
      </c>
      <c r="L399">
        <v>10</v>
      </c>
      <c r="M399">
        <v>2880</v>
      </c>
      <c r="N399">
        <v>2240</v>
      </c>
      <c r="O399">
        <v>640</v>
      </c>
      <c r="P399" t="s">
        <v>109</v>
      </c>
      <c r="Q399" t="s">
        <v>110</v>
      </c>
      <c r="R399" t="s">
        <v>111</v>
      </c>
      <c r="S399" t="s">
        <v>46</v>
      </c>
      <c r="T399" t="s">
        <v>47</v>
      </c>
      <c r="U399" t="s">
        <v>34</v>
      </c>
      <c r="V399">
        <v>2</v>
      </c>
      <c r="W399">
        <f>Table1[[#This Row],[Profit]]/Table1[[#This Row],[Sales]]</f>
        <v>0.22222222222222221</v>
      </c>
    </row>
    <row r="400" spans="1:23" x14ac:dyDescent="0.25">
      <c r="A400" t="s">
        <v>1067</v>
      </c>
      <c r="B400" s="1">
        <v>45972</v>
      </c>
      <c r="C400" t="s">
        <v>1068</v>
      </c>
      <c r="D400" t="s">
        <v>1069</v>
      </c>
      <c r="E400" t="s">
        <v>67</v>
      </c>
      <c r="F400" t="s">
        <v>68</v>
      </c>
      <c r="G400" t="s">
        <v>27</v>
      </c>
      <c r="H400" t="s">
        <v>28</v>
      </c>
      <c r="I400" t="s">
        <v>69</v>
      </c>
      <c r="J400">
        <v>3</v>
      </c>
      <c r="K400">
        <v>1500</v>
      </c>
      <c r="L400">
        <v>5</v>
      </c>
      <c r="M400">
        <v>4275</v>
      </c>
      <c r="N400">
        <v>3150</v>
      </c>
      <c r="O400">
        <v>1125</v>
      </c>
      <c r="P400" t="s">
        <v>43</v>
      </c>
      <c r="Q400" t="s">
        <v>44</v>
      </c>
      <c r="R400" t="s">
        <v>45</v>
      </c>
      <c r="S400" t="s">
        <v>60</v>
      </c>
      <c r="T400" t="s">
        <v>56</v>
      </c>
      <c r="U400" t="s">
        <v>34</v>
      </c>
      <c r="V400">
        <v>5</v>
      </c>
      <c r="W400">
        <f>Table1[[#This Row],[Profit]]/Table1[[#This Row],[Sales]]</f>
        <v>0.26315789473684209</v>
      </c>
    </row>
    <row r="401" spans="1:23" x14ac:dyDescent="0.25">
      <c r="A401" t="s">
        <v>1070</v>
      </c>
      <c r="B401" s="1">
        <v>45836</v>
      </c>
      <c r="C401" t="s">
        <v>1071</v>
      </c>
      <c r="D401" t="s">
        <v>226</v>
      </c>
      <c r="E401" t="s">
        <v>67</v>
      </c>
      <c r="F401" t="s">
        <v>68</v>
      </c>
      <c r="G401" t="s">
        <v>27</v>
      </c>
      <c r="H401" t="s">
        <v>28</v>
      </c>
      <c r="I401" t="s">
        <v>69</v>
      </c>
      <c r="J401">
        <v>4</v>
      </c>
      <c r="K401">
        <v>1500</v>
      </c>
      <c r="L401">
        <v>5</v>
      </c>
      <c r="M401">
        <v>5700</v>
      </c>
      <c r="N401">
        <v>4200</v>
      </c>
      <c r="O401">
        <v>1500</v>
      </c>
      <c r="P401" t="s">
        <v>43</v>
      </c>
      <c r="Q401" t="s">
        <v>44</v>
      </c>
      <c r="R401" t="s">
        <v>45</v>
      </c>
      <c r="S401" t="s">
        <v>60</v>
      </c>
      <c r="T401" t="s">
        <v>47</v>
      </c>
      <c r="U401" t="s">
        <v>48</v>
      </c>
      <c r="V401">
        <v>3</v>
      </c>
      <c r="W401">
        <f>Table1[[#This Row],[Profit]]/Table1[[#This Row],[Sales]]</f>
        <v>0.26315789473684209</v>
      </c>
    </row>
    <row r="402" spans="1:23" x14ac:dyDescent="0.25">
      <c r="A402" t="s">
        <v>1072</v>
      </c>
      <c r="B402" s="1">
        <v>45794</v>
      </c>
      <c r="C402" t="s">
        <v>1073</v>
      </c>
      <c r="D402" t="s">
        <v>223</v>
      </c>
      <c r="E402" t="s">
        <v>52</v>
      </c>
      <c r="F402" t="s">
        <v>53</v>
      </c>
      <c r="G402" t="s">
        <v>27</v>
      </c>
      <c r="H402" t="s">
        <v>54</v>
      </c>
      <c r="I402" t="s">
        <v>55</v>
      </c>
      <c r="J402">
        <v>1</v>
      </c>
      <c r="K402">
        <v>55000</v>
      </c>
      <c r="L402">
        <v>15</v>
      </c>
      <c r="M402">
        <v>46750</v>
      </c>
      <c r="N402">
        <v>38500</v>
      </c>
      <c r="O402">
        <v>8250</v>
      </c>
      <c r="P402" t="s">
        <v>95</v>
      </c>
      <c r="Q402" t="s">
        <v>96</v>
      </c>
      <c r="R402" t="s">
        <v>45</v>
      </c>
      <c r="S402" t="s">
        <v>60</v>
      </c>
      <c r="T402" t="s">
        <v>33</v>
      </c>
      <c r="U402" t="s">
        <v>48</v>
      </c>
      <c r="V402">
        <v>1</v>
      </c>
      <c r="W402">
        <f>Table1[[#This Row],[Profit]]/Table1[[#This Row],[Sales]]</f>
        <v>0.17647058823529413</v>
      </c>
    </row>
    <row r="403" spans="1:23" x14ac:dyDescent="0.25">
      <c r="A403" t="s">
        <v>1074</v>
      </c>
      <c r="B403" s="1">
        <v>45996</v>
      </c>
      <c r="C403" t="s">
        <v>1075</v>
      </c>
      <c r="D403" t="s">
        <v>1076</v>
      </c>
      <c r="E403" t="s">
        <v>38</v>
      </c>
      <c r="F403" t="s">
        <v>39</v>
      </c>
      <c r="G403" t="s">
        <v>40</v>
      </c>
      <c r="H403" t="s">
        <v>41</v>
      </c>
      <c r="I403" t="s">
        <v>42</v>
      </c>
      <c r="J403">
        <v>5</v>
      </c>
      <c r="K403">
        <v>4500</v>
      </c>
      <c r="L403">
        <v>10</v>
      </c>
      <c r="M403">
        <v>20250</v>
      </c>
      <c r="N403">
        <v>15750</v>
      </c>
      <c r="O403">
        <v>4500.0000000000018</v>
      </c>
      <c r="P403" t="s">
        <v>95</v>
      </c>
      <c r="Q403" t="s">
        <v>96</v>
      </c>
      <c r="R403" t="s">
        <v>45</v>
      </c>
      <c r="S403" t="s">
        <v>46</v>
      </c>
      <c r="T403" t="s">
        <v>47</v>
      </c>
      <c r="U403" t="s">
        <v>34</v>
      </c>
      <c r="V403">
        <v>5</v>
      </c>
      <c r="W403">
        <f>Table1[[#This Row],[Profit]]/Table1[[#This Row],[Sales]]</f>
        <v>0.22222222222222232</v>
      </c>
    </row>
    <row r="404" spans="1:23" x14ac:dyDescent="0.25">
      <c r="A404" t="s">
        <v>1077</v>
      </c>
      <c r="B404" s="1">
        <v>45687</v>
      </c>
      <c r="C404" t="s">
        <v>1078</v>
      </c>
      <c r="D404" t="s">
        <v>1079</v>
      </c>
      <c r="E404" t="s">
        <v>73</v>
      </c>
      <c r="F404" t="s">
        <v>74</v>
      </c>
      <c r="G404" t="s">
        <v>27</v>
      </c>
      <c r="H404" t="s">
        <v>75</v>
      </c>
      <c r="I404" t="s">
        <v>76</v>
      </c>
      <c r="J404">
        <v>2</v>
      </c>
      <c r="K404">
        <v>3500</v>
      </c>
      <c r="L404">
        <v>0</v>
      </c>
      <c r="M404">
        <v>7000</v>
      </c>
      <c r="N404">
        <v>4900</v>
      </c>
      <c r="O404">
        <v>2100</v>
      </c>
      <c r="P404" t="s">
        <v>30</v>
      </c>
      <c r="Q404" t="s">
        <v>30</v>
      </c>
      <c r="R404" t="s">
        <v>31</v>
      </c>
      <c r="S404" t="s">
        <v>60</v>
      </c>
      <c r="T404" t="s">
        <v>47</v>
      </c>
      <c r="U404" t="s">
        <v>48</v>
      </c>
      <c r="V404">
        <v>2</v>
      </c>
      <c r="W404">
        <f>Table1[[#This Row],[Profit]]/Table1[[#This Row],[Sales]]</f>
        <v>0.3</v>
      </c>
    </row>
    <row r="405" spans="1:23" x14ac:dyDescent="0.25">
      <c r="A405" t="s">
        <v>1080</v>
      </c>
      <c r="B405" s="1">
        <v>45962</v>
      </c>
      <c r="C405" t="s">
        <v>787</v>
      </c>
      <c r="D405" t="s">
        <v>586</v>
      </c>
      <c r="E405" t="s">
        <v>25</v>
      </c>
      <c r="F405" t="s">
        <v>26</v>
      </c>
      <c r="G405" t="s">
        <v>27</v>
      </c>
      <c r="H405" t="s">
        <v>28</v>
      </c>
      <c r="I405" t="s">
        <v>29</v>
      </c>
      <c r="J405">
        <v>1</v>
      </c>
      <c r="K405">
        <v>800</v>
      </c>
      <c r="L405">
        <v>5</v>
      </c>
      <c r="M405">
        <v>760</v>
      </c>
      <c r="N405">
        <v>560</v>
      </c>
      <c r="O405">
        <v>200</v>
      </c>
      <c r="P405" t="s">
        <v>95</v>
      </c>
      <c r="Q405" t="s">
        <v>96</v>
      </c>
      <c r="R405" t="s">
        <v>45</v>
      </c>
      <c r="S405" t="s">
        <v>46</v>
      </c>
      <c r="T405" t="s">
        <v>33</v>
      </c>
      <c r="U405" t="s">
        <v>34</v>
      </c>
      <c r="V405">
        <v>3</v>
      </c>
      <c r="W405">
        <f>Table1[[#This Row],[Profit]]/Table1[[#This Row],[Sales]]</f>
        <v>0.26315789473684209</v>
      </c>
    </row>
    <row r="406" spans="1:23" x14ac:dyDescent="0.25">
      <c r="A406" t="s">
        <v>1081</v>
      </c>
      <c r="B406" s="1">
        <v>45775</v>
      </c>
      <c r="C406" t="s">
        <v>178</v>
      </c>
      <c r="D406" t="s">
        <v>1082</v>
      </c>
      <c r="E406" t="s">
        <v>38</v>
      </c>
      <c r="F406" t="s">
        <v>39</v>
      </c>
      <c r="G406" t="s">
        <v>40</v>
      </c>
      <c r="H406" t="s">
        <v>41</v>
      </c>
      <c r="I406" t="s">
        <v>42</v>
      </c>
      <c r="J406">
        <v>2</v>
      </c>
      <c r="K406">
        <v>4500</v>
      </c>
      <c r="L406">
        <v>0</v>
      </c>
      <c r="M406">
        <v>9000</v>
      </c>
      <c r="N406">
        <v>6300</v>
      </c>
      <c r="O406">
        <v>2700</v>
      </c>
      <c r="P406" t="s">
        <v>30</v>
      </c>
      <c r="Q406" t="s">
        <v>30</v>
      </c>
      <c r="R406" t="s">
        <v>31</v>
      </c>
      <c r="S406" t="s">
        <v>60</v>
      </c>
      <c r="T406" t="s">
        <v>33</v>
      </c>
      <c r="U406" t="s">
        <v>34</v>
      </c>
      <c r="V406">
        <v>4</v>
      </c>
      <c r="W406">
        <f>Table1[[#This Row],[Profit]]/Table1[[#This Row],[Sales]]</f>
        <v>0.3</v>
      </c>
    </row>
    <row r="407" spans="1:23" x14ac:dyDescent="0.25">
      <c r="A407" t="s">
        <v>1083</v>
      </c>
      <c r="B407" s="1">
        <v>45990</v>
      </c>
      <c r="C407" t="s">
        <v>1084</v>
      </c>
      <c r="D407" t="s">
        <v>179</v>
      </c>
      <c r="E407" t="s">
        <v>25</v>
      </c>
      <c r="F407" t="s">
        <v>26</v>
      </c>
      <c r="G407" t="s">
        <v>27</v>
      </c>
      <c r="H407" t="s">
        <v>28</v>
      </c>
      <c r="I407" t="s">
        <v>29</v>
      </c>
      <c r="J407">
        <v>4</v>
      </c>
      <c r="K407">
        <v>800</v>
      </c>
      <c r="L407">
        <v>10</v>
      </c>
      <c r="M407">
        <v>2880</v>
      </c>
      <c r="N407">
        <v>2240</v>
      </c>
      <c r="O407">
        <v>640</v>
      </c>
      <c r="P407" t="s">
        <v>95</v>
      </c>
      <c r="Q407" t="s">
        <v>96</v>
      </c>
      <c r="R407" t="s">
        <v>45</v>
      </c>
      <c r="S407" t="s">
        <v>46</v>
      </c>
      <c r="T407" t="s">
        <v>56</v>
      </c>
      <c r="U407" t="s">
        <v>34</v>
      </c>
      <c r="V407">
        <v>1</v>
      </c>
      <c r="W407">
        <f>Table1[[#This Row],[Profit]]/Table1[[#This Row],[Sales]]</f>
        <v>0.22222222222222221</v>
      </c>
    </row>
    <row r="408" spans="1:23" x14ac:dyDescent="0.25">
      <c r="A408" t="s">
        <v>1085</v>
      </c>
      <c r="B408" s="1">
        <v>45745</v>
      </c>
      <c r="C408" t="s">
        <v>1086</v>
      </c>
      <c r="D408" t="s">
        <v>544</v>
      </c>
      <c r="E408" t="s">
        <v>38</v>
      </c>
      <c r="F408" t="s">
        <v>39</v>
      </c>
      <c r="G408" t="s">
        <v>40</v>
      </c>
      <c r="H408" t="s">
        <v>41</v>
      </c>
      <c r="I408" t="s">
        <v>42</v>
      </c>
      <c r="J408">
        <v>5</v>
      </c>
      <c r="K408">
        <v>4500</v>
      </c>
      <c r="L408">
        <v>15</v>
      </c>
      <c r="M408">
        <v>19125</v>
      </c>
      <c r="N408">
        <v>15750</v>
      </c>
      <c r="O408">
        <v>3375.0000000000018</v>
      </c>
      <c r="P408" t="s">
        <v>109</v>
      </c>
      <c r="Q408" t="s">
        <v>110</v>
      </c>
      <c r="R408" t="s">
        <v>111</v>
      </c>
      <c r="S408" t="s">
        <v>32</v>
      </c>
      <c r="T408" t="s">
        <v>33</v>
      </c>
      <c r="U408" t="s">
        <v>48</v>
      </c>
      <c r="V408">
        <v>4</v>
      </c>
      <c r="W408">
        <f>Table1[[#This Row],[Profit]]/Table1[[#This Row],[Sales]]</f>
        <v>0.17647058823529421</v>
      </c>
    </row>
    <row r="409" spans="1:23" x14ac:dyDescent="0.25">
      <c r="A409" t="s">
        <v>1087</v>
      </c>
      <c r="B409" s="1">
        <v>45944</v>
      </c>
      <c r="C409" t="s">
        <v>1088</v>
      </c>
      <c r="D409" t="s">
        <v>265</v>
      </c>
      <c r="E409" t="s">
        <v>73</v>
      </c>
      <c r="F409" t="s">
        <v>74</v>
      </c>
      <c r="G409" t="s">
        <v>27</v>
      </c>
      <c r="H409" t="s">
        <v>75</v>
      </c>
      <c r="I409" t="s">
        <v>76</v>
      </c>
      <c r="J409">
        <v>5</v>
      </c>
      <c r="K409">
        <v>3500</v>
      </c>
      <c r="L409">
        <v>15</v>
      </c>
      <c r="M409">
        <v>14875</v>
      </c>
      <c r="N409">
        <v>12250</v>
      </c>
      <c r="O409">
        <v>2625</v>
      </c>
      <c r="P409" t="s">
        <v>109</v>
      </c>
      <c r="Q409" t="s">
        <v>110</v>
      </c>
      <c r="R409" t="s">
        <v>111</v>
      </c>
      <c r="S409" t="s">
        <v>46</v>
      </c>
      <c r="T409" t="s">
        <v>33</v>
      </c>
      <c r="U409" t="s">
        <v>48</v>
      </c>
      <c r="V409">
        <v>2</v>
      </c>
      <c r="W409">
        <f>Table1[[#This Row],[Profit]]/Table1[[#This Row],[Sales]]</f>
        <v>0.17647058823529413</v>
      </c>
    </row>
    <row r="410" spans="1:23" x14ac:dyDescent="0.25">
      <c r="A410" t="s">
        <v>1089</v>
      </c>
      <c r="B410" s="1">
        <v>45768</v>
      </c>
      <c r="C410" t="s">
        <v>1090</v>
      </c>
      <c r="D410" t="s">
        <v>859</v>
      </c>
      <c r="E410" t="s">
        <v>52</v>
      </c>
      <c r="F410" t="s">
        <v>53</v>
      </c>
      <c r="G410" t="s">
        <v>27</v>
      </c>
      <c r="H410" t="s">
        <v>54</v>
      </c>
      <c r="I410" t="s">
        <v>55</v>
      </c>
      <c r="J410">
        <v>2</v>
      </c>
      <c r="K410">
        <v>55000</v>
      </c>
      <c r="L410">
        <v>5</v>
      </c>
      <c r="M410">
        <v>104500</v>
      </c>
      <c r="N410">
        <v>77000</v>
      </c>
      <c r="O410">
        <v>27500</v>
      </c>
      <c r="P410" t="s">
        <v>95</v>
      </c>
      <c r="Q410" t="s">
        <v>96</v>
      </c>
      <c r="R410" t="s">
        <v>45</v>
      </c>
      <c r="S410" t="s">
        <v>32</v>
      </c>
      <c r="T410" t="s">
        <v>47</v>
      </c>
      <c r="U410" t="s">
        <v>34</v>
      </c>
      <c r="V410">
        <v>5</v>
      </c>
      <c r="W410">
        <f>Table1[[#This Row],[Profit]]/Table1[[#This Row],[Sales]]</f>
        <v>0.26315789473684209</v>
      </c>
    </row>
    <row r="411" spans="1:23" x14ac:dyDescent="0.25">
      <c r="A411" t="s">
        <v>1091</v>
      </c>
      <c r="B411" s="1">
        <v>45948</v>
      </c>
      <c r="C411" t="s">
        <v>1092</v>
      </c>
      <c r="D411" t="s">
        <v>1093</v>
      </c>
      <c r="E411" t="s">
        <v>67</v>
      </c>
      <c r="F411" t="s">
        <v>68</v>
      </c>
      <c r="G411" t="s">
        <v>27</v>
      </c>
      <c r="H411" t="s">
        <v>28</v>
      </c>
      <c r="I411" t="s">
        <v>69</v>
      </c>
      <c r="J411">
        <v>3</v>
      </c>
      <c r="K411">
        <v>1500</v>
      </c>
      <c r="L411">
        <v>5</v>
      </c>
      <c r="M411">
        <v>4275</v>
      </c>
      <c r="N411">
        <v>3150</v>
      </c>
      <c r="O411">
        <v>1125</v>
      </c>
      <c r="P411" t="s">
        <v>43</v>
      </c>
      <c r="Q411" t="s">
        <v>44</v>
      </c>
      <c r="R411" t="s">
        <v>45</v>
      </c>
      <c r="S411" t="s">
        <v>60</v>
      </c>
      <c r="T411" t="s">
        <v>33</v>
      </c>
      <c r="U411" t="s">
        <v>34</v>
      </c>
      <c r="V411">
        <v>2</v>
      </c>
      <c r="W411">
        <f>Table1[[#This Row],[Profit]]/Table1[[#This Row],[Sales]]</f>
        <v>0.26315789473684209</v>
      </c>
    </row>
    <row r="412" spans="1:23" x14ac:dyDescent="0.25">
      <c r="A412" t="s">
        <v>1094</v>
      </c>
      <c r="B412" s="1">
        <v>45866</v>
      </c>
      <c r="C412" t="s">
        <v>1095</v>
      </c>
      <c r="D412" t="s">
        <v>544</v>
      </c>
      <c r="E412" t="s">
        <v>52</v>
      </c>
      <c r="F412" t="s">
        <v>53</v>
      </c>
      <c r="G412" t="s">
        <v>27</v>
      </c>
      <c r="H412" t="s">
        <v>54</v>
      </c>
      <c r="I412" t="s">
        <v>55</v>
      </c>
      <c r="J412">
        <v>3</v>
      </c>
      <c r="K412">
        <v>55000</v>
      </c>
      <c r="L412">
        <v>10</v>
      </c>
      <c r="M412">
        <v>148500</v>
      </c>
      <c r="N412">
        <v>115500</v>
      </c>
      <c r="O412">
        <v>33000.000000000007</v>
      </c>
      <c r="P412" t="s">
        <v>109</v>
      </c>
      <c r="Q412" t="s">
        <v>110</v>
      </c>
      <c r="R412" t="s">
        <v>111</v>
      </c>
      <c r="S412" t="s">
        <v>60</v>
      </c>
      <c r="T412" t="s">
        <v>47</v>
      </c>
      <c r="U412" t="s">
        <v>48</v>
      </c>
      <c r="V412">
        <v>1</v>
      </c>
      <c r="W412">
        <f>Table1[[#This Row],[Profit]]/Table1[[#This Row],[Sales]]</f>
        <v>0.22222222222222227</v>
      </c>
    </row>
    <row r="413" spans="1:23" x14ac:dyDescent="0.25">
      <c r="A413" t="s">
        <v>1096</v>
      </c>
      <c r="B413" s="1">
        <v>45734</v>
      </c>
      <c r="C413" t="s">
        <v>1097</v>
      </c>
      <c r="D413" t="s">
        <v>1098</v>
      </c>
      <c r="E413" t="s">
        <v>25</v>
      </c>
      <c r="F413" t="s">
        <v>26</v>
      </c>
      <c r="G413" t="s">
        <v>27</v>
      </c>
      <c r="H413" t="s">
        <v>28</v>
      </c>
      <c r="I413" t="s">
        <v>29</v>
      </c>
      <c r="J413">
        <v>3</v>
      </c>
      <c r="K413">
        <v>800</v>
      </c>
      <c r="L413">
        <v>15</v>
      </c>
      <c r="M413">
        <v>2040</v>
      </c>
      <c r="N413">
        <v>1680</v>
      </c>
      <c r="O413">
        <v>360</v>
      </c>
      <c r="P413" t="s">
        <v>30</v>
      </c>
      <c r="Q413" t="s">
        <v>30</v>
      </c>
      <c r="R413" t="s">
        <v>31</v>
      </c>
      <c r="S413" t="s">
        <v>32</v>
      </c>
      <c r="T413" t="s">
        <v>56</v>
      </c>
      <c r="U413" t="s">
        <v>34</v>
      </c>
      <c r="V413">
        <v>3</v>
      </c>
      <c r="W413">
        <f>Table1[[#This Row],[Profit]]/Table1[[#This Row],[Sales]]</f>
        <v>0.17647058823529413</v>
      </c>
    </row>
    <row r="414" spans="1:23" x14ac:dyDescent="0.25">
      <c r="A414" t="s">
        <v>1099</v>
      </c>
      <c r="B414" s="1">
        <v>45713</v>
      </c>
      <c r="C414" t="s">
        <v>1100</v>
      </c>
      <c r="D414" t="s">
        <v>1101</v>
      </c>
      <c r="E414" t="s">
        <v>25</v>
      </c>
      <c r="F414" t="s">
        <v>26</v>
      </c>
      <c r="G414" t="s">
        <v>27</v>
      </c>
      <c r="H414" t="s">
        <v>28</v>
      </c>
      <c r="I414" t="s">
        <v>29</v>
      </c>
      <c r="J414">
        <v>2</v>
      </c>
      <c r="K414">
        <v>800</v>
      </c>
      <c r="L414">
        <v>15</v>
      </c>
      <c r="M414">
        <v>1360</v>
      </c>
      <c r="N414">
        <v>1120</v>
      </c>
      <c r="O414">
        <v>240</v>
      </c>
      <c r="P414" t="s">
        <v>95</v>
      </c>
      <c r="Q414" t="s">
        <v>96</v>
      </c>
      <c r="R414" t="s">
        <v>45</v>
      </c>
      <c r="S414" t="s">
        <v>32</v>
      </c>
      <c r="T414" t="s">
        <v>56</v>
      </c>
      <c r="U414" t="s">
        <v>48</v>
      </c>
      <c r="V414">
        <v>5</v>
      </c>
      <c r="W414">
        <f>Table1[[#This Row],[Profit]]/Table1[[#This Row],[Sales]]</f>
        <v>0.17647058823529413</v>
      </c>
    </row>
    <row r="415" spans="1:23" x14ac:dyDescent="0.25">
      <c r="A415" t="s">
        <v>1102</v>
      </c>
      <c r="B415" s="1">
        <v>45757</v>
      </c>
      <c r="C415" t="s">
        <v>1103</v>
      </c>
      <c r="D415" t="s">
        <v>973</v>
      </c>
      <c r="E415" t="s">
        <v>25</v>
      </c>
      <c r="F415" t="s">
        <v>26</v>
      </c>
      <c r="G415" t="s">
        <v>27</v>
      </c>
      <c r="H415" t="s">
        <v>28</v>
      </c>
      <c r="I415" t="s">
        <v>29</v>
      </c>
      <c r="J415">
        <v>2</v>
      </c>
      <c r="K415">
        <v>800</v>
      </c>
      <c r="L415">
        <v>0</v>
      </c>
      <c r="M415">
        <v>1600</v>
      </c>
      <c r="N415">
        <v>1120</v>
      </c>
      <c r="O415">
        <v>480</v>
      </c>
      <c r="P415" t="s">
        <v>95</v>
      </c>
      <c r="Q415" t="s">
        <v>96</v>
      </c>
      <c r="R415" t="s">
        <v>45</v>
      </c>
      <c r="S415" t="s">
        <v>46</v>
      </c>
      <c r="T415" t="s">
        <v>56</v>
      </c>
      <c r="U415" t="s">
        <v>34</v>
      </c>
      <c r="V415">
        <v>5</v>
      </c>
      <c r="W415">
        <f>Table1[[#This Row],[Profit]]/Table1[[#This Row],[Sales]]</f>
        <v>0.3</v>
      </c>
    </row>
    <row r="416" spans="1:23" x14ac:dyDescent="0.25">
      <c r="A416" t="s">
        <v>1104</v>
      </c>
      <c r="B416" s="1">
        <v>45713</v>
      </c>
      <c r="C416" t="s">
        <v>1105</v>
      </c>
      <c r="D416" t="s">
        <v>117</v>
      </c>
      <c r="E416" t="s">
        <v>25</v>
      </c>
      <c r="F416" t="s">
        <v>26</v>
      </c>
      <c r="G416" t="s">
        <v>27</v>
      </c>
      <c r="H416" t="s">
        <v>28</v>
      </c>
      <c r="I416" t="s">
        <v>29</v>
      </c>
      <c r="J416">
        <v>2</v>
      </c>
      <c r="K416">
        <v>800</v>
      </c>
      <c r="L416">
        <v>10</v>
      </c>
      <c r="M416">
        <v>1440</v>
      </c>
      <c r="N416">
        <v>1120</v>
      </c>
      <c r="O416">
        <v>320</v>
      </c>
      <c r="P416" t="s">
        <v>43</v>
      </c>
      <c r="Q416" t="s">
        <v>44</v>
      </c>
      <c r="R416" t="s">
        <v>45</v>
      </c>
      <c r="S416" t="s">
        <v>32</v>
      </c>
      <c r="T416" t="s">
        <v>33</v>
      </c>
      <c r="U416" t="s">
        <v>34</v>
      </c>
      <c r="V416">
        <v>3</v>
      </c>
      <c r="W416">
        <f>Table1[[#This Row],[Profit]]/Table1[[#This Row],[Sales]]</f>
        <v>0.22222222222222221</v>
      </c>
    </row>
    <row r="417" spans="1:23" x14ac:dyDescent="0.25">
      <c r="A417" t="s">
        <v>1106</v>
      </c>
      <c r="B417" s="1">
        <v>45900</v>
      </c>
      <c r="C417" t="s">
        <v>1107</v>
      </c>
      <c r="D417" t="s">
        <v>1108</v>
      </c>
      <c r="E417" t="s">
        <v>38</v>
      </c>
      <c r="F417" t="s">
        <v>39</v>
      </c>
      <c r="G417" t="s">
        <v>40</v>
      </c>
      <c r="H417" t="s">
        <v>41</v>
      </c>
      <c r="I417" t="s">
        <v>42</v>
      </c>
      <c r="J417">
        <v>4</v>
      </c>
      <c r="K417">
        <v>4500</v>
      </c>
      <c r="L417">
        <v>0</v>
      </c>
      <c r="M417">
        <v>18000</v>
      </c>
      <c r="N417">
        <v>12600</v>
      </c>
      <c r="O417">
        <v>5400</v>
      </c>
      <c r="P417" t="s">
        <v>30</v>
      </c>
      <c r="Q417" t="s">
        <v>30</v>
      </c>
      <c r="R417" t="s">
        <v>31</v>
      </c>
      <c r="S417" t="s">
        <v>60</v>
      </c>
      <c r="T417" t="s">
        <v>47</v>
      </c>
      <c r="U417" t="s">
        <v>34</v>
      </c>
      <c r="V417">
        <v>2</v>
      </c>
      <c r="W417">
        <f>Table1[[#This Row],[Profit]]/Table1[[#This Row],[Sales]]</f>
        <v>0.3</v>
      </c>
    </row>
    <row r="418" spans="1:23" x14ac:dyDescent="0.25">
      <c r="A418" t="s">
        <v>1109</v>
      </c>
      <c r="B418" s="1">
        <v>45728</v>
      </c>
      <c r="C418" t="s">
        <v>1110</v>
      </c>
      <c r="D418" t="s">
        <v>1111</v>
      </c>
      <c r="E418" t="s">
        <v>73</v>
      </c>
      <c r="F418" t="s">
        <v>74</v>
      </c>
      <c r="G418" t="s">
        <v>27</v>
      </c>
      <c r="H418" t="s">
        <v>75</v>
      </c>
      <c r="I418" t="s">
        <v>76</v>
      </c>
      <c r="J418">
        <v>4</v>
      </c>
      <c r="K418">
        <v>3500</v>
      </c>
      <c r="L418">
        <v>5</v>
      </c>
      <c r="M418">
        <v>13300</v>
      </c>
      <c r="N418">
        <v>9800</v>
      </c>
      <c r="O418">
        <v>3500</v>
      </c>
      <c r="P418" t="s">
        <v>109</v>
      </c>
      <c r="Q418" t="s">
        <v>110</v>
      </c>
      <c r="R418" t="s">
        <v>111</v>
      </c>
      <c r="S418" t="s">
        <v>46</v>
      </c>
      <c r="T418" t="s">
        <v>33</v>
      </c>
      <c r="U418" t="s">
        <v>34</v>
      </c>
      <c r="V418">
        <v>1</v>
      </c>
      <c r="W418">
        <f>Table1[[#This Row],[Profit]]/Table1[[#This Row],[Sales]]</f>
        <v>0.26315789473684209</v>
      </c>
    </row>
    <row r="419" spans="1:23" x14ac:dyDescent="0.25">
      <c r="A419" t="s">
        <v>1112</v>
      </c>
      <c r="B419" s="1">
        <v>45787</v>
      </c>
      <c r="C419" t="s">
        <v>971</v>
      </c>
      <c r="D419" t="s">
        <v>1113</v>
      </c>
      <c r="E419" t="s">
        <v>38</v>
      </c>
      <c r="F419" t="s">
        <v>39</v>
      </c>
      <c r="G419" t="s">
        <v>40</v>
      </c>
      <c r="H419" t="s">
        <v>41</v>
      </c>
      <c r="I419" t="s">
        <v>42</v>
      </c>
      <c r="J419">
        <v>3</v>
      </c>
      <c r="K419">
        <v>4500</v>
      </c>
      <c r="L419">
        <v>5</v>
      </c>
      <c r="M419">
        <v>12825</v>
      </c>
      <c r="N419">
        <v>9450</v>
      </c>
      <c r="O419">
        <v>3375</v>
      </c>
      <c r="P419" t="s">
        <v>43</v>
      </c>
      <c r="Q419" t="s">
        <v>44</v>
      </c>
      <c r="R419" t="s">
        <v>45</v>
      </c>
      <c r="S419" t="s">
        <v>46</v>
      </c>
      <c r="T419" t="s">
        <v>33</v>
      </c>
      <c r="U419" t="s">
        <v>34</v>
      </c>
      <c r="V419">
        <v>2</v>
      </c>
      <c r="W419">
        <f>Table1[[#This Row],[Profit]]/Table1[[#This Row],[Sales]]</f>
        <v>0.26315789473684209</v>
      </c>
    </row>
    <row r="420" spans="1:23" x14ac:dyDescent="0.25">
      <c r="A420" t="s">
        <v>1114</v>
      </c>
      <c r="B420" s="1">
        <v>45744</v>
      </c>
      <c r="C420" t="s">
        <v>1115</v>
      </c>
      <c r="D420" t="s">
        <v>580</v>
      </c>
      <c r="E420" t="s">
        <v>73</v>
      </c>
      <c r="F420" t="s">
        <v>74</v>
      </c>
      <c r="G420" t="s">
        <v>27</v>
      </c>
      <c r="H420" t="s">
        <v>75</v>
      </c>
      <c r="I420" t="s">
        <v>76</v>
      </c>
      <c r="J420">
        <v>4</v>
      </c>
      <c r="K420">
        <v>3500</v>
      </c>
      <c r="L420">
        <v>5</v>
      </c>
      <c r="M420">
        <v>13300</v>
      </c>
      <c r="N420">
        <v>9800</v>
      </c>
      <c r="O420">
        <v>3500</v>
      </c>
      <c r="P420" t="s">
        <v>30</v>
      </c>
      <c r="Q420" t="s">
        <v>30</v>
      </c>
      <c r="R420" t="s">
        <v>31</v>
      </c>
      <c r="S420" t="s">
        <v>46</v>
      </c>
      <c r="T420" t="s">
        <v>47</v>
      </c>
      <c r="U420" t="s">
        <v>48</v>
      </c>
      <c r="V420">
        <v>2</v>
      </c>
      <c r="W420">
        <f>Table1[[#This Row],[Profit]]/Table1[[#This Row],[Sales]]</f>
        <v>0.26315789473684209</v>
      </c>
    </row>
    <row r="421" spans="1:23" x14ac:dyDescent="0.25">
      <c r="A421" t="s">
        <v>1116</v>
      </c>
      <c r="B421" s="1">
        <v>46015</v>
      </c>
      <c r="C421" t="s">
        <v>1117</v>
      </c>
      <c r="D421" t="s">
        <v>1118</v>
      </c>
      <c r="E421" t="s">
        <v>52</v>
      </c>
      <c r="F421" t="s">
        <v>53</v>
      </c>
      <c r="G421" t="s">
        <v>27</v>
      </c>
      <c r="H421" t="s">
        <v>54</v>
      </c>
      <c r="I421" t="s">
        <v>55</v>
      </c>
      <c r="J421">
        <v>1</v>
      </c>
      <c r="K421">
        <v>55000</v>
      </c>
      <c r="L421">
        <v>15</v>
      </c>
      <c r="M421">
        <v>46750</v>
      </c>
      <c r="N421">
        <v>38500</v>
      </c>
      <c r="O421">
        <v>8250</v>
      </c>
      <c r="P421" t="s">
        <v>95</v>
      </c>
      <c r="Q421" t="s">
        <v>96</v>
      </c>
      <c r="R421" t="s">
        <v>45</v>
      </c>
      <c r="S421" t="s">
        <v>32</v>
      </c>
      <c r="T421" t="s">
        <v>56</v>
      </c>
      <c r="U421" t="s">
        <v>48</v>
      </c>
      <c r="V421">
        <v>5</v>
      </c>
      <c r="W421">
        <f>Table1[[#This Row],[Profit]]/Table1[[#This Row],[Sales]]</f>
        <v>0.17647058823529413</v>
      </c>
    </row>
    <row r="422" spans="1:23" x14ac:dyDescent="0.25">
      <c r="A422" t="s">
        <v>1119</v>
      </c>
      <c r="B422" s="1">
        <v>45949</v>
      </c>
      <c r="C422" t="s">
        <v>1120</v>
      </c>
      <c r="D422" t="s">
        <v>1121</v>
      </c>
      <c r="E422" t="s">
        <v>73</v>
      </c>
      <c r="F422" t="s">
        <v>74</v>
      </c>
      <c r="G422" t="s">
        <v>27</v>
      </c>
      <c r="H422" t="s">
        <v>75</v>
      </c>
      <c r="I422" t="s">
        <v>76</v>
      </c>
      <c r="J422">
        <v>1</v>
      </c>
      <c r="K422">
        <v>3500</v>
      </c>
      <c r="L422">
        <v>0</v>
      </c>
      <c r="M422">
        <v>3500</v>
      </c>
      <c r="N422">
        <v>2450</v>
      </c>
      <c r="O422">
        <v>1050</v>
      </c>
      <c r="P422" t="s">
        <v>30</v>
      </c>
      <c r="Q422" t="s">
        <v>30</v>
      </c>
      <c r="R422" t="s">
        <v>31</v>
      </c>
      <c r="S422" t="s">
        <v>46</v>
      </c>
      <c r="T422" t="s">
        <v>56</v>
      </c>
      <c r="U422" t="s">
        <v>48</v>
      </c>
      <c r="V422">
        <v>2</v>
      </c>
      <c r="W422">
        <f>Table1[[#This Row],[Profit]]/Table1[[#This Row],[Sales]]</f>
        <v>0.3</v>
      </c>
    </row>
    <row r="423" spans="1:23" x14ac:dyDescent="0.25">
      <c r="A423" t="s">
        <v>1122</v>
      </c>
      <c r="B423" s="1">
        <v>45732</v>
      </c>
      <c r="C423" t="s">
        <v>1123</v>
      </c>
      <c r="D423" t="s">
        <v>969</v>
      </c>
      <c r="E423" t="s">
        <v>73</v>
      </c>
      <c r="F423" t="s">
        <v>74</v>
      </c>
      <c r="G423" t="s">
        <v>27</v>
      </c>
      <c r="H423" t="s">
        <v>75</v>
      </c>
      <c r="I423" t="s">
        <v>76</v>
      </c>
      <c r="J423">
        <v>2</v>
      </c>
      <c r="K423">
        <v>3500</v>
      </c>
      <c r="L423">
        <v>5</v>
      </c>
      <c r="M423">
        <v>6650</v>
      </c>
      <c r="N423">
        <v>4900</v>
      </c>
      <c r="O423">
        <v>1750</v>
      </c>
      <c r="P423" t="s">
        <v>109</v>
      </c>
      <c r="Q423" t="s">
        <v>110</v>
      </c>
      <c r="R423" t="s">
        <v>111</v>
      </c>
      <c r="S423" t="s">
        <v>46</v>
      </c>
      <c r="T423" t="s">
        <v>47</v>
      </c>
      <c r="U423" t="s">
        <v>34</v>
      </c>
      <c r="V423">
        <v>4</v>
      </c>
      <c r="W423">
        <f>Table1[[#This Row],[Profit]]/Table1[[#This Row],[Sales]]</f>
        <v>0.26315789473684209</v>
      </c>
    </row>
    <row r="424" spans="1:23" x14ac:dyDescent="0.25">
      <c r="A424" t="s">
        <v>1124</v>
      </c>
      <c r="B424" s="1">
        <v>45671</v>
      </c>
      <c r="C424" t="s">
        <v>533</v>
      </c>
      <c r="D424" t="s">
        <v>909</v>
      </c>
      <c r="E424" t="s">
        <v>38</v>
      </c>
      <c r="F424" t="s">
        <v>39</v>
      </c>
      <c r="G424" t="s">
        <v>40</v>
      </c>
      <c r="H424" t="s">
        <v>41</v>
      </c>
      <c r="I424" t="s">
        <v>42</v>
      </c>
      <c r="J424">
        <v>2</v>
      </c>
      <c r="K424">
        <v>4500</v>
      </c>
      <c r="L424">
        <v>5</v>
      </c>
      <c r="M424">
        <v>8550</v>
      </c>
      <c r="N424">
        <v>6300</v>
      </c>
      <c r="O424">
        <v>2250</v>
      </c>
      <c r="P424" t="s">
        <v>43</v>
      </c>
      <c r="Q424" t="s">
        <v>44</v>
      </c>
      <c r="R424" t="s">
        <v>45</v>
      </c>
      <c r="S424" t="s">
        <v>32</v>
      </c>
      <c r="T424" t="s">
        <v>47</v>
      </c>
      <c r="U424" t="s">
        <v>34</v>
      </c>
      <c r="V424">
        <v>3</v>
      </c>
      <c r="W424">
        <f>Table1[[#This Row],[Profit]]/Table1[[#This Row],[Sales]]</f>
        <v>0.26315789473684209</v>
      </c>
    </row>
    <row r="425" spans="1:23" x14ac:dyDescent="0.25">
      <c r="A425" t="s">
        <v>1125</v>
      </c>
      <c r="B425" s="1">
        <v>45777</v>
      </c>
      <c r="C425" t="s">
        <v>454</v>
      </c>
      <c r="D425" t="s">
        <v>291</v>
      </c>
      <c r="E425" t="s">
        <v>73</v>
      </c>
      <c r="F425" t="s">
        <v>74</v>
      </c>
      <c r="G425" t="s">
        <v>27</v>
      </c>
      <c r="H425" t="s">
        <v>75</v>
      </c>
      <c r="I425" t="s">
        <v>76</v>
      </c>
      <c r="J425">
        <v>5</v>
      </c>
      <c r="K425">
        <v>3500</v>
      </c>
      <c r="L425">
        <v>10</v>
      </c>
      <c r="M425">
        <v>15750</v>
      </c>
      <c r="N425">
        <v>12250</v>
      </c>
      <c r="O425">
        <v>3500</v>
      </c>
      <c r="P425" t="s">
        <v>109</v>
      </c>
      <c r="Q425" t="s">
        <v>110</v>
      </c>
      <c r="R425" t="s">
        <v>111</v>
      </c>
      <c r="S425" t="s">
        <v>46</v>
      </c>
      <c r="T425" t="s">
        <v>56</v>
      </c>
      <c r="U425" t="s">
        <v>34</v>
      </c>
      <c r="V425">
        <v>1</v>
      </c>
      <c r="W425">
        <f>Table1[[#This Row],[Profit]]/Table1[[#This Row],[Sales]]</f>
        <v>0.22222222222222221</v>
      </c>
    </row>
    <row r="426" spans="1:23" x14ac:dyDescent="0.25">
      <c r="A426" t="s">
        <v>1126</v>
      </c>
      <c r="B426" s="1">
        <v>45883</v>
      </c>
      <c r="C426" t="s">
        <v>1127</v>
      </c>
      <c r="D426" t="s">
        <v>1128</v>
      </c>
      <c r="E426" t="s">
        <v>73</v>
      </c>
      <c r="F426" t="s">
        <v>74</v>
      </c>
      <c r="G426" t="s">
        <v>27</v>
      </c>
      <c r="H426" t="s">
        <v>75</v>
      </c>
      <c r="I426" t="s">
        <v>76</v>
      </c>
      <c r="J426">
        <v>3</v>
      </c>
      <c r="K426">
        <v>3500</v>
      </c>
      <c r="L426">
        <v>15</v>
      </c>
      <c r="M426">
        <v>8925</v>
      </c>
      <c r="N426">
        <v>7349.9999999999991</v>
      </c>
      <c r="O426">
        <v>1575.0000000000009</v>
      </c>
      <c r="P426" t="s">
        <v>43</v>
      </c>
      <c r="Q426" t="s">
        <v>44</v>
      </c>
      <c r="R426" t="s">
        <v>45</v>
      </c>
      <c r="S426" t="s">
        <v>60</v>
      </c>
      <c r="T426" t="s">
        <v>56</v>
      </c>
      <c r="U426" t="s">
        <v>34</v>
      </c>
      <c r="V426">
        <v>2</v>
      </c>
      <c r="W426">
        <f>Table1[[#This Row],[Profit]]/Table1[[#This Row],[Sales]]</f>
        <v>0.17647058823529421</v>
      </c>
    </row>
    <row r="427" spans="1:23" x14ac:dyDescent="0.25">
      <c r="A427" t="s">
        <v>1129</v>
      </c>
      <c r="B427" s="1">
        <v>45958</v>
      </c>
      <c r="C427" t="s">
        <v>1130</v>
      </c>
      <c r="D427" t="s">
        <v>598</v>
      </c>
      <c r="E427" t="s">
        <v>38</v>
      </c>
      <c r="F427" t="s">
        <v>39</v>
      </c>
      <c r="G427" t="s">
        <v>40</v>
      </c>
      <c r="H427" t="s">
        <v>41</v>
      </c>
      <c r="I427" t="s">
        <v>42</v>
      </c>
      <c r="J427">
        <v>5</v>
      </c>
      <c r="K427">
        <v>4500</v>
      </c>
      <c r="L427">
        <v>10</v>
      </c>
      <c r="M427">
        <v>20250</v>
      </c>
      <c r="N427">
        <v>15750</v>
      </c>
      <c r="O427">
        <v>4500.0000000000018</v>
      </c>
      <c r="P427" t="s">
        <v>95</v>
      </c>
      <c r="Q427" t="s">
        <v>96</v>
      </c>
      <c r="R427" t="s">
        <v>45</v>
      </c>
      <c r="S427" t="s">
        <v>60</v>
      </c>
      <c r="T427" t="s">
        <v>47</v>
      </c>
      <c r="U427" t="s">
        <v>34</v>
      </c>
      <c r="V427">
        <v>4</v>
      </c>
      <c r="W427">
        <f>Table1[[#This Row],[Profit]]/Table1[[#This Row],[Sales]]</f>
        <v>0.22222222222222232</v>
      </c>
    </row>
    <row r="428" spans="1:23" x14ac:dyDescent="0.25">
      <c r="A428" t="s">
        <v>1131</v>
      </c>
      <c r="B428" s="1">
        <v>45722</v>
      </c>
      <c r="C428" t="s">
        <v>689</v>
      </c>
      <c r="D428" t="s">
        <v>1132</v>
      </c>
      <c r="E428" t="s">
        <v>73</v>
      </c>
      <c r="F428" t="s">
        <v>74</v>
      </c>
      <c r="G428" t="s">
        <v>27</v>
      </c>
      <c r="H428" t="s">
        <v>75</v>
      </c>
      <c r="I428" t="s">
        <v>76</v>
      </c>
      <c r="J428">
        <v>2</v>
      </c>
      <c r="K428">
        <v>3500</v>
      </c>
      <c r="L428">
        <v>15</v>
      </c>
      <c r="M428">
        <v>5950</v>
      </c>
      <c r="N428">
        <v>4900</v>
      </c>
      <c r="O428">
        <v>1050</v>
      </c>
      <c r="P428" t="s">
        <v>43</v>
      </c>
      <c r="Q428" t="s">
        <v>44</v>
      </c>
      <c r="R428" t="s">
        <v>45</v>
      </c>
      <c r="S428" t="s">
        <v>60</v>
      </c>
      <c r="T428" t="s">
        <v>47</v>
      </c>
      <c r="U428" t="s">
        <v>48</v>
      </c>
      <c r="V428">
        <v>3</v>
      </c>
      <c r="W428">
        <f>Table1[[#This Row],[Profit]]/Table1[[#This Row],[Sales]]</f>
        <v>0.17647058823529413</v>
      </c>
    </row>
    <row r="429" spans="1:23" x14ac:dyDescent="0.25">
      <c r="A429" t="s">
        <v>1133</v>
      </c>
      <c r="B429" s="1">
        <v>45897</v>
      </c>
      <c r="C429" t="s">
        <v>381</v>
      </c>
      <c r="D429" t="s">
        <v>719</v>
      </c>
      <c r="E429" t="s">
        <v>67</v>
      </c>
      <c r="F429" t="s">
        <v>68</v>
      </c>
      <c r="G429" t="s">
        <v>27</v>
      </c>
      <c r="H429" t="s">
        <v>28</v>
      </c>
      <c r="I429" t="s">
        <v>69</v>
      </c>
      <c r="J429">
        <v>4</v>
      </c>
      <c r="K429">
        <v>1500</v>
      </c>
      <c r="L429">
        <v>5</v>
      </c>
      <c r="M429">
        <v>5700</v>
      </c>
      <c r="N429">
        <v>4200</v>
      </c>
      <c r="O429">
        <v>1500</v>
      </c>
      <c r="P429" t="s">
        <v>30</v>
      </c>
      <c r="Q429" t="s">
        <v>30</v>
      </c>
      <c r="R429" t="s">
        <v>31</v>
      </c>
      <c r="S429" t="s">
        <v>46</v>
      </c>
      <c r="T429" t="s">
        <v>56</v>
      </c>
      <c r="U429" t="s">
        <v>48</v>
      </c>
      <c r="V429">
        <v>1</v>
      </c>
      <c r="W429">
        <f>Table1[[#This Row],[Profit]]/Table1[[#This Row],[Sales]]</f>
        <v>0.26315789473684209</v>
      </c>
    </row>
    <row r="430" spans="1:23" x14ac:dyDescent="0.25">
      <c r="A430" t="s">
        <v>1134</v>
      </c>
      <c r="B430" s="1">
        <v>45771</v>
      </c>
      <c r="C430" t="s">
        <v>1135</v>
      </c>
      <c r="D430" t="s">
        <v>1136</v>
      </c>
      <c r="E430" t="s">
        <v>52</v>
      </c>
      <c r="F430" t="s">
        <v>53</v>
      </c>
      <c r="G430" t="s">
        <v>27</v>
      </c>
      <c r="H430" t="s">
        <v>54</v>
      </c>
      <c r="I430" t="s">
        <v>55</v>
      </c>
      <c r="J430">
        <v>5</v>
      </c>
      <c r="K430">
        <v>55000</v>
      </c>
      <c r="L430">
        <v>5</v>
      </c>
      <c r="M430">
        <v>261250</v>
      </c>
      <c r="N430">
        <v>192500</v>
      </c>
      <c r="O430">
        <v>68750</v>
      </c>
      <c r="P430" t="s">
        <v>43</v>
      </c>
      <c r="Q430" t="s">
        <v>44</v>
      </c>
      <c r="R430" t="s">
        <v>45</v>
      </c>
      <c r="S430" t="s">
        <v>32</v>
      </c>
      <c r="T430" t="s">
        <v>56</v>
      </c>
      <c r="U430" t="s">
        <v>34</v>
      </c>
      <c r="V430">
        <v>4</v>
      </c>
      <c r="W430">
        <f>Table1[[#This Row],[Profit]]/Table1[[#This Row],[Sales]]</f>
        <v>0.26315789473684209</v>
      </c>
    </row>
    <row r="431" spans="1:23" x14ac:dyDescent="0.25">
      <c r="A431" t="s">
        <v>1137</v>
      </c>
      <c r="B431" s="1">
        <v>45906</v>
      </c>
      <c r="C431" t="s">
        <v>1022</v>
      </c>
      <c r="D431" t="s">
        <v>1031</v>
      </c>
      <c r="E431" t="s">
        <v>67</v>
      </c>
      <c r="F431" t="s">
        <v>68</v>
      </c>
      <c r="G431" t="s">
        <v>27</v>
      </c>
      <c r="H431" t="s">
        <v>28</v>
      </c>
      <c r="I431" t="s">
        <v>69</v>
      </c>
      <c r="J431">
        <v>4</v>
      </c>
      <c r="K431">
        <v>1500</v>
      </c>
      <c r="L431">
        <v>5</v>
      </c>
      <c r="M431">
        <v>5700</v>
      </c>
      <c r="N431">
        <v>4200</v>
      </c>
      <c r="O431">
        <v>1500</v>
      </c>
      <c r="P431" t="s">
        <v>109</v>
      </c>
      <c r="Q431" t="s">
        <v>110</v>
      </c>
      <c r="R431" t="s">
        <v>111</v>
      </c>
      <c r="S431" t="s">
        <v>46</v>
      </c>
      <c r="T431" t="s">
        <v>47</v>
      </c>
      <c r="U431" t="s">
        <v>34</v>
      </c>
      <c r="V431">
        <v>1</v>
      </c>
      <c r="W431">
        <f>Table1[[#This Row],[Profit]]/Table1[[#This Row],[Sales]]</f>
        <v>0.26315789473684209</v>
      </c>
    </row>
    <row r="432" spans="1:23" x14ac:dyDescent="0.25">
      <c r="A432" t="s">
        <v>1138</v>
      </c>
      <c r="B432" s="1">
        <v>45683</v>
      </c>
      <c r="C432" t="s">
        <v>1130</v>
      </c>
      <c r="D432" t="s">
        <v>1139</v>
      </c>
      <c r="E432" t="s">
        <v>52</v>
      </c>
      <c r="F432" t="s">
        <v>53</v>
      </c>
      <c r="G432" t="s">
        <v>27</v>
      </c>
      <c r="H432" t="s">
        <v>54</v>
      </c>
      <c r="I432" t="s">
        <v>55</v>
      </c>
      <c r="J432">
        <v>1</v>
      </c>
      <c r="K432">
        <v>55000</v>
      </c>
      <c r="L432">
        <v>10</v>
      </c>
      <c r="M432">
        <v>49500</v>
      </c>
      <c r="N432">
        <v>38500</v>
      </c>
      <c r="O432">
        <v>11000</v>
      </c>
      <c r="P432" t="s">
        <v>43</v>
      </c>
      <c r="Q432" t="s">
        <v>44</v>
      </c>
      <c r="R432" t="s">
        <v>45</v>
      </c>
      <c r="S432" t="s">
        <v>32</v>
      </c>
      <c r="T432" t="s">
        <v>47</v>
      </c>
      <c r="U432" t="s">
        <v>48</v>
      </c>
      <c r="V432">
        <v>5</v>
      </c>
      <c r="W432">
        <f>Table1[[#This Row],[Profit]]/Table1[[#This Row],[Sales]]</f>
        <v>0.22222222222222221</v>
      </c>
    </row>
    <row r="433" spans="1:23" x14ac:dyDescent="0.25">
      <c r="A433" t="s">
        <v>1140</v>
      </c>
      <c r="B433" s="1">
        <v>45923</v>
      </c>
      <c r="C433" t="s">
        <v>879</v>
      </c>
      <c r="D433" t="s">
        <v>246</v>
      </c>
      <c r="E433" t="s">
        <v>73</v>
      </c>
      <c r="F433" t="s">
        <v>74</v>
      </c>
      <c r="G433" t="s">
        <v>27</v>
      </c>
      <c r="H433" t="s">
        <v>75</v>
      </c>
      <c r="I433" t="s">
        <v>76</v>
      </c>
      <c r="J433">
        <v>3</v>
      </c>
      <c r="K433">
        <v>3500</v>
      </c>
      <c r="L433">
        <v>10</v>
      </c>
      <c r="M433">
        <v>9450</v>
      </c>
      <c r="N433">
        <v>7349.9999999999991</v>
      </c>
      <c r="O433">
        <v>2100.0000000000009</v>
      </c>
      <c r="P433" t="s">
        <v>30</v>
      </c>
      <c r="Q433" t="s">
        <v>30</v>
      </c>
      <c r="R433" t="s">
        <v>31</v>
      </c>
      <c r="S433" t="s">
        <v>46</v>
      </c>
      <c r="T433" t="s">
        <v>47</v>
      </c>
      <c r="U433" t="s">
        <v>48</v>
      </c>
      <c r="V433">
        <v>5</v>
      </c>
      <c r="W433">
        <f>Table1[[#This Row],[Profit]]/Table1[[#This Row],[Sales]]</f>
        <v>0.22222222222222232</v>
      </c>
    </row>
    <row r="434" spans="1:23" x14ac:dyDescent="0.25">
      <c r="A434" t="s">
        <v>1141</v>
      </c>
      <c r="B434" s="1">
        <v>45976</v>
      </c>
      <c r="C434" t="s">
        <v>1142</v>
      </c>
      <c r="D434" t="s">
        <v>1143</v>
      </c>
      <c r="E434" t="s">
        <v>67</v>
      </c>
      <c r="F434" t="s">
        <v>68</v>
      </c>
      <c r="G434" t="s">
        <v>27</v>
      </c>
      <c r="H434" t="s">
        <v>28</v>
      </c>
      <c r="I434" t="s">
        <v>69</v>
      </c>
      <c r="J434">
        <v>3</v>
      </c>
      <c r="K434">
        <v>1500</v>
      </c>
      <c r="L434">
        <v>5</v>
      </c>
      <c r="M434">
        <v>4275</v>
      </c>
      <c r="N434">
        <v>3150</v>
      </c>
      <c r="O434">
        <v>1125</v>
      </c>
      <c r="P434" t="s">
        <v>95</v>
      </c>
      <c r="Q434" t="s">
        <v>96</v>
      </c>
      <c r="R434" t="s">
        <v>45</v>
      </c>
      <c r="S434" t="s">
        <v>46</v>
      </c>
      <c r="T434" t="s">
        <v>47</v>
      </c>
      <c r="U434" t="s">
        <v>34</v>
      </c>
      <c r="V434">
        <v>2</v>
      </c>
      <c r="W434">
        <f>Table1[[#This Row],[Profit]]/Table1[[#This Row],[Sales]]</f>
        <v>0.26315789473684209</v>
      </c>
    </row>
    <row r="435" spans="1:23" x14ac:dyDescent="0.25">
      <c r="A435" t="s">
        <v>1144</v>
      </c>
      <c r="B435" s="1">
        <v>45677</v>
      </c>
      <c r="C435" t="s">
        <v>1145</v>
      </c>
      <c r="D435" t="s">
        <v>1146</v>
      </c>
      <c r="E435" t="s">
        <v>52</v>
      </c>
      <c r="F435" t="s">
        <v>53</v>
      </c>
      <c r="G435" t="s">
        <v>27</v>
      </c>
      <c r="H435" t="s">
        <v>54</v>
      </c>
      <c r="I435" t="s">
        <v>55</v>
      </c>
      <c r="J435">
        <v>2</v>
      </c>
      <c r="K435">
        <v>55000</v>
      </c>
      <c r="L435">
        <v>5</v>
      </c>
      <c r="M435">
        <v>104500</v>
      </c>
      <c r="N435">
        <v>77000</v>
      </c>
      <c r="O435">
        <v>27500</v>
      </c>
      <c r="P435" t="s">
        <v>95</v>
      </c>
      <c r="Q435" t="s">
        <v>96</v>
      </c>
      <c r="R435" t="s">
        <v>45</v>
      </c>
      <c r="S435" t="s">
        <v>60</v>
      </c>
      <c r="T435" t="s">
        <v>33</v>
      </c>
      <c r="U435" t="s">
        <v>48</v>
      </c>
      <c r="V435">
        <v>1</v>
      </c>
      <c r="W435">
        <f>Table1[[#This Row],[Profit]]/Table1[[#This Row],[Sales]]</f>
        <v>0.26315789473684209</v>
      </c>
    </row>
    <row r="436" spans="1:23" x14ac:dyDescent="0.25">
      <c r="A436" t="s">
        <v>1147</v>
      </c>
      <c r="B436" s="1">
        <v>45662</v>
      </c>
      <c r="C436" t="s">
        <v>1148</v>
      </c>
      <c r="D436" t="s">
        <v>1149</v>
      </c>
      <c r="E436" t="s">
        <v>38</v>
      </c>
      <c r="F436" t="s">
        <v>39</v>
      </c>
      <c r="G436" t="s">
        <v>40</v>
      </c>
      <c r="H436" t="s">
        <v>41</v>
      </c>
      <c r="I436" t="s">
        <v>42</v>
      </c>
      <c r="J436">
        <v>5</v>
      </c>
      <c r="K436">
        <v>4500</v>
      </c>
      <c r="L436">
        <v>10</v>
      </c>
      <c r="M436">
        <v>20250</v>
      </c>
      <c r="N436">
        <v>15750</v>
      </c>
      <c r="O436">
        <v>4500.0000000000018</v>
      </c>
      <c r="P436" t="s">
        <v>95</v>
      </c>
      <c r="Q436" t="s">
        <v>96</v>
      </c>
      <c r="R436" t="s">
        <v>45</v>
      </c>
      <c r="S436" t="s">
        <v>46</v>
      </c>
      <c r="T436" t="s">
        <v>47</v>
      </c>
      <c r="U436" t="s">
        <v>34</v>
      </c>
      <c r="V436">
        <v>4</v>
      </c>
      <c r="W436">
        <f>Table1[[#This Row],[Profit]]/Table1[[#This Row],[Sales]]</f>
        <v>0.22222222222222232</v>
      </c>
    </row>
    <row r="437" spans="1:23" x14ac:dyDescent="0.25">
      <c r="A437" t="s">
        <v>1150</v>
      </c>
      <c r="B437" s="1">
        <v>45805</v>
      </c>
      <c r="C437" t="s">
        <v>1151</v>
      </c>
      <c r="D437" t="s">
        <v>79</v>
      </c>
      <c r="E437" t="s">
        <v>67</v>
      </c>
      <c r="F437" t="s">
        <v>68</v>
      </c>
      <c r="G437" t="s">
        <v>27</v>
      </c>
      <c r="H437" t="s">
        <v>28</v>
      </c>
      <c r="I437" t="s">
        <v>69</v>
      </c>
      <c r="J437">
        <v>2</v>
      </c>
      <c r="K437">
        <v>1500</v>
      </c>
      <c r="L437">
        <v>0</v>
      </c>
      <c r="M437">
        <v>3000</v>
      </c>
      <c r="N437">
        <v>2100</v>
      </c>
      <c r="O437">
        <v>900</v>
      </c>
      <c r="P437" t="s">
        <v>43</v>
      </c>
      <c r="Q437" t="s">
        <v>44</v>
      </c>
      <c r="R437" t="s">
        <v>45</v>
      </c>
      <c r="S437" t="s">
        <v>32</v>
      </c>
      <c r="T437" t="s">
        <v>33</v>
      </c>
      <c r="U437" t="s">
        <v>48</v>
      </c>
      <c r="V437">
        <v>3</v>
      </c>
      <c r="W437">
        <f>Table1[[#This Row],[Profit]]/Table1[[#This Row],[Sales]]</f>
        <v>0.3</v>
      </c>
    </row>
    <row r="438" spans="1:23" x14ac:dyDescent="0.25">
      <c r="A438" t="s">
        <v>1152</v>
      </c>
      <c r="B438" s="1">
        <v>45929</v>
      </c>
      <c r="C438" t="s">
        <v>511</v>
      </c>
      <c r="D438" t="s">
        <v>1153</v>
      </c>
      <c r="E438" t="s">
        <v>38</v>
      </c>
      <c r="F438" t="s">
        <v>39</v>
      </c>
      <c r="G438" t="s">
        <v>40</v>
      </c>
      <c r="H438" t="s">
        <v>41</v>
      </c>
      <c r="I438" t="s">
        <v>42</v>
      </c>
      <c r="J438">
        <v>5</v>
      </c>
      <c r="K438">
        <v>4500</v>
      </c>
      <c r="L438">
        <v>10</v>
      </c>
      <c r="M438">
        <v>20250</v>
      </c>
      <c r="N438">
        <v>15750</v>
      </c>
      <c r="O438">
        <v>4500.0000000000018</v>
      </c>
      <c r="P438" t="s">
        <v>109</v>
      </c>
      <c r="Q438" t="s">
        <v>110</v>
      </c>
      <c r="R438" t="s">
        <v>111</v>
      </c>
      <c r="S438" t="s">
        <v>60</v>
      </c>
      <c r="T438" t="s">
        <v>47</v>
      </c>
      <c r="U438" t="s">
        <v>34</v>
      </c>
      <c r="V438">
        <v>5</v>
      </c>
      <c r="W438">
        <f>Table1[[#This Row],[Profit]]/Table1[[#This Row],[Sales]]</f>
        <v>0.22222222222222232</v>
      </c>
    </row>
    <row r="439" spans="1:23" x14ac:dyDescent="0.25">
      <c r="A439" t="s">
        <v>1154</v>
      </c>
      <c r="B439" s="1">
        <v>45978</v>
      </c>
      <c r="C439" t="s">
        <v>832</v>
      </c>
      <c r="D439" t="s">
        <v>1155</v>
      </c>
      <c r="E439" t="s">
        <v>52</v>
      </c>
      <c r="F439" t="s">
        <v>53</v>
      </c>
      <c r="G439" t="s">
        <v>27</v>
      </c>
      <c r="H439" t="s">
        <v>54</v>
      </c>
      <c r="I439" t="s">
        <v>55</v>
      </c>
      <c r="J439">
        <v>3</v>
      </c>
      <c r="K439">
        <v>55000</v>
      </c>
      <c r="L439">
        <v>5</v>
      </c>
      <c r="M439">
        <v>156750</v>
      </c>
      <c r="N439">
        <v>115500</v>
      </c>
      <c r="O439">
        <v>41250.000000000007</v>
      </c>
      <c r="P439" t="s">
        <v>95</v>
      </c>
      <c r="Q439" t="s">
        <v>96</v>
      </c>
      <c r="R439" t="s">
        <v>45</v>
      </c>
      <c r="S439" t="s">
        <v>32</v>
      </c>
      <c r="T439" t="s">
        <v>47</v>
      </c>
      <c r="U439" t="s">
        <v>34</v>
      </c>
      <c r="V439">
        <v>1</v>
      </c>
      <c r="W439">
        <f>Table1[[#This Row],[Profit]]/Table1[[#This Row],[Sales]]</f>
        <v>0.26315789473684215</v>
      </c>
    </row>
    <row r="440" spans="1:23" x14ac:dyDescent="0.25">
      <c r="A440" t="s">
        <v>1156</v>
      </c>
      <c r="B440" s="1">
        <v>45910</v>
      </c>
      <c r="C440" t="s">
        <v>1157</v>
      </c>
      <c r="D440" t="s">
        <v>1158</v>
      </c>
      <c r="E440" t="s">
        <v>67</v>
      </c>
      <c r="F440" t="s">
        <v>68</v>
      </c>
      <c r="G440" t="s">
        <v>27</v>
      </c>
      <c r="H440" t="s">
        <v>28</v>
      </c>
      <c r="I440" t="s">
        <v>69</v>
      </c>
      <c r="J440">
        <v>2</v>
      </c>
      <c r="K440">
        <v>1500</v>
      </c>
      <c r="L440">
        <v>0</v>
      </c>
      <c r="M440">
        <v>3000</v>
      </c>
      <c r="N440">
        <v>2100</v>
      </c>
      <c r="O440">
        <v>900</v>
      </c>
      <c r="P440" t="s">
        <v>95</v>
      </c>
      <c r="Q440" t="s">
        <v>96</v>
      </c>
      <c r="R440" t="s">
        <v>45</v>
      </c>
      <c r="S440" t="s">
        <v>32</v>
      </c>
      <c r="T440" t="s">
        <v>33</v>
      </c>
      <c r="U440" t="s">
        <v>48</v>
      </c>
      <c r="V440">
        <v>2</v>
      </c>
      <c r="W440">
        <f>Table1[[#This Row],[Profit]]/Table1[[#This Row],[Sales]]</f>
        <v>0.3</v>
      </c>
    </row>
    <row r="441" spans="1:23" x14ac:dyDescent="0.25">
      <c r="A441" t="s">
        <v>1159</v>
      </c>
      <c r="B441" s="1">
        <v>45818</v>
      </c>
      <c r="C441" t="s">
        <v>1160</v>
      </c>
      <c r="D441" t="s">
        <v>441</v>
      </c>
      <c r="E441" t="s">
        <v>67</v>
      </c>
      <c r="F441" t="s">
        <v>68</v>
      </c>
      <c r="G441" t="s">
        <v>27</v>
      </c>
      <c r="H441" t="s">
        <v>28</v>
      </c>
      <c r="I441" t="s">
        <v>69</v>
      </c>
      <c r="J441">
        <v>5</v>
      </c>
      <c r="K441">
        <v>1500</v>
      </c>
      <c r="L441">
        <v>0</v>
      </c>
      <c r="M441">
        <v>7500</v>
      </c>
      <c r="N441">
        <v>5250</v>
      </c>
      <c r="O441">
        <v>2250</v>
      </c>
      <c r="P441" t="s">
        <v>43</v>
      </c>
      <c r="Q441" t="s">
        <v>44</v>
      </c>
      <c r="R441" t="s">
        <v>45</v>
      </c>
      <c r="S441" t="s">
        <v>32</v>
      </c>
      <c r="T441" t="s">
        <v>56</v>
      </c>
      <c r="U441" t="s">
        <v>34</v>
      </c>
      <c r="V441">
        <v>1</v>
      </c>
      <c r="W441">
        <f>Table1[[#This Row],[Profit]]/Table1[[#This Row],[Sales]]</f>
        <v>0.3</v>
      </c>
    </row>
    <row r="442" spans="1:23" x14ac:dyDescent="0.25">
      <c r="A442" t="s">
        <v>1161</v>
      </c>
      <c r="B442" s="1">
        <v>45803</v>
      </c>
      <c r="C442" t="s">
        <v>683</v>
      </c>
      <c r="D442" t="s">
        <v>637</v>
      </c>
      <c r="E442" t="s">
        <v>67</v>
      </c>
      <c r="F442" t="s">
        <v>68</v>
      </c>
      <c r="G442" t="s">
        <v>27</v>
      </c>
      <c r="H442" t="s">
        <v>28</v>
      </c>
      <c r="I442" t="s">
        <v>69</v>
      </c>
      <c r="J442">
        <v>3</v>
      </c>
      <c r="K442">
        <v>1500</v>
      </c>
      <c r="L442">
        <v>15</v>
      </c>
      <c r="M442">
        <v>3825</v>
      </c>
      <c r="N442">
        <v>3150</v>
      </c>
      <c r="O442">
        <v>675</v>
      </c>
      <c r="P442" t="s">
        <v>30</v>
      </c>
      <c r="Q442" t="s">
        <v>30</v>
      </c>
      <c r="R442" t="s">
        <v>31</v>
      </c>
      <c r="S442" t="s">
        <v>32</v>
      </c>
      <c r="T442" t="s">
        <v>33</v>
      </c>
      <c r="U442" t="s">
        <v>34</v>
      </c>
      <c r="V442">
        <v>2</v>
      </c>
      <c r="W442">
        <f>Table1[[#This Row],[Profit]]/Table1[[#This Row],[Sales]]</f>
        <v>0.17647058823529413</v>
      </c>
    </row>
    <row r="443" spans="1:23" x14ac:dyDescent="0.25">
      <c r="A443" t="s">
        <v>1162</v>
      </c>
      <c r="B443" s="1">
        <v>45979</v>
      </c>
      <c r="C443" t="s">
        <v>443</v>
      </c>
      <c r="D443" t="s">
        <v>1163</v>
      </c>
      <c r="E443" t="s">
        <v>25</v>
      </c>
      <c r="F443" t="s">
        <v>26</v>
      </c>
      <c r="G443" t="s">
        <v>27</v>
      </c>
      <c r="H443" t="s">
        <v>28</v>
      </c>
      <c r="I443" t="s">
        <v>29</v>
      </c>
      <c r="J443">
        <v>5</v>
      </c>
      <c r="K443">
        <v>800</v>
      </c>
      <c r="L443">
        <v>0</v>
      </c>
      <c r="M443">
        <v>4000</v>
      </c>
      <c r="N443">
        <v>2800</v>
      </c>
      <c r="O443">
        <v>1200</v>
      </c>
      <c r="P443" t="s">
        <v>109</v>
      </c>
      <c r="Q443" t="s">
        <v>110</v>
      </c>
      <c r="R443" t="s">
        <v>111</v>
      </c>
      <c r="S443" t="s">
        <v>60</v>
      </c>
      <c r="T443" t="s">
        <v>33</v>
      </c>
      <c r="U443" t="s">
        <v>34</v>
      </c>
      <c r="V443">
        <v>5</v>
      </c>
      <c r="W443">
        <f>Table1[[#This Row],[Profit]]/Table1[[#This Row],[Sales]]</f>
        <v>0.3</v>
      </c>
    </row>
    <row r="444" spans="1:23" x14ac:dyDescent="0.25">
      <c r="A444" t="s">
        <v>1164</v>
      </c>
      <c r="B444" s="1">
        <v>46013</v>
      </c>
      <c r="C444" t="s">
        <v>1165</v>
      </c>
      <c r="D444" t="s">
        <v>589</v>
      </c>
      <c r="E444" t="s">
        <v>25</v>
      </c>
      <c r="F444" t="s">
        <v>26</v>
      </c>
      <c r="G444" t="s">
        <v>27</v>
      </c>
      <c r="H444" t="s">
        <v>28</v>
      </c>
      <c r="I444" t="s">
        <v>29</v>
      </c>
      <c r="J444">
        <v>2</v>
      </c>
      <c r="K444">
        <v>800</v>
      </c>
      <c r="L444">
        <v>15</v>
      </c>
      <c r="M444">
        <v>1360</v>
      </c>
      <c r="N444">
        <v>1120</v>
      </c>
      <c r="O444">
        <v>240</v>
      </c>
      <c r="P444" t="s">
        <v>43</v>
      </c>
      <c r="Q444" t="s">
        <v>44</v>
      </c>
      <c r="R444" t="s">
        <v>45</v>
      </c>
      <c r="S444" t="s">
        <v>46</v>
      </c>
      <c r="T444" t="s">
        <v>56</v>
      </c>
      <c r="U444" t="s">
        <v>48</v>
      </c>
      <c r="V444">
        <v>1</v>
      </c>
      <c r="W444">
        <f>Table1[[#This Row],[Profit]]/Table1[[#This Row],[Sales]]</f>
        <v>0.17647058823529413</v>
      </c>
    </row>
    <row r="445" spans="1:23" x14ac:dyDescent="0.25">
      <c r="A445" t="s">
        <v>1166</v>
      </c>
      <c r="B445" s="1">
        <v>45991</v>
      </c>
      <c r="C445" t="s">
        <v>1167</v>
      </c>
      <c r="D445" t="s">
        <v>679</v>
      </c>
      <c r="E445" t="s">
        <v>52</v>
      </c>
      <c r="F445" t="s">
        <v>53</v>
      </c>
      <c r="G445" t="s">
        <v>27</v>
      </c>
      <c r="H445" t="s">
        <v>54</v>
      </c>
      <c r="I445" t="s">
        <v>55</v>
      </c>
      <c r="J445">
        <v>4</v>
      </c>
      <c r="K445">
        <v>55000</v>
      </c>
      <c r="L445">
        <v>5</v>
      </c>
      <c r="M445">
        <v>209000</v>
      </c>
      <c r="N445">
        <v>154000</v>
      </c>
      <c r="O445">
        <v>55000</v>
      </c>
      <c r="P445" t="s">
        <v>109</v>
      </c>
      <c r="Q445" t="s">
        <v>110</v>
      </c>
      <c r="R445" t="s">
        <v>111</v>
      </c>
      <c r="S445" t="s">
        <v>60</v>
      </c>
      <c r="T445" t="s">
        <v>47</v>
      </c>
      <c r="U445" t="s">
        <v>34</v>
      </c>
      <c r="V445">
        <v>3</v>
      </c>
      <c r="W445">
        <f>Table1[[#This Row],[Profit]]/Table1[[#This Row],[Sales]]</f>
        <v>0.26315789473684209</v>
      </c>
    </row>
    <row r="446" spans="1:23" x14ac:dyDescent="0.25">
      <c r="A446" t="s">
        <v>1168</v>
      </c>
      <c r="B446" s="1">
        <v>45805</v>
      </c>
      <c r="C446" t="s">
        <v>903</v>
      </c>
      <c r="D446" t="s">
        <v>813</v>
      </c>
      <c r="E446" t="s">
        <v>25</v>
      </c>
      <c r="F446" t="s">
        <v>26</v>
      </c>
      <c r="G446" t="s">
        <v>27</v>
      </c>
      <c r="H446" t="s">
        <v>28</v>
      </c>
      <c r="I446" t="s">
        <v>29</v>
      </c>
      <c r="J446">
        <v>5</v>
      </c>
      <c r="K446">
        <v>800</v>
      </c>
      <c r="L446">
        <v>15</v>
      </c>
      <c r="M446">
        <v>3400</v>
      </c>
      <c r="N446">
        <v>2800</v>
      </c>
      <c r="O446">
        <v>600</v>
      </c>
      <c r="P446" t="s">
        <v>95</v>
      </c>
      <c r="Q446" t="s">
        <v>96</v>
      </c>
      <c r="R446" t="s">
        <v>45</v>
      </c>
      <c r="S446" t="s">
        <v>46</v>
      </c>
      <c r="T446" t="s">
        <v>56</v>
      </c>
      <c r="U446" t="s">
        <v>48</v>
      </c>
      <c r="V446">
        <v>4</v>
      </c>
      <c r="W446">
        <f>Table1[[#This Row],[Profit]]/Table1[[#This Row],[Sales]]</f>
        <v>0.17647058823529413</v>
      </c>
    </row>
    <row r="447" spans="1:23" x14ac:dyDescent="0.25">
      <c r="A447" t="s">
        <v>1169</v>
      </c>
      <c r="B447" s="1">
        <v>45919</v>
      </c>
      <c r="C447" t="s">
        <v>1170</v>
      </c>
      <c r="D447" t="s">
        <v>572</v>
      </c>
      <c r="E447" t="s">
        <v>52</v>
      </c>
      <c r="F447" t="s">
        <v>53</v>
      </c>
      <c r="G447" t="s">
        <v>27</v>
      </c>
      <c r="H447" t="s">
        <v>54</v>
      </c>
      <c r="I447" t="s">
        <v>55</v>
      </c>
      <c r="J447">
        <v>2</v>
      </c>
      <c r="K447">
        <v>55000</v>
      </c>
      <c r="L447">
        <v>15</v>
      </c>
      <c r="M447">
        <v>93500</v>
      </c>
      <c r="N447">
        <v>77000</v>
      </c>
      <c r="O447">
        <v>16500</v>
      </c>
      <c r="P447" t="s">
        <v>109</v>
      </c>
      <c r="Q447" t="s">
        <v>110</v>
      </c>
      <c r="R447" t="s">
        <v>111</v>
      </c>
      <c r="S447" t="s">
        <v>60</v>
      </c>
      <c r="T447" t="s">
        <v>33</v>
      </c>
      <c r="U447" t="s">
        <v>48</v>
      </c>
      <c r="V447">
        <v>4</v>
      </c>
      <c r="W447">
        <f>Table1[[#This Row],[Profit]]/Table1[[#This Row],[Sales]]</f>
        <v>0.17647058823529413</v>
      </c>
    </row>
    <row r="448" spans="1:23" x14ac:dyDescent="0.25">
      <c r="A448" t="s">
        <v>1171</v>
      </c>
      <c r="B448" s="1">
        <v>45803</v>
      </c>
      <c r="C448" t="s">
        <v>228</v>
      </c>
      <c r="D448" t="s">
        <v>1172</v>
      </c>
      <c r="E448" t="s">
        <v>67</v>
      </c>
      <c r="F448" t="s">
        <v>68</v>
      </c>
      <c r="G448" t="s">
        <v>27</v>
      </c>
      <c r="H448" t="s">
        <v>28</v>
      </c>
      <c r="I448" t="s">
        <v>69</v>
      </c>
      <c r="J448">
        <v>5</v>
      </c>
      <c r="K448">
        <v>1500</v>
      </c>
      <c r="L448">
        <v>10</v>
      </c>
      <c r="M448">
        <v>6750</v>
      </c>
      <c r="N448">
        <v>5250</v>
      </c>
      <c r="O448">
        <v>1500</v>
      </c>
      <c r="P448" t="s">
        <v>43</v>
      </c>
      <c r="Q448" t="s">
        <v>44</v>
      </c>
      <c r="R448" t="s">
        <v>45</v>
      </c>
      <c r="S448" t="s">
        <v>46</v>
      </c>
      <c r="T448" t="s">
        <v>33</v>
      </c>
      <c r="U448" t="s">
        <v>34</v>
      </c>
      <c r="V448">
        <v>3</v>
      </c>
      <c r="W448">
        <f>Table1[[#This Row],[Profit]]/Table1[[#This Row],[Sales]]</f>
        <v>0.22222222222222221</v>
      </c>
    </row>
    <row r="449" spans="1:23" x14ac:dyDescent="0.25">
      <c r="A449" t="s">
        <v>1173</v>
      </c>
      <c r="B449" s="1">
        <v>45692</v>
      </c>
      <c r="C449" t="s">
        <v>1174</v>
      </c>
      <c r="D449" t="s">
        <v>59</v>
      </c>
      <c r="E449" t="s">
        <v>73</v>
      </c>
      <c r="F449" t="s">
        <v>74</v>
      </c>
      <c r="G449" t="s">
        <v>27</v>
      </c>
      <c r="H449" t="s">
        <v>75</v>
      </c>
      <c r="I449" t="s">
        <v>76</v>
      </c>
      <c r="J449">
        <v>3</v>
      </c>
      <c r="K449">
        <v>3500</v>
      </c>
      <c r="L449">
        <v>15</v>
      </c>
      <c r="M449">
        <v>8925</v>
      </c>
      <c r="N449">
        <v>7349.9999999999991</v>
      </c>
      <c r="O449">
        <v>1575.0000000000009</v>
      </c>
      <c r="P449" t="s">
        <v>43</v>
      </c>
      <c r="Q449" t="s">
        <v>44</v>
      </c>
      <c r="R449" t="s">
        <v>45</v>
      </c>
      <c r="S449" t="s">
        <v>32</v>
      </c>
      <c r="T449" t="s">
        <v>47</v>
      </c>
      <c r="U449" t="s">
        <v>34</v>
      </c>
      <c r="V449">
        <v>2</v>
      </c>
      <c r="W449">
        <f>Table1[[#This Row],[Profit]]/Table1[[#This Row],[Sales]]</f>
        <v>0.17647058823529421</v>
      </c>
    </row>
    <row r="450" spans="1:23" x14ac:dyDescent="0.25">
      <c r="A450" t="s">
        <v>1175</v>
      </c>
      <c r="B450" s="1">
        <v>45872</v>
      </c>
      <c r="C450" t="s">
        <v>890</v>
      </c>
      <c r="D450" t="s">
        <v>740</v>
      </c>
      <c r="E450" t="s">
        <v>52</v>
      </c>
      <c r="F450" t="s">
        <v>53</v>
      </c>
      <c r="G450" t="s">
        <v>27</v>
      </c>
      <c r="H450" t="s">
        <v>54</v>
      </c>
      <c r="I450" t="s">
        <v>55</v>
      </c>
      <c r="J450">
        <v>5</v>
      </c>
      <c r="K450">
        <v>55000</v>
      </c>
      <c r="L450">
        <v>15</v>
      </c>
      <c r="M450">
        <v>233750</v>
      </c>
      <c r="N450">
        <v>192500</v>
      </c>
      <c r="O450">
        <v>41250</v>
      </c>
      <c r="P450" t="s">
        <v>95</v>
      </c>
      <c r="Q450" t="s">
        <v>96</v>
      </c>
      <c r="R450" t="s">
        <v>45</v>
      </c>
      <c r="S450" t="s">
        <v>32</v>
      </c>
      <c r="T450" t="s">
        <v>47</v>
      </c>
      <c r="U450" t="s">
        <v>48</v>
      </c>
      <c r="V450">
        <v>1</v>
      </c>
      <c r="W450">
        <f>Table1[[#This Row],[Profit]]/Table1[[#This Row],[Sales]]</f>
        <v>0.17647058823529413</v>
      </c>
    </row>
    <row r="451" spans="1:23" x14ac:dyDescent="0.25">
      <c r="A451" t="s">
        <v>1176</v>
      </c>
      <c r="B451" s="1">
        <v>46006</v>
      </c>
      <c r="C451" t="s">
        <v>998</v>
      </c>
      <c r="D451" t="s">
        <v>791</v>
      </c>
      <c r="E451" t="s">
        <v>25</v>
      </c>
      <c r="F451" t="s">
        <v>26</v>
      </c>
      <c r="G451" t="s">
        <v>27</v>
      </c>
      <c r="H451" t="s">
        <v>28</v>
      </c>
      <c r="I451" t="s">
        <v>29</v>
      </c>
      <c r="J451">
        <v>3</v>
      </c>
      <c r="K451">
        <v>800</v>
      </c>
      <c r="L451">
        <v>10</v>
      </c>
      <c r="M451">
        <v>2160</v>
      </c>
      <c r="N451">
        <v>1680</v>
      </c>
      <c r="O451">
        <v>480</v>
      </c>
      <c r="P451" t="s">
        <v>109</v>
      </c>
      <c r="Q451" t="s">
        <v>110</v>
      </c>
      <c r="R451" t="s">
        <v>111</v>
      </c>
      <c r="S451" t="s">
        <v>32</v>
      </c>
      <c r="T451" t="s">
        <v>33</v>
      </c>
      <c r="U451" t="s">
        <v>34</v>
      </c>
      <c r="V451">
        <v>2</v>
      </c>
      <c r="W451">
        <f>Table1[[#This Row],[Profit]]/Table1[[#This Row],[Sales]]</f>
        <v>0.22222222222222221</v>
      </c>
    </row>
    <row r="452" spans="1:23" x14ac:dyDescent="0.25">
      <c r="A452" t="s">
        <v>1177</v>
      </c>
      <c r="B452" s="1">
        <v>45684</v>
      </c>
      <c r="C452" t="s">
        <v>1178</v>
      </c>
      <c r="D452" t="s">
        <v>212</v>
      </c>
      <c r="E452" t="s">
        <v>38</v>
      </c>
      <c r="F452" t="s">
        <v>39</v>
      </c>
      <c r="G452" t="s">
        <v>40</v>
      </c>
      <c r="H452" t="s">
        <v>41</v>
      </c>
      <c r="I452" t="s">
        <v>42</v>
      </c>
      <c r="J452">
        <v>3</v>
      </c>
      <c r="K452">
        <v>4500</v>
      </c>
      <c r="L452">
        <v>15</v>
      </c>
      <c r="M452">
        <v>11475</v>
      </c>
      <c r="N452">
        <v>9450</v>
      </c>
      <c r="O452">
        <v>2025</v>
      </c>
      <c r="P452" t="s">
        <v>43</v>
      </c>
      <c r="Q452" t="s">
        <v>44</v>
      </c>
      <c r="R452" t="s">
        <v>45</v>
      </c>
      <c r="S452" t="s">
        <v>60</v>
      </c>
      <c r="T452" t="s">
        <v>33</v>
      </c>
      <c r="U452" t="s">
        <v>48</v>
      </c>
      <c r="V452">
        <v>3</v>
      </c>
      <c r="W452">
        <f>Table1[[#This Row],[Profit]]/Table1[[#This Row],[Sales]]</f>
        <v>0.17647058823529413</v>
      </c>
    </row>
    <row r="453" spans="1:23" x14ac:dyDescent="0.25">
      <c r="A453" t="s">
        <v>1179</v>
      </c>
      <c r="B453" s="1">
        <v>45911</v>
      </c>
      <c r="C453" t="s">
        <v>1180</v>
      </c>
      <c r="D453" t="s">
        <v>310</v>
      </c>
      <c r="E453" t="s">
        <v>67</v>
      </c>
      <c r="F453" t="s">
        <v>68</v>
      </c>
      <c r="G453" t="s">
        <v>27</v>
      </c>
      <c r="H453" t="s">
        <v>28</v>
      </c>
      <c r="I453" t="s">
        <v>69</v>
      </c>
      <c r="J453">
        <v>5</v>
      </c>
      <c r="K453">
        <v>1500</v>
      </c>
      <c r="L453">
        <v>10</v>
      </c>
      <c r="M453">
        <v>6750</v>
      </c>
      <c r="N453">
        <v>5250</v>
      </c>
      <c r="O453">
        <v>1500</v>
      </c>
      <c r="P453" t="s">
        <v>109</v>
      </c>
      <c r="Q453" t="s">
        <v>110</v>
      </c>
      <c r="R453" t="s">
        <v>111</v>
      </c>
      <c r="S453" t="s">
        <v>46</v>
      </c>
      <c r="T453" t="s">
        <v>33</v>
      </c>
      <c r="U453" t="s">
        <v>34</v>
      </c>
      <c r="V453">
        <v>3</v>
      </c>
      <c r="W453">
        <f>Table1[[#This Row],[Profit]]/Table1[[#This Row],[Sales]]</f>
        <v>0.22222222222222221</v>
      </c>
    </row>
    <row r="454" spans="1:23" x14ac:dyDescent="0.25">
      <c r="A454" t="s">
        <v>1181</v>
      </c>
      <c r="B454" s="1">
        <v>45929</v>
      </c>
      <c r="C454" t="s">
        <v>1182</v>
      </c>
      <c r="D454" t="s">
        <v>811</v>
      </c>
      <c r="E454" t="s">
        <v>73</v>
      </c>
      <c r="F454" t="s">
        <v>74</v>
      </c>
      <c r="G454" t="s">
        <v>27</v>
      </c>
      <c r="H454" t="s">
        <v>75</v>
      </c>
      <c r="I454" t="s">
        <v>76</v>
      </c>
      <c r="J454">
        <v>5</v>
      </c>
      <c r="K454">
        <v>3500</v>
      </c>
      <c r="L454">
        <v>5</v>
      </c>
      <c r="M454">
        <v>16625</v>
      </c>
      <c r="N454">
        <v>12250</v>
      </c>
      <c r="O454">
        <v>4375</v>
      </c>
      <c r="P454" t="s">
        <v>30</v>
      </c>
      <c r="Q454" t="s">
        <v>30</v>
      </c>
      <c r="R454" t="s">
        <v>31</v>
      </c>
      <c r="S454" t="s">
        <v>46</v>
      </c>
      <c r="T454" t="s">
        <v>56</v>
      </c>
      <c r="U454" t="s">
        <v>34</v>
      </c>
      <c r="V454">
        <v>3</v>
      </c>
      <c r="W454">
        <f>Table1[[#This Row],[Profit]]/Table1[[#This Row],[Sales]]</f>
        <v>0.26315789473684209</v>
      </c>
    </row>
    <row r="455" spans="1:23" x14ac:dyDescent="0.25">
      <c r="A455" t="s">
        <v>1183</v>
      </c>
      <c r="B455" s="1">
        <v>45905</v>
      </c>
      <c r="C455" t="s">
        <v>1184</v>
      </c>
      <c r="D455" t="s">
        <v>212</v>
      </c>
      <c r="E455" t="s">
        <v>25</v>
      </c>
      <c r="F455" t="s">
        <v>26</v>
      </c>
      <c r="G455" t="s">
        <v>27</v>
      </c>
      <c r="H455" t="s">
        <v>28</v>
      </c>
      <c r="I455" t="s">
        <v>29</v>
      </c>
      <c r="J455">
        <v>1</v>
      </c>
      <c r="K455">
        <v>800</v>
      </c>
      <c r="L455">
        <v>0</v>
      </c>
      <c r="M455">
        <v>800</v>
      </c>
      <c r="N455">
        <v>560</v>
      </c>
      <c r="O455">
        <v>240</v>
      </c>
      <c r="P455" t="s">
        <v>109</v>
      </c>
      <c r="Q455" t="s">
        <v>110</v>
      </c>
      <c r="R455" t="s">
        <v>111</v>
      </c>
      <c r="S455" t="s">
        <v>46</v>
      </c>
      <c r="T455" t="s">
        <v>47</v>
      </c>
      <c r="U455" t="s">
        <v>34</v>
      </c>
      <c r="V455">
        <v>3</v>
      </c>
      <c r="W455">
        <f>Table1[[#This Row],[Profit]]/Table1[[#This Row],[Sales]]</f>
        <v>0.3</v>
      </c>
    </row>
    <row r="456" spans="1:23" x14ac:dyDescent="0.25">
      <c r="A456" t="s">
        <v>1185</v>
      </c>
      <c r="B456" s="1">
        <v>45695</v>
      </c>
      <c r="C456" t="s">
        <v>1186</v>
      </c>
      <c r="D456" t="s">
        <v>598</v>
      </c>
      <c r="E456" t="s">
        <v>67</v>
      </c>
      <c r="F456" t="s">
        <v>68</v>
      </c>
      <c r="G456" t="s">
        <v>27</v>
      </c>
      <c r="H456" t="s">
        <v>28</v>
      </c>
      <c r="I456" t="s">
        <v>69</v>
      </c>
      <c r="J456">
        <v>2</v>
      </c>
      <c r="K456">
        <v>1500</v>
      </c>
      <c r="L456">
        <v>10</v>
      </c>
      <c r="M456">
        <v>2700</v>
      </c>
      <c r="N456">
        <v>2100</v>
      </c>
      <c r="O456">
        <v>600</v>
      </c>
      <c r="P456" t="s">
        <v>30</v>
      </c>
      <c r="Q456" t="s">
        <v>30</v>
      </c>
      <c r="R456" t="s">
        <v>31</v>
      </c>
      <c r="S456" t="s">
        <v>32</v>
      </c>
      <c r="T456" t="s">
        <v>47</v>
      </c>
      <c r="U456" t="s">
        <v>48</v>
      </c>
      <c r="V456">
        <v>4</v>
      </c>
      <c r="W456">
        <f>Table1[[#This Row],[Profit]]/Table1[[#This Row],[Sales]]</f>
        <v>0.22222222222222221</v>
      </c>
    </row>
    <row r="457" spans="1:23" x14ac:dyDescent="0.25">
      <c r="A457" t="s">
        <v>1187</v>
      </c>
      <c r="B457" s="1">
        <v>45850</v>
      </c>
      <c r="C457" t="s">
        <v>1188</v>
      </c>
      <c r="D457" t="s">
        <v>1189</v>
      </c>
      <c r="E457" t="s">
        <v>67</v>
      </c>
      <c r="F457" t="s">
        <v>68</v>
      </c>
      <c r="G457" t="s">
        <v>27</v>
      </c>
      <c r="H457" t="s">
        <v>28</v>
      </c>
      <c r="I457" t="s">
        <v>69</v>
      </c>
      <c r="J457">
        <v>4</v>
      </c>
      <c r="K457">
        <v>1500</v>
      </c>
      <c r="L457">
        <v>10</v>
      </c>
      <c r="M457">
        <v>5400</v>
      </c>
      <c r="N457">
        <v>4200</v>
      </c>
      <c r="O457">
        <v>1200</v>
      </c>
      <c r="P457" t="s">
        <v>43</v>
      </c>
      <c r="Q457" t="s">
        <v>44</v>
      </c>
      <c r="R457" t="s">
        <v>45</v>
      </c>
      <c r="S457" t="s">
        <v>46</v>
      </c>
      <c r="T457" t="s">
        <v>56</v>
      </c>
      <c r="U457" t="s">
        <v>48</v>
      </c>
      <c r="V457">
        <v>1</v>
      </c>
      <c r="W457">
        <f>Table1[[#This Row],[Profit]]/Table1[[#This Row],[Sales]]</f>
        <v>0.22222222222222221</v>
      </c>
    </row>
    <row r="458" spans="1:23" x14ac:dyDescent="0.25">
      <c r="A458" t="s">
        <v>1190</v>
      </c>
      <c r="B458" s="1">
        <v>45802</v>
      </c>
      <c r="C458" t="s">
        <v>1142</v>
      </c>
      <c r="D458" t="s">
        <v>917</v>
      </c>
      <c r="E458" t="s">
        <v>73</v>
      </c>
      <c r="F458" t="s">
        <v>74</v>
      </c>
      <c r="G458" t="s">
        <v>27</v>
      </c>
      <c r="H458" t="s">
        <v>75</v>
      </c>
      <c r="I458" t="s">
        <v>76</v>
      </c>
      <c r="J458">
        <v>3</v>
      </c>
      <c r="K458">
        <v>3500</v>
      </c>
      <c r="L458">
        <v>10</v>
      </c>
      <c r="M458">
        <v>9450</v>
      </c>
      <c r="N458">
        <v>7349.9999999999991</v>
      </c>
      <c r="O458">
        <v>2100.0000000000009</v>
      </c>
      <c r="P458" t="s">
        <v>30</v>
      </c>
      <c r="Q458" t="s">
        <v>30</v>
      </c>
      <c r="R458" t="s">
        <v>31</v>
      </c>
      <c r="S458" t="s">
        <v>60</v>
      </c>
      <c r="T458" t="s">
        <v>33</v>
      </c>
      <c r="U458" t="s">
        <v>48</v>
      </c>
      <c r="V458">
        <v>4</v>
      </c>
      <c r="W458">
        <f>Table1[[#This Row],[Profit]]/Table1[[#This Row],[Sales]]</f>
        <v>0.22222222222222232</v>
      </c>
    </row>
    <row r="459" spans="1:23" x14ac:dyDescent="0.25">
      <c r="A459" t="s">
        <v>1191</v>
      </c>
      <c r="B459" s="1">
        <v>45787</v>
      </c>
      <c r="C459" t="s">
        <v>367</v>
      </c>
      <c r="D459" t="s">
        <v>1192</v>
      </c>
      <c r="E459" t="s">
        <v>73</v>
      </c>
      <c r="F459" t="s">
        <v>74</v>
      </c>
      <c r="G459" t="s">
        <v>27</v>
      </c>
      <c r="H459" t="s">
        <v>75</v>
      </c>
      <c r="I459" t="s">
        <v>76</v>
      </c>
      <c r="J459">
        <v>4</v>
      </c>
      <c r="K459">
        <v>3500</v>
      </c>
      <c r="L459">
        <v>5</v>
      </c>
      <c r="M459">
        <v>13300</v>
      </c>
      <c r="N459">
        <v>9800</v>
      </c>
      <c r="O459">
        <v>3500</v>
      </c>
      <c r="P459" t="s">
        <v>95</v>
      </c>
      <c r="Q459" t="s">
        <v>96</v>
      </c>
      <c r="R459" t="s">
        <v>45</v>
      </c>
      <c r="S459" t="s">
        <v>46</v>
      </c>
      <c r="T459" t="s">
        <v>56</v>
      </c>
      <c r="U459" t="s">
        <v>34</v>
      </c>
      <c r="V459">
        <v>5</v>
      </c>
      <c r="W459">
        <f>Table1[[#This Row],[Profit]]/Table1[[#This Row],[Sales]]</f>
        <v>0.26315789473684209</v>
      </c>
    </row>
    <row r="460" spans="1:23" x14ac:dyDescent="0.25">
      <c r="A460" t="s">
        <v>1193</v>
      </c>
      <c r="B460" s="1">
        <v>45761</v>
      </c>
      <c r="C460" t="s">
        <v>1194</v>
      </c>
      <c r="D460" t="s">
        <v>1195</v>
      </c>
      <c r="E460" t="s">
        <v>73</v>
      </c>
      <c r="F460" t="s">
        <v>74</v>
      </c>
      <c r="G460" t="s">
        <v>27</v>
      </c>
      <c r="H460" t="s">
        <v>75</v>
      </c>
      <c r="I460" t="s">
        <v>76</v>
      </c>
      <c r="J460">
        <v>4</v>
      </c>
      <c r="K460">
        <v>3500</v>
      </c>
      <c r="L460">
        <v>5</v>
      </c>
      <c r="M460">
        <v>13300</v>
      </c>
      <c r="N460">
        <v>9800</v>
      </c>
      <c r="O460">
        <v>3500</v>
      </c>
      <c r="P460" t="s">
        <v>109</v>
      </c>
      <c r="Q460" t="s">
        <v>110</v>
      </c>
      <c r="R460" t="s">
        <v>111</v>
      </c>
      <c r="S460" t="s">
        <v>32</v>
      </c>
      <c r="T460" t="s">
        <v>47</v>
      </c>
      <c r="U460" t="s">
        <v>48</v>
      </c>
      <c r="V460">
        <v>4</v>
      </c>
      <c r="W460">
        <f>Table1[[#This Row],[Profit]]/Table1[[#This Row],[Sales]]</f>
        <v>0.26315789473684209</v>
      </c>
    </row>
    <row r="461" spans="1:23" x14ac:dyDescent="0.25">
      <c r="A461" t="s">
        <v>1196</v>
      </c>
      <c r="B461" s="1">
        <v>45664</v>
      </c>
      <c r="C461" t="s">
        <v>329</v>
      </c>
      <c r="D461" t="s">
        <v>182</v>
      </c>
      <c r="E461" t="s">
        <v>73</v>
      </c>
      <c r="F461" t="s">
        <v>74</v>
      </c>
      <c r="G461" t="s">
        <v>27</v>
      </c>
      <c r="H461" t="s">
        <v>75</v>
      </c>
      <c r="I461" t="s">
        <v>76</v>
      </c>
      <c r="J461">
        <v>4</v>
      </c>
      <c r="K461">
        <v>3500</v>
      </c>
      <c r="L461">
        <v>10</v>
      </c>
      <c r="M461">
        <v>12600</v>
      </c>
      <c r="N461">
        <v>9800</v>
      </c>
      <c r="O461">
        <v>2800</v>
      </c>
      <c r="P461" t="s">
        <v>95</v>
      </c>
      <c r="Q461" t="s">
        <v>96</v>
      </c>
      <c r="R461" t="s">
        <v>45</v>
      </c>
      <c r="S461" t="s">
        <v>60</v>
      </c>
      <c r="T461" t="s">
        <v>56</v>
      </c>
      <c r="U461" t="s">
        <v>48</v>
      </c>
      <c r="V461">
        <v>3</v>
      </c>
      <c r="W461">
        <f>Table1[[#This Row],[Profit]]/Table1[[#This Row],[Sales]]</f>
        <v>0.22222222222222221</v>
      </c>
    </row>
    <row r="462" spans="1:23" x14ac:dyDescent="0.25">
      <c r="A462" t="s">
        <v>1197</v>
      </c>
      <c r="B462" s="1">
        <v>45862</v>
      </c>
      <c r="C462" t="s">
        <v>1198</v>
      </c>
      <c r="D462" t="s">
        <v>504</v>
      </c>
      <c r="E462" t="s">
        <v>73</v>
      </c>
      <c r="F462" t="s">
        <v>74</v>
      </c>
      <c r="G462" t="s">
        <v>27</v>
      </c>
      <c r="H462" t="s">
        <v>75</v>
      </c>
      <c r="I462" t="s">
        <v>76</v>
      </c>
      <c r="J462">
        <v>1</v>
      </c>
      <c r="K462">
        <v>3500</v>
      </c>
      <c r="L462">
        <v>15</v>
      </c>
      <c r="M462">
        <v>2975</v>
      </c>
      <c r="N462">
        <v>2450</v>
      </c>
      <c r="O462">
        <v>525</v>
      </c>
      <c r="P462" t="s">
        <v>30</v>
      </c>
      <c r="Q462" t="s">
        <v>30</v>
      </c>
      <c r="R462" t="s">
        <v>31</v>
      </c>
      <c r="S462" t="s">
        <v>46</v>
      </c>
      <c r="T462" t="s">
        <v>47</v>
      </c>
      <c r="U462" t="s">
        <v>48</v>
      </c>
      <c r="V462">
        <v>2</v>
      </c>
      <c r="W462">
        <f>Table1[[#This Row],[Profit]]/Table1[[#This Row],[Sales]]</f>
        <v>0.17647058823529413</v>
      </c>
    </row>
    <row r="463" spans="1:23" x14ac:dyDescent="0.25">
      <c r="A463" t="s">
        <v>1199</v>
      </c>
      <c r="B463" s="1">
        <v>46012</v>
      </c>
      <c r="C463" t="s">
        <v>1200</v>
      </c>
      <c r="D463" t="s">
        <v>249</v>
      </c>
      <c r="E463" t="s">
        <v>52</v>
      </c>
      <c r="F463" t="s">
        <v>53</v>
      </c>
      <c r="G463" t="s">
        <v>27</v>
      </c>
      <c r="H463" t="s">
        <v>54</v>
      </c>
      <c r="I463" t="s">
        <v>55</v>
      </c>
      <c r="J463">
        <v>5</v>
      </c>
      <c r="K463">
        <v>55000</v>
      </c>
      <c r="L463">
        <v>5</v>
      </c>
      <c r="M463">
        <v>261250</v>
      </c>
      <c r="N463">
        <v>192500</v>
      </c>
      <c r="O463">
        <v>68750</v>
      </c>
      <c r="P463" t="s">
        <v>109</v>
      </c>
      <c r="Q463" t="s">
        <v>110</v>
      </c>
      <c r="R463" t="s">
        <v>111</v>
      </c>
      <c r="S463" t="s">
        <v>60</v>
      </c>
      <c r="T463" t="s">
        <v>56</v>
      </c>
      <c r="U463" t="s">
        <v>34</v>
      </c>
      <c r="V463">
        <v>2</v>
      </c>
      <c r="W463">
        <f>Table1[[#This Row],[Profit]]/Table1[[#This Row],[Sales]]</f>
        <v>0.26315789473684209</v>
      </c>
    </row>
    <row r="464" spans="1:23" x14ac:dyDescent="0.25">
      <c r="A464" t="s">
        <v>1201</v>
      </c>
      <c r="B464" s="1">
        <v>45709</v>
      </c>
      <c r="C464" t="s">
        <v>1202</v>
      </c>
      <c r="D464" t="s">
        <v>316</v>
      </c>
      <c r="E464" t="s">
        <v>52</v>
      </c>
      <c r="F464" t="s">
        <v>53</v>
      </c>
      <c r="G464" t="s">
        <v>27</v>
      </c>
      <c r="H464" t="s">
        <v>54</v>
      </c>
      <c r="I464" t="s">
        <v>55</v>
      </c>
      <c r="J464">
        <v>3</v>
      </c>
      <c r="K464">
        <v>55000</v>
      </c>
      <c r="L464">
        <v>0</v>
      </c>
      <c r="M464">
        <v>165000</v>
      </c>
      <c r="N464">
        <v>115500</v>
      </c>
      <c r="O464">
        <v>49500.000000000007</v>
      </c>
      <c r="P464" t="s">
        <v>30</v>
      </c>
      <c r="Q464" t="s">
        <v>30</v>
      </c>
      <c r="R464" t="s">
        <v>31</v>
      </c>
      <c r="S464" t="s">
        <v>32</v>
      </c>
      <c r="T464" t="s">
        <v>56</v>
      </c>
      <c r="U464" t="s">
        <v>48</v>
      </c>
      <c r="V464">
        <v>3</v>
      </c>
      <c r="W464">
        <f>Table1[[#This Row],[Profit]]/Table1[[#This Row],[Sales]]</f>
        <v>0.30000000000000004</v>
      </c>
    </row>
    <row r="465" spans="1:23" x14ac:dyDescent="0.25">
      <c r="A465" t="s">
        <v>1203</v>
      </c>
      <c r="B465" s="1">
        <v>45672</v>
      </c>
      <c r="C465" t="s">
        <v>667</v>
      </c>
      <c r="D465" t="s">
        <v>1155</v>
      </c>
      <c r="E465" t="s">
        <v>67</v>
      </c>
      <c r="F465" t="s">
        <v>68</v>
      </c>
      <c r="G465" t="s">
        <v>27</v>
      </c>
      <c r="H465" t="s">
        <v>28</v>
      </c>
      <c r="I465" t="s">
        <v>69</v>
      </c>
      <c r="J465">
        <v>3</v>
      </c>
      <c r="K465">
        <v>1500</v>
      </c>
      <c r="L465">
        <v>0</v>
      </c>
      <c r="M465">
        <v>4500</v>
      </c>
      <c r="N465">
        <v>3150</v>
      </c>
      <c r="O465">
        <v>1350</v>
      </c>
      <c r="P465" t="s">
        <v>95</v>
      </c>
      <c r="Q465" t="s">
        <v>96</v>
      </c>
      <c r="R465" t="s">
        <v>45</v>
      </c>
      <c r="S465" t="s">
        <v>60</v>
      </c>
      <c r="T465" t="s">
        <v>47</v>
      </c>
      <c r="U465" t="s">
        <v>48</v>
      </c>
      <c r="V465">
        <v>1</v>
      </c>
      <c r="W465">
        <f>Table1[[#This Row],[Profit]]/Table1[[#This Row],[Sales]]</f>
        <v>0.3</v>
      </c>
    </row>
    <row r="466" spans="1:23" x14ac:dyDescent="0.25">
      <c r="A466" t="s">
        <v>1204</v>
      </c>
      <c r="B466" s="1">
        <v>45801</v>
      </c>
      <c r="C466" t="s">
        <v>1205</v>
      </c>
      <c r="D466" t="s">
        <v>515</v>
      </c>
      <c r="E466" t="s">
        <v>73</v>
      </c>
      <c r="F466" t="s">
        <v>74</v>
      </c>
      <c r="G466" t="s">
        <v>27</v>
      </c>
      <c r="H466" t="s">
        <v>75</v>
      </c>
      <c r="I466" t="s">
        <v>76</v>
      </c>
      <c r="J466">
        <v>1</v>
      </c>
      <c r="K466">
        <v>3500</v>
      </c>
      <c r="L466">
        <v>10</v>
      </c>
      <c r="M466">
        <v>3150</v>
      </c>
      <c r="N466">
        <v>2450</v>
      </c>
      <c r="O466">
        <v>700</v>
      </c>
      <c r="P466" t="s">
        <v>109</v>
      </c>
      <c r="Q466" t="s">
        <v>110</v>
      </c>
      <c r="R466" t="s">
        <v>111</v>
      </c>
      <c r="S466" t="s">
        <v>60</v>
      </c>
      <c r="T466" t="s">
        <v>47</v>
      </c>
      <c r="U466" t="s">
        <v>48</v>
      </c>
      <c r="V466">
        <v>2</v>
      </c>
      <c r="W466">
        <f>Table1[[#This Row],[Profit]]/Table1[[#This Row],[Sales]]</f>
        <v>0.22222222222222221</v>
      </c>
    </row>
    <row r="467" spans="1:23" x14ac:dyDescent="0.25">
      <c r="A467" t="s">
        <v>1206</v>
      </c>
      <c r="B467" s="1">
        <v>45771</v>
      </c>
      <c r="C467" t="s">
        <v>806</v>
      </c>
      <c r="D467" t="s">
        <v>838</v>
      </c>
      <c r="E467" t="s">
        <v>73</v>
      </c>
      <c r="F467" t="s">
        <v>74</v>
      </c>
      <c r="G467" t="s">
        <v>27</v>
      </c>
      <c r="H467" t="s">
        <v>75</v>
      </c>
      <c r="I467" t="s">
        <v>76</v>
      </c>
      <c r="J467">
        <v>2</v>
      </c>
      <c r="K467">
        <v>3500</v>
      </c>
      <c r="L467">
        <v>10</v>
      </c>
      <c r="M467">
        <v>6300</v>
      </c>
      <c r="N467">
        <v>4900</v>
      </c>
      <c r="O467">
        <v>1400</v>
      </c>
      <c r="P467" t="s">
        <v>43</v>
      </c>
      <c r="Q467" t="s">
        <v>44</v>
      </c>
      <c r="R467" t="s">
        <v>45</v>
      </c>
      <c r="S467" t="s">
        <v>46</v>
      </c>
      <c r="T467" t="s">
        <v>33</v>
      </c>
      <c r="U467" t="s">
        <v>48</v>
      </c>
      <c r="V467">
        <v>1</v>
      </c>
      <c r="W467">
        <f>Table1[[#This Row],[Profit]]/Table1[[#This Row],[Sales]]</f>
        <v>0.22222222222222221</v>
      </c>
    </row>
    <row r="468" spans="1:23" x14ac:dyDescent="0.25">
      <c r="A468" t="s">
        <v>1207</v>
      </c>
      <c r="B468" s="1">
        <v>46011</v>
      </c>
      <c r="C468" t="s">
        <v>659</v>
      </c>
      <c r="D468" t="s">
        <v>1208</v>
      </c>
      <c r="E468" t="s">
        <v>67</v>
      </c>
      <c r="F468" t="s">
        <v>68</v>
      </c>
      <c r="G468" t="s">
        <v>27</v>
      </c>
      <c r="H468" t="s">
        <v>28</v>
      </c>
      <c r="I468" t="s">
        <v>69</v>
      </c>
      <c r="J468">
        <v>4</v>
      </c>
      <c r="K468">
        <v>1500</v>
      </c>
      <c r="L468">
        <v>10</v>
      </c>
      <c r="M468">
        <v>5400</v>
      </c>
      <c r="N468">
        <v>4200</v>
      </c>
      <c r="O468">
        <v>1200</v>
      </c>
      <c r="P468" t="s">
        <v>43</v>
      </c>
      <c r="Q468" t="s">
        <v>44</v>
      </c>
      <c r="R468" t="s">
        <v>45</v>
      </c>
      <c r="S468" t="s">
        <v>46</v>
      </c>
      <c r="T468" t="s">
        <v>56</v>
      </c>
      <c r="U468" t="s">
        <v>48</v>
      </c>
      <c r="V468">
        <v>2</v>
      </c>
      <c r="W468">
        <f>Table1[[#This Row],[Profit]]/Table1[[#This Row],[Sales]]</f>
        <v>0.22222222222222221</v>
      </c>
    </row>
    <row r="469" spans="1:23" x14ac:dyDescent="0.25">
      <c r="A469" t="s">
        <v>1209</v>
      </c>
      <c r="B469" s="1">
        <v>45832</v>
      </c>
      <c r="C469" t="s">
        <v>1210</v>
      </c>
      <c r="D469" t="s">
        <v>490</v>
      </c>
      <c r="E469" t="s">
        <v>73</v>
      </c>
      <c r="F469" t="s">
        <v>74</v>
      </c>
      <c r="G469" t="s">
        <v>27</v>
      </c>
      <c r="H469" t="s">
        <v>75</v>
      </c>
      <c r="I469" t="s">
        <v>76</v>
      </c>
      <c r="J469">
        <v>2</v>
      </c>
      <c r="K469">
        <v>3500</v>
      </c>
      <c r="L469">
        <v>15</v>
      </c>
      <c r="M469">
        <v>5950</v>
      </c>
      <c r="N469">
        <v>4900</v>
      </c>
      <c r="O469">
        <v>1050</v>
      </c>
      <c r="P469" t="s">
        <v>43</v>
      </c>
      <c r="Q469" t="s">
        <v>44</v>
      </c>
      <c r="R469" t="s">
        <v>45</v>
      </c>
      <c r="S469" t="s">
        <v>60</v>
      </c>
      <c r="T469" t="s">
        <v>33</v>
      </c>
      <c r="U469" t="s">
        <v>48</v>
      </c>
      <c r="V469">
        <v>5</v>
      </c>
      <c r="W469">
        <f>Table1[[#This Row],[Profit]]/Table1[[#This Row],[Sales]]</f>
        <v>0.17647058823529413</v>
      </c>
    </row>
    <row r="470" spans="1:23" x14ac:dyDescent="0.25">
      <c r="A470" t="s">
        <v>1211</v>
      </c>
      <c r="B470" s="1">
        <v>45748</v>
      </c>
      <c r="C470" t="s">
        <v>1178</v>
      </c>
      <c r="D470" t="s">
        <v>482</v>
      </c>
      <c r="E470" t="s">
        <v>73</v>
      </c>
      <c r="F470" t="s">
        <v>74</v>
      </c>
      <c r="G470" t="s">
        <v>27</v>
      </c>
      <c r="H470" t="s">
        <v>75</v>
      </c>
      <c r="I470" t="s">
        <v>76</v>
      </c>
      <c r="J470">
        <v>3</v>
      </c>
      <c r="K470">
        <v>3500</v>
      </c>
      <c r="L470">
        <v>5</v>
      </c>
      <c r="M470">
        <v>9975</v>
      </c>
      <c r="N470">
        <v>7349.9999999999991</v>
      </c>
      <c r="O470">
        <v>2625.0000000000009</v>
      </c>
      <c r="P470" t="s">
        <v>30</v>
      </c>
      <c r="Q470" t="s">
        <v>30</v>
      </c>
      <c r="R470" t="s">
        <v>31</v>
      </c>
      <c r="S470" t="s">
        <v>46</v>
      </c>
      <c r="T470" t="s">
        <v>47</v>
      </c>
      <c r="U470" t="s">
        <v>48</v>
      </c>
      <c r="V470">
        <v>2</v>
      </c>
      <c r="W470">
        <f>Table1[[#This Row],[Profit]]/Table1[[#This Row],[Sales]]</f>
        <v>0.2631578947368422</v>
      </c>
    </row>
    <row r="471" spans="1:23" x14ac:dyDescent="0.25">
      <c r="A471" t="s">
        <v>1212</v>
      </c>
      <c r="B471" s="1">
        <v>45820</v>
      </c>
      <c r="C471" t="s">
        <v>1213</v>
      </c>
      <c r="D471" t="s">
        <v>520</v>
      </c>
      <c r="E471" t="s">
        <v>38</v>
      </c>
      <c r="F471" t="s">
        <v>39</v>
      </c>
      <c r="G471" t="s">
        <v>40</v>
      </c>
      <c r="H471" t="s">
        <v>41</v>
      </c>
      <c r="I471" t="s">
        <v>42</v>
      </c>
      <c r="J471">
        <v>2</v>
      </c>
      <c r="K471">
        <v>4500</v>
      </c>
      <c r="L471">
        <v>15</v>
      </c>
      <c r="M471">
        <v>7650</v>
      </c>
      <c r="N471">
        <v>6300</v>
      </c>
      <c r="O471">
        <v>1350</v>
      </c>
      <c r="P471" t="s">
        <v>43</v>
      </c>
      <c r="Q471" t="s">
        <v>44</v>
      </c>
      <c r="R471" t="s">
        <v>45</v>
      </c>
      <c r="S471" t="s">
        <v>46</v>
      </c>
      <c r="T471" t="s">
        <v>33</v>
      </c>
      <c r="U471" t="s">
        <v>48</v>
      </c>
      <c r="V471">
        <v>4</v>
      </c>
      <c r="W471">
        <f>Table1[[#This Row],[Profit]]/Table1[[#This Row],[Sales]]</f>
        <v>0.17647058823529413</v>
      </c>
    </row>
    <row r="472" spans="1:23" x14ac:dyDescent="0.25">
      <c r="A472" t="s">
        <v>1214</v>
      </c>
      <c r="B472" s="1">
        <v>45721</v>
      </c>
      <c r="C472" t="s">
        <v>1215</v>
      </c>
      <c r="D472" t="s">
        <v>1216</v>
      </c>
      <c r="E472" t="s">
        <v>25</v>
      </c>
      <c r="F472" t="s">
        <v>26</v>
      </c>
      <c r="G472" t="s">
        <v>27</v>
      </c>
      <c r="H472" t="s">
        <v>28</v>
      </c>
      <c r="I472" t="s">
        <v>29</v>
      </c>
      <c r="J472">
        <v>4</v>
      </c>
      <c r="K472">
        <v>800</v>
      </c>
      <c r="L472">
        <v>0</v>
      </c>
      <c r="M472">
        <v>3200</v>
      </c>
      <c r="N472">
        <v>2240</v>
      </c>
      <c r="O472">
        <v>960</v>
      </c>
      <c r="P472" t="s">
        <v>95</v>
      </c>
      <c r="Q472" t="s">
        <v>96</v>
      </c>
      <c r="R472" t="s">
        <v>45</v>
      </c>
      <c r="S472" t="s">
        <v>32</v>
      </c>
      <c r="T472" t="s">
        <v>47</v>
      </c>
      <c r="U472" t="s">
        <v>48</v>
      </c>
      <c r="V472">
        <v>4</v>
      </c>
      <c r="W472">
        <f>Table1[[#This Row],[Profit]]/Table1[[#This Row],[Sales]]</f>
        <v>0.3</v>
      </c>
    </row>
    <row r="473" spans="1:23" x14ac:dyDescent="0.25">
      <c r="A473" t="s">
        <v>1217</v>
      </c>
      <c r="B473" s="1">
        <v>45940</v>
      </c>
      <c r="C473" t="s">
        <v>1105</v>
      </c>
      <c r="D473" t="s">
        <v>1218</v>
      </c>
      <c r="E473" t="s">
        <v>67</v>
      </c>
      <c r="F473" t="s">
        <v>68</v>
      </c>
      <c r="G473" t="s">
        <v>27</v>
      </c>
      <c r="H473" t="s">
        <v>28</v>
      </c>
      <c r="I473" t="s">
        <v>69</v>
      </c>
      <c r="J473">
        <v>4</v>
      </c>
      <c r="K473">
        <v>1500</v>
      </c>
      <c r="L473">
        <v>10</v>
      </c>
      <c r="M473">
        <v>5400</v>
      </c>
      <c r="N473">
        <v>4200</v>
      </c>
      <c r="O473">
        <v>1200</v>
      </c>
      <c r="P473" t="s">
        <v>43</v>
      </c>
      <c r="Q473" t="s">
        <v>44</v>
      </c>
      <c r="R473" t="s">
        <v>45</v>
      </c>
      <c r="S473" t="s">
        <v>46</v>
      </c>
      <c r="T473" t="s">
        <v>47</v>
      </c>
      <c r="U473" t="s">
        <v>48</v>
      </c>
      <c r="V473">
        <v>2</v>
      </c>
      <c r="W473">
        <f>Table1[[#This Row],[Profit]]/Table1[[#This Row],[Sales]]</f>
        <v>0.22222222222222221</v>
      </c>
    </row>
    <row r="474" spans="1:23" x14ac:dyDescent="0.25">
      <c r="A474" t="s">
        <v>1219</v>
      </c>
      <c r="B474" s="1">
        <v>45908</v>
      </c>
      <c r="C474" t="s">
        <v>1220</v>
      </c>
      <c r="D474" t="s">
        <v>518</v>
      </c>
      <c r="E474" t="s">
        <v>73</v>
      </c>
      <c r="F474" t="s">
        <v>74</v>
      </c>
      <c r="G474" t="s">
        <v>27</v>
      </c>
      <c r="H474" t="s">
        <v>75</v>
      </c>
      <c r="I474" t="s">
        <v>76</v>
      </c>
      <c r="J474">
        <v>2</v>
      </c>
      <c r="K474">
        <v>3500</v>
      </c>
      <c r="L474">
        <v>15</v>
      </c>
      <c r="M474">
        <v>5950</v>
      </c>
      <c r="N474">
        <v>4900</v>
      </c>
      <c r="O474">
        <v>1050</v>
      </c>
      <c r="P474" t="s">
        <v>30</v>
      </c>
      <c r="Q474" t="s">
        <v>30</v>
      </c>
      <c r="R474" t="s">
        <v>31</v>
      </c>
      <c r="S474" t="s">
        <v>32</v>
      </c>
      <c r="T474" t="s">
        <v>56</v>
      </c>
      <c r="U474" t="s">
        <v>48</v>
      </c>
      <c r="V474">
        <v>4</v>
      </c>
      <c r="W474">
        <f>Table1[[#This Row],[Profit]]/Table1[[#This Row],[Sales]]</f>
        <v>0.17647058823529413</v>
      </c>
    </row>
    <row r="475" spans="1:23" x14ac:dyDescent="0.25">
      <c r="A475" t="s">
        <v>1221</v>
      </c>
      <c r="B475" s="1">
        <v>45988</v>
      </c>
      <c r="C475" t="s">
        <v>71</v>
      </c>
      <c r="D475" t="s">
        <v>565</v>
      </c>
      <c r="E475" t="s">
        <v>67</v>
      </c>
      <c r="F475" t="s">
        <v>68</v>
      </c>
      <c r="G475" t="s">
        <v>27</v>
      </c>
      <c r="H475" t="s">
        <v>28</v>
      </c>
      <c r="I475" t="s">
        <v>69</v>
      </c>
      <c r="J475">
        <v>3</v>
      </c>
      <c r="K475">
        <v>1500</v>
      </c>
      <c r="L475">
        <v>15</v>
      </c>
      <c r="M475">
        <v>3825</v>
      </c>
      <c r="N475">
        <v>3150</v>
      </c>
      <c r="O475">
        <v>675</v>
      </c>
      <c r="P475" t="s">
        <v>30</v>
      </c>
      <c r="Q475" t="s">
        <v>30</v>
      </c>
      <c r="R475" t="s">
        <v>31</v>
      </c>
      <c r="S475" t="s">
        <v>46</v>
      </c>
      <c r="T475" t="s">
        <v>47</v>
      </c>
      <c r="U475" t="s">
        <v>34</v>
      </c>
      <c r="V475">
        <v>2</v>
      </c>
      <c r="W475">
        <f>Table1[[#This Row],[Profit]]/Table1[[#This Row],[Sales]]</f>
        <v>0.17647058823529413</v>
      </c>
    </row>
    <row r="476" spans="1:23" x14ac:dyDescent="0.25">
      <c r="A476" t="s">
        <v>1222</v>
      </c>
      <c r="B476" s="1">
        <v>45943</v>
      </c>
      <c r="C476" t="s">
        <v>1223</v>
      </c>
      <c r="D476" t="s">
        <v>88</v>
      </c>
      <c r="E476" t="s">
        <v>52</v>
      </c>
      <c r="F476" t="s">
        <v>53</v>
      </c>
      <c r="G476" t="s">
        <v>27</v>
      </c>
      <c r="H476" t="s">
        <v>54</v>
      </c>
      <c r="I476" t="s">
        <v>55</v>
      </c>
      <c r="J476">
        <v>4</v>
      </c>
      <c r="K476">
        <v>55000</v>
      </c>
      <c r="L476">
        <v>15</v>
      </c>
      <c r="M476">
        <v>187000</v>
      </c>
      <c r="N476">
        <v>154000</v>
      </c>
      <c r="O476">
        <v>33000</v>
      </c>
      <c r="P476" t="s">
        <v>95</v>
      </c>
      <c r="Q476" t="s">
        <v>96</v>
      </c>
      <c r="R476" t="s">
        <v>45</v>
      </c>
      <c r="S476" t="s">
        <v>32</v>
      </c>
      <c r="T476" t="s">
        <v>56</v>
      </c>
      <c r="U476" t="s">
        <v>34</v>
      </c>
      <c r="V476">
        <v>3</v>
      </c>
      <c r="W476">
        <f>Table1[[#This Row],[Profit]]/Table1[[#This Row],[Sales]]</f>
        <v>0.17647058823529413</v>
      </c>
    </row>
    <row r="477" spans="1:23" x14ac:dyDescent="0.25">
      <c r="A477" t="s">
        <v>1224</v>
      </c>
      <c r="B477" s="1">
        <v>46002</v>
      </c>
      <c r="C477" t="s">
        <v>1225</v>
      </c>
      <c r="D477" t="s">
        <v>946</v>
      </c>
      <c r="E477" t="s">
        <v>52</v>
      </c>
      <c r="F477" t="s">
        <v>53</v>
      </c>
      <c r="G477" t="s">
        <v>27</v>
      </c>
      <c r="H477" t="s">
        <v>54</v>
      </c>
      <c r="I477" t="s">
        <v>55</v>
      </c>
      <c r="J477">
        <v>1</v>
      </c>
      <c r="K477">
        <v>55000</v>
      </c>
      <c r="L477">
        <v>15</v>
      </c>
      <c r="M477">
        <v>46750</v>
      </c>
      <c r="N477">
        <v>38500</v>
      </c>
      <c r="O477">
        <v>8250</v>
      </c>
      <c r="P477" t="s">
        <v>109</v>
      </c>
      <c r="Q477" t="s">
        <v>110</v>
      </c>
      <c r="R477" t="s">
        <v>111</v>
      </c>
      <c r="S477" t="s">
        <v>32</v>
      </c>
      <c r="T477" t="s">
        <v>33</v>
      </c>
      <c r="U477" t="s">
        <v>34</v>
      </c>
      <c r="V477">
        <v>2</v>
      </c>
      <c r="W477">
        <f>Table1[[#This Row],[Profit]]/Table1[[#This Row],[Sales]]</f>
        <v>0.17647058823529413</v>
      </c>
    </row>
    <row r="478" spans="1:23" x14ac:dyDescent="0.25">
      <c r="A478" t="s">
        <v>1226</v>
      </c>
      <c r="B478" s="1">
        <v>45861</v>
      </c>
      <c r="C478" t="s">
        <v>1227</v>
      </c>
      <c r="D478" t="s">
        <v>1228</v>
      </c>
      <c r="E478" t="s">
        <v>67</v>
      </c>
      <c r="F478" t="s">
        <v>68</v>
      </c>
      <c r="G478" t="s">
        <v>27</v>
      </c>
      <c r="H478" t="s">
        <v>28</v>
      </c>
      <c r="I478" t="s">
        <v>69</v>
      </c>
      <c r="J478">
        <v>3</v>
      </c>
      <c r="K478">
        <v>1500</v>
      </c>
      <c r="L478">
        <v>0</v>
      </c>
      <c r="M478">
        <v>4500</v>
      </c>
      <c r="N478">
        <v>3150</v>
      </c>
      <c r="O478">
        <v>1350</v>
      </c>
      <c r="P478" t="s">
        <v>95</v>
      </c>
      <c r="Q478" t="s">
        <v>96</v>
      </c>
      <c r="R478" t="s">
        <v>45</v>
      </c>
      <c r="S478" t="s">
        <v>60</v>
      </c>
      <c r="T478" t="s">
        <v>33</v>
      </c>
      <c r="U478" t="s">
        <v>48</v>
      </c>
      <c r="V478">
        <v>1</v>
      </c>
      <c r="W478">
        <f>Table1[[#This Row],[Profit]]/Table1[[#This Row],[Sales]]</f>
        <v>0.3</v>
      </c>
    </row>
    <row r="479" spans="1:23" x14ac:dyDescent="0.25">
      <c r="A479" t="s">
        <v>1229</v>
      </c>
      <c r="B479" s="1">
        <v>45906</v>
      </c>
      <c r="C479" t="s">
        <v>1230</v>
      </c>
      <c r="D479" t="s">
        <v>179</v>
      </c>
      <c r="E479" t="s">
        <v>67</v>
      </c>
      <c r="F479" t="s">
        <v>68</v>
      </c>
      <c r="G479" t="s">
        <v>27</v>
      </c>
      <c r="H479" t="s">
        <v>28</v>
      </c>
      <c r="I479" t="s">
        <v>69</v>
      </c>
      <c r="J479">
        <v>5</v>
      </c>
      <c r="K479">
        <v>1500</v>
      </c>
      <c r="L479">
        <v>15</v>
      </c>
      <c r="M479">
        <v>6375</v>
      </c>
      <c r="N479">
        <v>5250</v>
      </c>
      <c r="O479">
        <v>1125</v>
      </c>
      <c r="P479" t="s">
        <v>30</v>
      </c>
      <c r="Q479" t="s">
        <v>30</v>
      </c>
      <c r="R479" t="s">
        <v>31</v>
      </c>
      <c r="S479" t="s">
        <v>32</v>
      </c>
      <c r="T479" t="s">
        <v>56</v>
      </c>
      <c r="U479" t="s">
        <v>48</v>
      </c>
      <c r="V479">
        <v>3</v>
      </c>
      <c r="W479">
        <f>Table1[[#This Row],[Profit]]/Table1[[#This Row],[Sales]]</f>
        <v>0.17647058823529413</v>
      </c>
    </row>
    <row r="480" spans="1:23" x14ac:dyDescent="0.25">
      <c r="A480" t="s">
        <v>1231</v>
      </c>
      <c r="B480" s="1">
        <v>45911</v>
      </c>
      <c r="C480" t="s">
        <v>1232</v>
      </c>
      <c r="D480" t="s">
        <v>1195</v>
      </c>
      <c r="E480" t="s">
        <v>52</v>
      </c>
      <c r="F480" t="s">
        <v>53</v>
      </c>
      <c r="G480" t="s">
        <v>27</v>
      </c>
      <c r="H480" t="s">
        <v>54</v>
      </c>
      <c r="I480" t="s">
        <v>55</v>
      </c>
      <c r="J480">
        <v>1</v>
      </c>
      <c r="K480">
        <v>55000</v>
      </c>
      <c r="L480">
        <v>15</v>
      </c>
      <c r="M480">
        <v>46750</v>
      </c>
      <c r="N480">
        <v>38500</v>
      </c>
      <c r="O480">
        <v>8250</v>
      </c>
      <c r="P480" t="s">
        <v>95</v>
      </c>
      <c r="Q480" t="s">
        <v>96</v>
      </c>
      <c r="R480" t="s">
        <v>45</v>
      </c>
      <c r="S480" t="s">
        <v>46</v>
      </c>
      <c r="T480" t="s">
        <v>47</v>
      </c>
      <c r="U480" t="s">
        <v>48</v>
      </c>
      <c r="V480">
        <v>5</v>
      </c>
      <c r="W480">
        <f>Table1[[#This Row],[Profit]]/Table1[[#This Row],[Sales]]</f>
        <v>0.17647058823529413</v>
      </c>
    </row>
    <row r="481" spans="1:23" x14ac:dyDescent="0.25">
      <c r="A481" t="s">
        <v>1233</v>
      </c>
      <c r="B481" s="1">
        <v>45730</v>
      </c>
      <c r="C481" t="s">
        <v>1234</v>
      </c>
      <c r="D481" t="s">
        <v>1061</v>
      </c>
      <c r="E481" t="s">
        <v>38</v>
      </c>
      <c r="F481" t="s">
        <v>39</v>
      </c>
      <c r="G481" t="s">
        <v>40</v>
      </c>
      <c r="H481" t="s">
        <v>41</v>
      </c>
      <c r="I481" t="s">
        <v>42</v>
      </c>
      <c r="J481">
        <v>4</v>
      </c>
      <c r="K481">
        <v>4500</v>
      </c>
      <c r="L481">
        <v>10</v>
      </c>
      <c r="M481">
        <v>16200</v>
      </c>
      <c r="N481">
        <v>12600</v>
      </c>
      <c r="O481">
        <v>3600</v>
      </c>
      <c r="P481" t="s">
        <v>95</v>
      </c>
      <c r="Q481" t="s">
        <v>96</v>
      </c>
      <c r="R481" t="s">
        <v>45</v>
      </c>
      <c r="S481" t="s">
        <v>46</v>
      </c>
      <c r="T481" t="s">
        <v>56</v>
      </c>
      <c r="U481" t="s">
        <v>34</v>
      </c>
      <c r="V481">
        <v>4</v>
      </c>
      <c r="W481">
        <f>Table1[[#This Row],[Profit]]/Table1[[#This Row],[Sales]]</f>
        <v>0.22222222222222221</v>
      </c>
    </row>
    <row r="482" spans="1:23" x14ac:dyDescent="0.25">
      <c r="A482" t="s">
        <v>1235</v>
      </c>
      <c r="B482" s="1">
        <v>45998</v>
      </c>
      <c r="C482" t="s">
        <v>1236</v>
      </c>
      <c r="D482" t="s">
        <v>1237</v>
      </c>
      <c r="E482" t="s">
        <v>52</v>
      </c>
      <c r="F482" t="s">
        <v>53</v>
      </c>
      <c r="G482" t="s">
        <v>27</v>
      </c>
      <c r="H482" t="s">
        <v>54</v>
      </c>
      <c r="I482" t="s">
        <v>55</v>
      </c>
      <c r="J482">
        <v>3</v>
      </c>
      <c r="K482">
        <v>55000</v>
      </c>
      <c r="L482">
        <v>15</v>
      </c>
      <c r="M482">
        <v>140250</v>
      </c>
      <c r="N482">
        <v>115500</v>
      </c>
      <c r="O482">
        <v>24750.000000000011</v>
      </c>
      <c r="P482" t="s">
        <v>43</v>
      </c>
      <c r="Q482" t="s">
        <v>44</v>
      </c>
      <c r="R482" t="s">
        <v>45</v>
      </c>
      <c r="S482" t="s">
        <v>60</v>
      </c>
      <c r="T482" t="s">
        <v>47</v>
      </c>
      <c r="U482" t="s">
        <v>48</v>
      </c>
      <c r="V482">
        <v>1</v>
      </c>
      <c r="W482">
        <f>Table1[[#This Row],[Profit]]/Table1[[#This Row],[Sales]]</f>
        <v>0.17647058823529418</v>
      </c>
    </row>
    <row r="483" spans="1:23" x14ac:dyDescent="0.25">
      <c r="A483" t="s">
        <v>1238</v>
      </c>
      <c r="B483" s="1">
        <v>45991</v>
      </c>
      <c r="C483" t="s">
        <v>1078</v>
      </c>
      <c r="D483" t="s">
        <v>662</v>
      </c>
      <c r="E483" t="s">
        <v>73</v>
      </c>
      <c r="F483" t="s">
        <v>74</v>
      </c>
      <c r="G483" t="s">
        <v>27</v>
      </c>
      <c r="H483" t="s">
        <v>75</v>
      </c>
      <c r="I483" t="s">
        <v>76</v>
      </c>
      <c r="J483">
        <v>3</v>
      </c>
      <c r="K483">
        <v>3500</v>
      </c>
      <c r="L483">
        <v>5</v>
      </c>
      <c r="M483">
        <v>9975</v>
      </c>
      <c r="N483">
        <v>7349.9999999999991</v>
      </c>
      <c r="O483">
        <v>2625.0000000000009</v>
      </c>
      <c r="P483" t="s">
        <v>43</v>
      </c>
      <c r="Q483" t="s">
        <v>44</v>
      </c>
      <c r="R483" t="s">
        <v>45</v>
      </c>
      <c r="S483" t="s">
        <v>60</v>
      </c>
      <c r="T483" t="s">
        <v>47</v>
      </c>
      <c r="U483" t="s">
        <v>34</v>
      </c>
      <c r="V483">
        <v>5</v>
      </c>
      <c r="W483">
        <f>Table1[[#This Row],[Profit]]/Table1[[#This Row],[Sales]]</f>
        <v>0.2631578947368422</v>
      </c>
    </row>
    <row r="484" spans="1:23" x14ac:dyDescent="0.25">
      <c r="A484" t="s">
        <v>1239</v>
      </c>
      <c r="B484" s="1">
        <v>45746</v>
      </c>
      <c r="C484" t="s">
        <v>1240</v>
      </c>
      <c r="D484" t="s">
        <v>194</v>
      </c>
      <c r="E484" t="s">
        <v>25</v>
      </c>
      <c r="F484" t="s">
        <v>26</v>
      </c>
      <c r="G484" t="s">
        <v>27</v>
      </c>
      <c r="H484" t="s">
        <v>28</v>
      </c>
      <c r="I484" t="s">
        <v>29</v>
      </c>
      <c r="J484">
        <v>1</v>
      </c>
      <c r="K484">
        <v>800</v>
      </c>
      <c r="L484">
        <v>15</v>
      </c>
      <c r="M484">
        <v>680</v>
      </c>
      <c r="N484">
        <v>560</v>
      </c>
      <c r="O484">
        <v>120</v>
      </c>
      <c r="P484" t="s">
        <v>109</v>
      </c>
      <c r="Q484" t="s">
        <v>110</v>
      </c>
      <c r="R484" t="s">
        <v>111</v>
      </c>
      <c r="S484" t="s">
        <v>60</v>
      </c>
      <c r="T484" t="s">
        <v>33</v>
      </c>
      <c r="U484" t="s">
        <v>48</v>
      </c>
      <c r="V484">
        <v>5</v>
      </c>
      <c r="W484">
        <f>Table1[[#This Row],[Profit]]/Table1[[#This Row],[Sales]]</f>
        <v>0.17647058823529413</v>
      </c>
    </row>
    <row r="485" spans="1:23" x14ac:dyDescent="0.25">
      <c r="A485" t="s">
        <v>1241</v>
      </c>
      <c r="B485" s="1">
        <v>45947</v>
      </c>
      <c r="C485" t="s">
        <v>1242</v>
      </c>
      <c r="D485" t="s">
        <v>1243</v>
      </c>
      <c r="E485" t="s">
        <v>25</v>
      </c>
      <c r="F485" t="s">
        <v>26</v>
      </c>
      <c r="G485" t="s">
        <v>27</v>
      </c>
      <c r="H485" t="s">
        <v>28</v>
      </c>
      <c r="I485" t="s">
        <v>29</v>
      </c>
      <c r="J485">
        <v>1</v>
      </c>
      <c r="K485">
        <v>800</v>
      </c>
      <c r="L485">
        <v>10</v>
      </c>
      <c r="M485">
        <v>720</v>
      </c>
      <c r="N485">
        <v>560</v>
      </c>
      <c r="O485">
        <v>160</v>
      </c>
      <c r="P485" t="s">
        <v>30</v>
      </c>
      <c r="Q485" t="s">
        <v>30</v>
      </c>
      <c r="R485" t="s">
        <v>31</v>
      </c>
      <c r="S485" t="s">
        <v>60</v>
      </c>
      <c r="T485" t="s">
        <v>56</v>
      </c>
      <c r="U485" t="s">
        <v>48</v>
      </c>
      <c r="V485">
        <v>4</v>
      </c>
      <c r="W485">
        <f>Table1[[#This Row],[Profit]]/Table1[[#This Row],[Sales]]</f>
        <v>0.22222222222222221</v>
      </c>
    </row>
    <row r="486" spans="1:23" x14ac:dyDescent="0.25">
      <c r="A486" t="s">
        <v>1244</v>
      </c>
      <c r="B486" s="1">
        <v>46011</v>
      </c>
      <c r="C486" t="s">
        <v>1245</v>
      </c>
      <c r="D486" t="s">
        <v>1189</v>
      </c>
      <c r="E486" t="s">
        <v>73</v>
      </c>
      <c r="F486" t="s">
        <v>74</v>
      </c>
      <c r="G486" t="s">
        <v>27</v>
      </c>
      <c r="H486" t="s">
        <v>75</v>
      </c>
      <c r="I486" t="s">
        <v>76</v>
      </c>
      <c r="J486">
        <v>1</v>
      </c>
      <c r="K486">
        <v>3500</v>
      </c>
      <c r="L486">
        <v>10</v>
      </c>
      <c r="M486">
        <v>3150</v>
      </c>
      <c r="N486">
        <v>2450</v>
      </c>
      <c r="O486">
        <v>700</v>
      </c>
      <c r="P486" t="s">
        <v>43</v>
      </c>
      <c r="Q486" t="s">
        <v>44</v>
      </c>
      <c r="R486" t="s">
        <v>45</v>
      </c>
      <c r="S486" t="s">
        <v>46</v>
      </c>
      <c r="T486" t="s">
        <v>47</v>
      </c>
      <c r="U486" t="s">
        <v>48</v>
      </c>
      <c r="V486">
        <v>3</v>
      </c>
      <c r="W486">
        <f>Table1[[#This Row],[Profit]]/Table1[[#This Row],[Sales]]</f>
        <v>0.22222222222222221</v>
      </c>
    </row>
    <row r="487" spans="1:23" x14ac:dyDescent="0.25">
      <c r="A487" t="s">
        <v>1246</v>
      </c>
      <c r="B487" s="1">
        <v>45833</v>
      </c>
      <c r="C487" t="s">
        <v>1247</v>
      </c>
      <c r="D487" t="s">
        <v>471</v>
      </c>
      <c r="E487" t="s">
        <v>38</v>
      </c>
      <c r="F487" t="s">
        <v>39</v>
      </c>
      <c r="G487" t="s">
        <v>40</v>
      </c>
      <c r="H487" t="s">
        <v>41</v>
      </c>
      <c r="I487" t="s">
        <v>42</v>
      </c>
      <c r="J487">
        <v>4</v>
      </c>
      <c r="K487">
        <v>4500</v>
      </c>
      <c r="L487">
        <v>15</v>
      </c>
      <c r="M487">
        <v>15300</v>
      </c>
      <c r="N487">
        <v>12600</v>
      </c>
      <c r="O487">
        <v>2700</v>
      </c>
      <c r="P487" t="s">
        <v>109</v>
      </c>
      <c r="Q487" t="s">
        <v>110</v>
      </c>
      <c r="R487" t="s">
        <v>111</v>
      </c>
      <c r="S487" t="s">
        <v>60</v>
      </c>
      <c r="T487" t="s">
        <v>33</v>
      </c>
      <c r="U487" t="s">
        <v>48</v>
      </c>
      <c r="V487">
        <v>5</v>
      </c>
      <c r="W487">
        <f>Table1[[#This Row],[Profit]]/Table1[[#This Row],[Sales]]</f>
        <v>0.17647058823529413</v>
      </c>
    </row>
    <row r="488" spans="1:23" x14ac:dyDescent="0.25">
      <c r="A488" t="s">
        <v>1248</v>
      </c>
      <c r="B488" s="1">
        <v>45666</v>
      </c>
      <c r="C488" t="s">
        <v>1249</v>
      </c>
      <c r="D488" t="s">
        <v>1250</v>
      </c>
      <c r="E488" t="s">
        <v>38</v>
      </c>
      <c r="F488" t="s">
        <v>39</v>
      </c>
      <c r="G488" t="s">
        <v>40</v>
      </c>
      <c r="H488" t="s">
        <v>41</v>
      </c>
      <c r="I488" t="s">
        <v>42</v>
      </c>
      <c r="J488">
        <v>5</v>
      </c>
      <c r="K488">
        <v>4500</v>
      </c>
      <c r="L488">
        <v>15</v>
      </c>
      <c r="M488">
        <v>19125</v>
      </c>
      <c r="N488">
        <v>15750</v>
      </c>
      <c r="O488">
        <v>3375.0000000000018</v>
      </c>
      <c r="P488" t="s">
        <v>30</v>
      </c>
      <c r="Q488" t="s">
        <v>30</v>
      </c>
      <c r="R488" t="s">
        <v>31</v>
      </c>
      <c r="S488" t="s">
        <v>32</v>
      </c>
      <c r="T488" t="s">
        <v>47</v>
      </c>
      <c r="U488" t="s">
        <v>34</v>
      </c>
      <c r="V488">
        <v>3</v>
      </c>
      <c r="W488">
        <f>Table1[[#This Row],[Profit]]/Table1[[#This Row],[Sales]]</f>
        <v>0.17647058823529421</v>
      </c>
    </row>
    <row r="489" spans="1:23" x14ac:dyDescent="0.25">
      <c r="A489" t="s">
        <v>1251</v>
      </c>
      <c r="B489" s="1">
        <v>45681</v>
      </c>
      <c r="C489" t="s">
        <v>1252</v>
      </c>
      <c r="D489" t="s">
        <v>1061</v>
      </c>
      <c r="E489" t="s">
        <v>25</v>
      </c>
      <c r="F489" t="s">
        <v>26</v>
      </c>
      <c r="G489" t="s">
        <v>27</v>
      </c>
      <c r="H489" t="s">
        <v>28</v>
      </c>
      <c r="I489" t="s">
        <v>29</v>
      </c>
      <c r="J489">
        <v>3</v>
      </c>
      <c r="K489">
        <v>800</v>
      </c>
      <c r="L489">
        <v>10</v>
      </c>
      <c r="M489">
        <v>2160</v>
      </c>
      <c r="N489">
        <v>1680</v>
      </c>
      <c r="O489">
        <v>480</v>
      </c>
      <c r="P489" t="s">
        <v>95</v>
      </c>
      <c r="Q489" t="s">
        <v>96</v>
      </c>
      <c r="R489" t="s">
        <v>45</v>
      </c>
      <c r="S489" t="s">
        <v>32</v>
      </c>
      <c r="T489" t="s">
        <v>33</v>
      </c>
      <c r="U489" t="s">
        <v>34</v>
      </c>
      <c r="V489">
        <v>4</v>
      </c>
      <c r="W489">
        <f>Table1[[#This Row],[Profit]]/Table1[[#This Row],[Sales]]</f>
        <v>0.22222222222222221</v>
      </c>
    </row>
    <row r="490" spans="1:23" x14ac:dyDescent="0.25">
      <c r="A490" t="s">
        <v>1253</v>
      </c>
      <c r="B490" s="1">
        <v>45992</v>
      </c>
      <c r="C490" t="s">
        <v>278</v>
      </c>
      <c r="D490" t="s">
        <v>1254</v>
      </c>
      <c r="E490" t="s">
        <v>73</v>
      </c>
      <c r="F490" t="s">
        <v>74</v>
      </c>
      <c r="G490" t="s">
        <v>27</v>
      </c>
      <c r="H490" t="s">
        <v>75</v>
      </c>
      <c r="I490" t="s">
        <v>76</v>
      </c>
      <c r="J490">
        <v>5</v>
      </c>
      <c r="K490">
        <v>3500</v>
      </c>
      <c r="L490">
        <v>5</v>
      </c>
      <c r="M490">
        <v>16625</v>
      </c>
      <c r="N490">
        <v>12250</v>
      </c>
      <c r="O490">
        <v>4375</v>
      </c>
      <c r="P490" t="s">
        <v>43</v>
      </c>
      <c r="Q490" t="s">
        <v>44</v>
      </c>
      <c r="R490" t="s">
        <v>45</v>
      </c>
      <c r="S490" t="s">
        <v>32</v>
      </c>
      <c r="T490" t="s">
        <v>56</v>
      </c>
      <c r="U490" t="s">
        <v>48</v>
      </c>
      <c r="V490">
        <v>1</v>
      </c>
      <c r="W490">
        <f>Table1[[#This Row],[Profit]]/Table1[[#This Row],[Sales]]</f>
        <v>0.26315789473684209</v>
      </c>
    </row>
    <row r="491" spans="1:23" x14ac:dyDescent="0.25">
      <c r="A491" t="s">
        <v>1255</v>
      </c>
      <c r="B491" s="1">
        <v>46010</v>
      </c>
      <c r="C491" t="s">
        <v>1011</v>
      </c>
      <c r="D491" t="s">
        <v>1256</v>
      </c>
      <c r="E491" t="s">
        <v>67</v>
      </c>
      <c r="F491" t="s">
        <v>68</v>
      </c>
      <c r="G491" t="s">
        <v>27</v>
      </c>
      <c r="H491" t="s">
        <v>28</v>
      </c>
      <c r="I491" t="s">
        <v>69</v>
      </c>
      <c r="J491">
        <v>4</v>
      </c>
      <c r="K491">
        <v>1500</v>
      </c>
      <c r="L491">
        <v>15</v>
      </c>
      <c r="M491">
        <v>5100</v>
      </c>
      <c r="N491">
        <v>4200</v>
      </c>
      <c r="O491">
        <v>900</v>
      </c>
      <c r="P491" t="s">
        <v>43</v>
      </c>
      <c r="Q491" t="s">
        <v>44</v>
      </c>
      <c r="R491" t="s">
        <v>45</v>
      </c>
      <c r="S491" t="s">
        <v>60</v>
      </c>
      <c r="T491" t="s">
        <v>56</v>
      </c>
      <c r="U491" t="s">
        <v>34</v>
      </c>
      <c r="V491">
        <v>4</v>
      </c>
      <c r="W491">
        <f>Table1[[#This Row],[Profit]]/Table1[[#This Row],[Sales]]</f>
        <v>0.17647058823529413</v>
      </c>
    </row>
    <row r="492" spans="1:23" x14ac:dyDescent="0.25">
      <c r="A492" t="s">
        <v>1257</v>
      </c>
      <c r="B492" s="1">
        <v>45859</v>
      </c>
      <c r="C492" t="s">
        <v>963</v>
      </c>
      <c r="D492" t="s">
        <v>1258</v>
      </c>
      <c r="E492" t="s">
        <v>25</v>
      </c>
      <c r="F492" t="s">
        <v>26</v>
      </c>
      <c r="G492" t="s">
        <v>27</v>
      </c>
      <c r="H492" t="s">
        <v>28</v>
      </c>
      <c r="I492" t="s">
        <v>29</v>
      </c>
      <c r="J492">
        <v>4</v>
      </c>
      <c r="K492">
        <v>800</v>
      </c>
      <c r="L492">
        <v>0</v>
      </c>
      <c r="M492">
        <v>3200</v>
      </c>
      <c r="N492">
        <v>2240</v>
      </c>
      <c r="O492">
        <v>960</v>
      </c>
      <c r="P492" t="s">
        <v>43</v>
      </c>
      <c r="Q492" t="s">
        <v>44</v>
      </c>
      <c r="R492" t="s">
        <v>45</v>
      </c>
      <c r="S492" t="s">
        <v>60</v>
      </c>
      <c r="T492" t="s">
        <v>33</v>
      </c>
      <c r="U492" t="s">
        <v>34</v>
      </c>
      <c r="V492">
        <v>4</v>
      </c>
      <c r="W492">
        <f>Table1[[#This Row],[Profit]]/Table1[[#This Row],[Sales]]</f>
        <v>0.3</v>
      </c>
    </row>
    <row r="493" spans="1:23" x14ac:dyDescent="0.25">
      <c r="A493" t="s">
        <v>1259</v>
      </c>
      <c r="B493" s="1">
        <v>45855</v>
      </c>
      <c r="C493" t="s">
        <v>386</v>
      </c>
      <c r="D493" t="s">
        <v>141</v>
      </c>
      <c r="E493" t="s">
        <v>67</v>
      </c>
      <c r="F493" t="s">
        <v>68</v>
      </c>
      <c r="G493" t="s">
        <v>27</v>
      </c>
      <c r="H493" t="s">
        <v>28</v>
      </c>
      <c r="I493" t="s">
        <v>69</v>
      </c>
      <c r="J493">
        <v>1</v>
      </c>
      <c r="K493">
        <v>1500</v>
      </c>
      <c r="L493">
        <v>10</v>
      </c>
      <c r="M493">
        <v>1350</v>
      </c>
      <c r="N493">
        <v>1050</v>
      </c>
      <c r="O493">
        <v>300</v>
      </c>
      <c r="P493" t="s">
        <v>43</v>
      </c>
      <c r="Q493" t="s">
        <v>44</v>
      </c>
      <c r="R493" t="s">
        <v>45</v>
      </c>
      <c r="S493" t="s">
        <v>46</v>
      </c>
      <c r="T493" t="s">
        <v>33</v>
      </c>
      <c r="U493" t="s">
        <v>34</v>
      </c>
      <c r="V493">
        <v>3</v>
      </c>
      <c r="W493">
        <f>Table1[[#This Row],[Profit]]/Table1[[#This Row],[Sales]]</f>
        <v>0.22222222222222221</v>
      </c>
    </row>
    <row r="494" spans="1:23" x14ac:dyDescent="0.25">
      <c r="A494" t="s">
        <v>1260</v>
      </c>
      <c r="B494" s="1">
        <v>45841</v>
      </c>
      <c r="C494" t="s">
        <v>1261</v>
      </c>
      <c r="D494" t="s">
        <v>1262</v>
      </c>
      <c r="E494" t="s">
        <v>67</v>
      </c>
      <c r="F494" t="s">
        <v>68</v>
      </c>
      <c r="G494" t="s">
        <v>27</v>
      </c>
      <c r="H494" t="s">
        <v>28</v>
      </c>
      <c r="I494" t="s">
        <v>69</v>
      </c>
      <c r="J494">
        <v>5</v>
      </c>
      <c r="K494">
        <v>1500</v>
      </c>
      <c r="L494">
        <v>0</v>
      </c>
      <c r="M494">
        <v>7500</v>
      </c>
      <c r="N494">
        <v>5250</v>
      </c>
      <c r="O494">
        <v>2250</v>
      </c>
      <c r="P494" t="s">
        <v>109</v>
      </c>
      <c r="Q494" t="s">
        <v>110</v>
      </c>
      <c r="R494" t="s">
        <v>111</v>
      </c>
      <c r="S494" t="s">
        <v>32</v>
      </c>
      <c r="T494" t="s">
        <v>33</v>
      </c>
      <c r="U494" t="s">
        <v>48</v>
      </c>
      <c r="V494">
        <v>2</v>
      </c>
      <c r="W494">
        <f>Table1[[#This Row],[Profit]]/Table1[[#This Row],[Sales]]</f>
        <v>0.3</v>
      </c>
    </row>
    <row r="495" spans="1:23" x14ac:dyDescent="0.25">
      <c r="A495" t="s">
        <v>1263</v>
      </c>
      <c r="B495" s="1">
        <v>45829</v>
      </c>
      <c r="C495" t="s">
        <v>1264</v>
      </c>
      <c r="D495" t="s">
        <v>674</v>
      </c>
      <c r="E495" t="s">
        <v>67</v>
      </c>
      <c r="F495" t="s">
        <v>68</v>
      </c>
      <c r="G495" t="s">
        <v>27</v>
      </c>
      <c r="H495" t="s">
        <v>28</v>
      </c>
      <c r="I495" t="s">
        <v>69</v>
      </c>
      <c r="J495">
        <v>5</v>
      </c>
      <c r="K495">
        <v>1500</v>
      </c>
      <c r="L495">
        <v>0</v>
      </c>
      <c r="M495">
        <v>7500</v>
      </c>
      <c r="N495">
        <v>5250</v>
      </c>
      <c r="O495">
        <v>2250</v>
      </c>
      <c r="P495" t="s">
        <v>109</v>
      </c>
      <c r="Q495" t="s">
        <v>110</v>
      </c>
      <c r="R495" t="s">
        <v>111</v>
      </c>
      <c r="S495" t="s">
        <v>60</v>
      </c>
      <c r="T495" t="s">
        <v>47</v>
      </c>
      <c r="U495" t="s">
        <v>48</v>
      </c>
      <c r="V495">
        <v>5</v>
      </c>
      <c r="W495">
        <f>Table1[[#This Row],[Profit]]/Table1[[#This Row],[Sales]]</f>
        <v>0.3</v>
      </c>
    </row>
    <row r="496" spans="1:23" x14ac:dyDescent="0.25">
      <c r="A496" t="s">
        <v>1265</v>
      </c>
      <c r="B496" s="1">
        <v>45759</v>
      </c>
      <c r="C496" t="s">
        <v>1266</v>
      </c>
      <c r="D496" t="s">
        <v>1267</v>
      </c>
      <c r="E496" t="s">
        <v>67</v>
      </c>
      <c r="F496" t="s">
        <v>68</v>
      </c>
      <c r="G496" t="s">
        <v>27</v>
      </c>
      <c r="H496" t="s">
        <v>28</v>
      </c>
      <c r="I496" t="s">
        <v>69</v>
      </c>
      <c r="J496">
        <v>2</v>
      </c>
      <c r="K496">
        <v>1500</v>
      </c>
      <c r="L496">
        <v>0</v>
      </c>
      <c r="M496">
        <v>3000</v>
      </c>
      <c r="N496">
        <v>2100</v>
      </c>
      <c r="O496">
        <v>900</v>
      </c>
      <c r="P496" t="s">
        <v>30</v>
      </c>
      <c r="Q496" t="s">
        <v>30</v>
      </c>
      <c r="R496" t="s">
        <v>31</v>
      </c>
      <c r="S496" t="s">
        <v>46</v>
      </c>
      <c r="T496" t="s">
        <v>33</v>
      </c>
      <c r="U496" t="s">
        <v>48</v>
      </c>
      <c r="V496">
        <v>3</v>
      </c>
      <c r="W496">
        <f>Table1[[#This Row],[Profit]]/Table1[[#This Row],[Sales]]</f>
        <v>0.3</v>
      </c>
    </row>
    <row r="497" spans="1:23" x14ac:dyDescent="0.25">
      <c r="A497" t="s">
        <v>1268</v>
      </c>
      <c r="B497" s="1">
        <v>45722</v>
      </c>
      <c r="C497" t="s">
        <v>948</v>
      </c>
      <c r="D497" t="s">
        <v>435</v>
      </c>
      <c r="E497" t="s">
        <v>52</v>
      </c>
      <c r="F497" t="s">
        <v>53</v>
      </c>
      <c r="G497" t="s">
        <v>27</v>
      </c>
      <c r="H497" t="s">
        <v>54</v>
      </c>
      <c r="I497" t="s">
        <v>55</v>
      </c>
      <c r="J497">
        <v>3</v>
      </c>
      <c r="K497">
        <v>55000</v>
      </c>
      <c r="L497">
        <v>15</v>
      </c>
      <c r="M497">
        <v>140250</v>
      </c>
      <c r="N497">
        <v>115500</v>
      </c>
      <c r="O497">
        <v>24750.000000000011</v>
      </c>
      <c r="P497" t="s">
        <v>43</v>
      </c>
      <c r="Q497" t="s">
        <v>44</v>
      </c>
      <c r="R497" t="s">
        <v>45</v>
      </c>
      <c r="S497" t="s">
        <v>32</v>
      </c>
      <c r="T497" t="s">
        <v>47</v>
      </c>
      <c r="U497" t="s">
        <v>34</v>
      </c>
      <c r="V497">
        <v>3</v>
      </c>
      <c r="W497">
        <f>Table1[[#This Row],[Profit]]/Table1[[#This Row],[Sales]]</f>
        <v>0.17647058823529418</v>
      </c>
    </row>
    <row r="498" spans="1:23" x14ac:dyDescent="0.25">
      <c r="A498" t="s">
        <v>1269</v>
      </c>
      <c r="B498" s="1">
        <v>45815</v>
      </c>
      <c r="C498" t="s">
        <v>1270</v>
      </c>
      <c r="D498" t="s">
        <v>957</v>
      </c>
      <c r="E498" t="s">
        <v>25</v>
      </c>
      <c r="F498" t="s">
        <v>26</v>
      </c>
      <c r="G498" t="s">
        <v>27</v>
      </c>
      <c r="H498" t="s">
        <v>28</v>
      </c>
      <c r="I498" t="s">
        <v>29</v>
      </c>
      <c r="J498">
        <v>1</v>
      </c>
      <c r="K498">
        <v>800</v>
      </c>
      <c r="L498">
        <v>10</v>
      </c>
      <c r="M498">
        <v>720</v>
      </c>
      <c r="N498">
        <v>560</v>
      </c>
      <c r="O498">
        <v>160</v>
      </c>
      <c r="P498" t="s">
        <v>30</v>
      </c>
      <c r="Q498" t="s">
        <v>30</v>
      </c>
      <c r="R498" t="s">
        <v>31</v>
      </c>
      <c r="S498" t="s">
        <v>32</v>
      </c>
      <c r="T498" t="s">
        <v>56</v>
      </c>
      <c r="U498" t="s">
        <v>34</v>
      </c>
      <c r="V498">
        <v>4</v>
      </c>
      <c r="W498">
        <f>Table1[[#This Row],[Profit]]/Table1[[#This Row],[Sales]]</f>
        <v>0.22222222222222221</v>
      </c>
    </row>
    <row r="499" spans="1:23" x14ac:dyDescent="0.25">
      <c r="A499" t="s">
        <v>1271</v>
      </c>
      <c r="B499" s="1">
        <v>45866</v>
      </c>
      <c r="C499" t="s">
        <v>1272</v>
      </c>
      <c r="D499" t="s">
        <v>1273</v>
      </c>
      <c r="E499" t="s">
        <v>67</v>
      </c>
      <c r="F499" t="s">
        <v>68</v>
      </c>
      <c r="G499" t="s">
        <v>27</v>
      </c>
      <c r="H499" t="s">
        <v>28</v>
      </c>
      <c r="I499" t="s">
        <v>69</v>
      </c>
      <c r="J499">
        <v>3</v>
      </c>
      <c r="K499">
        <v>1500</v>
      </c>
      <c r="L499">
        <v>0</v>
      </c>
      <c r="M499">
        <v>4500</v>
      </c>
      <c r="N499">
        <v>3150</v>
      </c>
      <c r="O499">
        <v>1350</v>
      </c>
      <c r="P499" t="s">
        <v>109</v>
      </c>
      <c r="Q499" t="s">
        <v>110</v>
      </c>
      <c r="R499" t="s">
        <v>111</v>
      </c>
      <c r="S499" t="s">
        <v>32</v>
      </c>
      <c r="T499" t="s">
        <v>47</v>
      </c>
      <c r="U499" t="s">
        <v>34</v>
      </c>
      <c r="V499">
        <v>4</v>
      </c>
      <c r="W499">
        <f>Table1[[#This Row],[Profit]]/Table1[[#This Row],[Sales]]</f>
        <v>0.3</v>
      </c>
    </row>
    <row r="500" spans="1:23" x14ac:dyDescent="0.25">
      <c r="A500" t="s">
        <v>1274</v>
      </c>
      <c r="B500" s="1">
        <v>45846</v>
      </c>
      <c r="C500" t="s">
        <v>23</v>
      </c>
      <c r="D500" t="s">
        <v>1275</v>
      </c>
      <c r="E500" t="s">
        <v>67</v>
      </c>
      <c r="F500" t="s">
        <v>68</v>
      </c>
      <c r="G500" t="s">
        <v>27</v>
      </c>
      <c r="H500" t="s">
        <v>28</v>
      </c>
      <c r="I500" t="s">
        <v>69</v>
      </c>
      <c r="J500">
        <v>5</v>
      </c>
      <c r="K500">
        <v>1500</v>
      </c>
      <c r="L500">
        <v>15</v>
      </c>
      <c r="M500">
        <v>6375</v>
      </c>
      <c r="N500">
        <v>5250</v>
      </c>
      <c r="O500">
        <v>1125</v>
      </c>
      <c r="P500" t="s">
        <v>43</v>
      </c>
      <c r="Q500" t="s">
        <v>44</v>
      </c>
      <c r="R500" t="s">
        <v>45</v>
      </c>
      <c r="S500" t="s">
        <v>32</v>
      </c>
      <c r="T500" t="s">
        <v>33</v>
      </c>
      <c r="U500" t="s">
        <v>34</v>
      </c>
      <c r="V500">
        <v>5</v>
      </c>
      <c r="W500">
        <f>Table1[[#This Row],[Profit]]/Table1[[#This Row],[Sales]]</f>
        <v>0.17647058823529413</v>
      </c>
    </row>
    <row r="501" spans="1:23" x14ac:dyDescent="0.25">
      <c r="A501" t="s">
        <v>1276</v>
      </c>
      <c r="B501" s="1">
        <v>45863</v>
      </c>
      <c r="C501" t="s">
        <v>995</v>
      </c>
      <c r="D501" t="s">
        <v>105</v>
      </c>
      <c r="E501" t="s">
        <v>25</v>
      </c>
      <c r="F501" t="s">
        <v>26</v>
      </c>
      <c r="G501" t="s">
        <v>27</v>
      </c>
      <c r="H501" t="s">
        <v>28</v>
      </c>
      <c r="I501" t="s">
        <v>29</v>
      </c>
      <c r="J501">
        <v>4</v>
      </c>
      <c r="K501">
        <v>800</v>
      </c>
      <c r="L501">
        <v>10</v>
      </c>
      <c r="M501">
        <v>2880</v>
      </c>
      <c r="N501">
        <v>2240</v>
      </c>
      <c r="O501">
        <v>640</v>
      </c>
      <c r="P501" t="s">
        <v>43</v>
      </c>
      <c r="Q501" t="s">
        <v>44</v>
      </c>
      <c r="R501" t="s">
        <v>45</v>
      </c>
      <c r="S501" t="s">
        <v>60</v>
      </c>
      <c r="T501" t="s">
        <v>56</v>
      </c>
      <c r="U501" t="s">
        <v>48</v>
      </c>
      <c r="V501">
        <v>1</v>
      </c>
      <c r="W501">
        <f>Table1[[#This Row],[Profit]]/Table1[[#This Row],[Sales]]</f>
        <v>0.22222222222222221</v>
      </c>
    </row>
    <row r="502" spans="1:23" x14ac:dyDescent="0.25">
      <c r="A502" t="s">
        <v>1277</v>
      </c>
      <c r="B502" s="1">
        <v>45824</v>
      </c>
      <c r="C502" t="s">
        <v>1278</v>
      </c>
      <c r="D502" t="s">
        <v>705</v>
      </c>
      <c r="E502" t="s">
        <v>73</v>
      </c>
      <c r="F502" t="s">
        <v>74</v>
      </c>
      <c r="G502" t="s">
        <v>27</v>
      </c>
      <c r="H502" t="s">
        <v>75</v>
      </c>
      <c r="I502" t="s">
        <v>76</v>
      </c>
      <c r="J502">
        <v>3</v>
      </c>
      <c r="K502">
        <v>3500</v>
      </c>
      <c r="L502">
        <v>0</v>
      </c>
      <c r="M502">
        <v>10500</v>
      </c>
      <c r="N502">
        <v>7349.9999999999991</v>
      </c>
      <c r="O502">
        <v>3150.0000000000009</v>
      </c>
      <c r="P502" t="s">
        <v>43</v>
      </c>
      <c r="Q502" t="s">
        <v>44</v>
      </c>
      <c r="R502" t="s">
        <v>45</v>
      </c>
      <c r="S502" t="s">
        <v>32</v>
      </c>
      <c r="T502" t="s">
        <v>56</v>
      </c>
      <c r="U502" t="s">
        <v>34</v>
      </c>
      <c r="V502">
        <v>5</v>
      </c>
      <c r="W502">
        <f>Table1[[#This Row],[Profit]]/Table1[[#This Row],[Sales]]</f>
        <v>0.3000000000000001</v>
      </c>
    </row>
    <row r="503" spans="1:23" x14ac:dyDescent="0.25">
      <c r="A503" t="s">
        <v>1279</v>
      </c>
      <c r="B503" s="1">
        <v>45663</v>
      </c>
      <c r="C503" t="s">
        <v>1280</v>
      </c>
      <c r="D503" t="s">
        <v>59</v>
      </c>
      <c r="E503" t="s">
        <v>67</v>
      </c>
      <c r="F503" t="s">
        <v>68</v>
      </c>
      <c r="G503" t="s">
        <v>27</v>
      </c>
      <c r="H503" t="s">
        <v>28</v>
      </c>
      <c r="I503" t="s">
        <v>69</v>
      </c>
      <c r="J503">
        <v>5</v>
      </c>
      <c r="K503">
        <v>1500</v>
      </c>
      <c r="L503">
        <v>15</v>
      </c>
      <c r="M503">
        <v>6375</v>
      </c>
      <c r="N503">
        <v>5250</v>
      </c>
      <c r="O503">
        <v>1125</v>
      </c>
      <c r="P503" t="s">
        <v>30</v>
      </c>
      <c r="Q503" t="s">
        <v>30</v>
      </c>
      <c r="R503" t="s">
        <v>31</v>
      </c>
      <c r="S503" t="s">
        <v>32</v>
      </c>
      <c r="T503" t="s">
        <v>47</v>
      </c>
      <c r="U503" t="s">
        <v>34</v>
      </c>
      <c r="V503">
        <v>5</v>
      </c>
      <c r="W503">
        <f>Table1[[#This Row],[Profit]]/Table1[[#This Row],[Sales]]</f>
        <v>0.17647058823529413</v>
      </c>
    </row>
    <row r="504" spans="1:23" x14ac:dyDescent="0.25">
      <c r="A504" t="s">
        <v>1281</v>
      </c>
      <c r="B504" s="1">
        <v>45948</v>
      </c>
      <c r="C504" t="s">
        <v>1282</v>
      </c>
      <c r="D504" t="s">
        <v>206</v>
      </c>
      <c r="E504" t="s">
        <v>67</v>
      </c>
      <c r="F504" t="s">
        <v>68</v>
      </c>
      <c r="G504" t="s">
        <v>27</v>
      </c>
      <c r="H504" t="s">
        <v>28</v>
      </c>
      <c r="I504" t="s">
        <v>69</v>
      </c>
      <c r="J504">
        <v>2</v>
      </c>
      <c r="K504">
        <v>1500</v>
      </c>
      <c r="L504">
        <v>5</v>
      </c>
      <c r="M504">
        <v>2850</v>
      </c>
      <c r="N504">
        <v>2100</v>
      </c>
      <c r="O504">
        <v>750</v>
      </c>
      <c r="P504" t="s">
        <v>95</v>
      </c>
      <c r="Q504" t="s">
        <v>96</v>
      </c>
      <c r="R504" t="s">
        <v>45</v>
      </c>
      <c r="S504" t="s">
        <v>46</v>
      </c>
      <c r="T504" t="s">
        <v>56</v>
      </c>
      <c r="U504" t="s">
        <v>48</v>
      </c>
      <c r="V504">
        <v>4</v>
      </c>
      <c r="W504">
        <f>Table1[[#This Row],[Profit]]/Table1[[#This Row],[Sales]]</f>
        <v>0.26315789473684209</v>
      </c>
    </row>
    <row r="505" spans="1:23" x14ac:dyDescent="0.25">
      <c r="A505" t="s">
        <v>1283</v>
      </c>
      <c r="B505" s="1">
        <v>45763</v>
      </c>
      <c r="C505" t="s">
        <v>1284</v>
      </c>
      <c r="D505" t="s">
        <v>1285</v>
      </c>
      <c r="E505" t="s">
        <v>38</v>
      </c>
      <c r="F505" t="s">
        <v>39</v>
      </c>
      <c r="G505" t="s">
        <v>40</v>
      </c>
      <c r="H505" t="s">
        <v>41</v>
      </c>
      <c r="I505" t="s">
        <v>42</v>
      </c>
      <c r="J505">
        <v>4</v>
      </c>
      <c r="K505">
        <v>4500</v>
      </c>
      <c r="L505">
        <v>10</v>
      </c>
      <c r="M505">
        <v>16200</v>
      </c>
      <c r="N505">
        <v>12600</v>
      </c>
      <c r="O505">
        <v>3600</v>
      </c>
      <c r="P505" t="s">
        <v>95</v>
      </c>
      <c r="Q505" t="s">
        <v>96</v>
      </c>
      <c r="R505" t="s">
        <v>45</v>
      </c>
      <c r="S505" t="s">
        <v>46</v>
      </c>
      <c r="T505" t="s">
        <v>33</v>
      </c>
      <c r="U505" t="s">
        <v>48</v>
      </c>
      <c r="V505">
        <v>3</v>
      </c>
      <c r="W505">
        <f>Table1[[#This Row],[Profit]]/Table1[[#This Row],[Sales]]</f>
        <v>0.22222222222222221</v>
      </c>
    </row>
    <row r="506" spans="1:23" x14ac:dyDescent="0.25">
      <c r="A506" t="s">
        <v>1286</v>
      </c>
      <c r="B506" s="1">
        <v>45964</v>
      </c>
      <c r="C506" t="s">
        <v>517</v>
      </c>
      <c r="D506" t="s">
        <v>601</v>
      </c>
      <c r="E506" t="s">
        <v>52</v>
      </c>
      <c r="F506" t="s">
        <v>53</v>
      </c>
      <c r="G506" t="s">
        <v>27</v>
      </c>
      <c r="H506" t="s">
        <v>54</v>
      </c>
      <c r="I506" t="s">
        <v>55</v>
      </c>
      <c r="J506">
        <v>2</v>
      </c>
      <c r="K506">
        <v>55000</v>
      </c>
      <c r="L506">
        <v>5</v>
      </c>
      <c r="M506">
        <v>104500</v>
      </c>
      <c r="N506">
        <v>77000</v>
      </c>
      <c r="O506">
        <v>27500</v>
      </c>
      <c r="P506" t="s">
        <v>109</v>
      </c>
      <c r="Q506" t="s">
        <v>110</v>
      </c>
      <c r="R506" t="s">
        <v>111</v>
      </c>
      <c r="S506" t="s">
        <v>32</v>
      </c>
      <c r="T506" t="s">
        <v>47</v>
      </c>
      <c r="U506" t="s">
        <v>34</v>
      </c>
      <c r="V506">
        <v>2</v>
      </c>
      <c r="W506">
        <f>Table1[[#This Row],[Profit]]/Table1[[#This Row],[Sales]]</f>
        <v>0.26315789473684209</v>
      </c>
    </row>
    <row r="507" spans="1:23" x14ac:dyDescent="0.25">
      <c r="A507" t="s">
        <v>1287</v>
      </c>
      <c r="B507" s="1">
        <v>45754</v>
      </c>
      <c r="C507" t="s">
        <v>1288</v>
      </c>
      <c r="D507" t="s">
        <v>362</v>
      </c>
      <c r="E507" t="s">
        <v>52</v>
      </c>
      <c r="F507" t="s">
        <v>53</v>
      </c>
      <c r="G507" t="s">
        <v>27</v>
      </c>
      <c r="H507" t="s">
        <v>54</v>
      </c>
      <c r="I507" t="s">
        <v>55</v>
      </c>
      <c r="J507">
        <v>4</v>
      </c>
      <c r="K507">
        <v>55000</v>
      </c>
      <c r="L507">
        <v>5</v>
      </c>
      <c r="M507">
        <v>209000</v>
      </c>
      <c r="N507">
        <v>154000</v>
      </c>
      <c r="O507">
        <v>55000</v>
      </c>
      <c r="P507" t="s">
        <v>43</v>
      </c>
      <c r="Q507" t="s">
        <v>44</v>
      </c>
      <c r="R507" t="s">
        <v>45</v>
      </c>
      <c r="S507" t="s">
        <v>32</v>
      </c>
      <c r="T507" t="s">
        <v>33</v>
      </c>
      <c r="U507" t="s">
        <v>48</v>
      </c>
      <c r="V507">
        <v>2</v>
      </c>
      <c r="W507">
        <f>Table1[[#This Row],[Profit]]/Table1[[#This Row],[Sales]]</f>
        <v>0.26315789473684209</v>
      </c>
    </row>
    <row r="508" spans="1:23" x14ac:dyDescent="0.25">
      <c r="A508" t="s">
        <v>1289</v>
      </c>
      <c r="B508" s="1">
        <v>45945</v>
      </c>
      <c r="C508" t="s">
        <v>669</v>
      </c>
      <c r="D508" t="s">
        <v>1290</v>
      </c>
      <c r="E508" t="s">
        <v>73</v>
      </c>
      <c r="F508" t="s">
        <v>74</v>
      </c>
      <c r="G508" t="s">
        <v>27</v>
      </c>
      <c r="H508" t="s">
        <v>75</v>
      </c>
      <c r="I508" t="s">
        <v>76</v>
      </c>
      <c r="J508">
        <v>3</v>
      </c>
      <c r="K508">
        <v>3500</v>
      </c>
      <c r="L508">
        <v>5</v>
      </c>
      <c r="M508">
        <v>9975</v>
      </c>
      <c r="N508">
        <v>7349.9999999999991</v>
      </c>
      <c r="O508">
        <v>2625.0000000000009</v>
      </c>
      <c r="P508" t="s">
        <v>109</v>
      </c>
      <c r="Q508" t="s">
        <v>110</v>
      </c>
      <c r="R508" t="s">
        <v>111</v>
      </c>
      <c r="S508" t="s">
        <v>60</v>
      </c>
      <c r="T508" t="s">
        <v>56</v>
      </c>
      <c r="U508" t="s">
        <v>34</v>
      </c>
      <c r="V508">
        <v>2</v>
      </c>
      <c r="W508">
        <f>Table1[[#This Row],[Profit]]/Table1[[#This Row],[Sales]]</f>
        <v>0.2631578947368422</v>
      </c>
    </row>
    <row r="509" spans="1:23" x14ac:dyDescent="0.25">
      <c r="A509" t="s">
        <v>1291</v>
      </c>
      <c r="B509" s="1">
        <v>45685</v>
      </c>
      <c r="C509" t="s">
        <v>1292</v>
      </c>
      <c r="D509" t="s">
        <v>400</v>
      </c>
      <c r="E509" t="s">
        <v>25</v>
      </c>
      <c r="F509" t="s">
        <v>26</v>
      </c>
      <c r="G509" t="s">
        <v>27</v>
      </c>
      <c r="H509" t="s">
        <v>28</v>
      </c>
      <c r="I509" t="s">
        <v>29</v>
      </c>
      <c r="J509">
        <v>1</v>
      </c>
      <c r="K509">
        <v>800</v>
      </c>
      <c r="L509">
        <v>5</v>
      </c>
      <c r="M509">
        <v>760</v>
      </c>
      <c r="N509">
        <v>560</v>
      </c>
      <c r="O509">
        <v>200</v>
      </c>
      <c r="P509" t="s">
        <v>30</v>
      </c>
      <c r="Q509" t="s">
        <v>30</v>
      </c>
      <c r="R509" t="s">
        <v>31</v>
      </c>
      <c r="S509" t="s">
        <v>32</v>
      </c>
      <c r="T509" t="s">
        <v>33</v>
      </c>
      <c r="U509" t="s">
        <v>34</v>
      </c>
      <c r="V509">
        <v>2</v>
      </c>
      <c r="W509">
        <f>Table1[[#This Row],[Profit]]/Table1[[#This Row],[Sales]]</f>
        <v>0.26315789473684209</v>
      </c>
    </row>
    <row r="510" spans="1:23" x14ac:dyDescent="0.25">
      <c r="A510" t="s">
        <v>1293</v>
      </c>
      <c r="B510" s="1">
        <v>45991</v>
      </c>
      <c r="C510" t="s">
        <v>546</v>
      </c>
      <c r="D510" t="s">
        <v>640</v>
      </c>
      <c r="E510" t="s">
        <v>25</v>
      </c>
      <c r="F510" t="s">
        <v>26</v>
      </c>
      <c r="G510" t="s">
        <v>27</v>
      </c>
      <c r="H510" t="s">
        <v>28</v>
      </c>
      <c r="I510" t="s">
        <v>29</v>
      </c>
      <c r="J510">
        <v>5</v>
      </c>
      <c r="K510">
        <v>800</v>
      </c>
      <c r="L510">
        <v>10</v>
      </c>
      <c r="M510">
        <v>3600</v>
      </c>
      <c r="N510">
        <v>2800</v>
      </c>
      <c r="O510">
        <v>800</v>
      </c>
      <c r="P510" t="s">
        <v>95</v>
      </c>
      <c r="Q510" t="s">
        <v>96</v>
      </c>
      <c r="R510" t="s">
        <v>45</v>
      </c>
      <c r="S510" t="s">
        <v>46</v>
      </c>
      <c r="T510" t="s">
        <v>47</v>
      </c>
      <c r="U510" t="s">
        <v>48</v>
      </c>
      <c r="V510">
        <v>5</v>
      </c>
      <c r="W510">
        <f>Table1[[#This Row],[Profit]]/Table1[[#This Row],[Sales]]</f>
        <v>0.22222222222222221</v>
      </c>
    </row>
    <row r="511" spans="1:23" x14ac:dyDescent="0.25">
      <c r="A511" t="s">
        <v>1294</v>
      </c>
      <c r="B511" s="1">
        <v>45924</v>
      </c>
      <c r="C511" t="s">
        <v>1295</v>
      </c>
      <c r="D511" t="s">
        <v>1296</v>
      </c>
      <c r="E511" t="s">
        <v>25</v>
      </c>
      <c r="F511" t="s">
        <v>26</v>
      </c>
      <c r="G511" t="s">
        <v>27</v>
      </c>
      <c r="H511" t="s">
        <v>28</v>
      </c>
      <c r="I511" t="s">
        <v>29</v>
      </c>
      <c r="J511">
        <v>1</v>
      </c>
      <c r="K511">
        <v>800</v>
      </c>
      <c r="L511">
        <v>10</v>
      </c>
      <c r="M511">
        <v>720</v>
      </c>
      <c r="N511">
        <v>560</v>
      </c>
      <c r="O511">
        <v>160</v>
      </c>
      <c r="P511" t="s">
        <v>95</v>
      </c>
      <c r="Q511" t="s">
        <v>96</v>
      </c>
      <c r="R511" t="s">
        <v>45</v>
      </c>
      <c r="S511" t="s">
        <v>60</v>
      </c>
      <c r="T511" t="s">
        <v>33</v>
      </c>
      <c r="U511" t="s">
        <v>48</v>
      </c>
      <c r="V511">
        <v>5</v>
      </c>
      <c r="W511">
        <f>Table1[[#This Row],[Profit]]/Table1[[#This Row],[Sales]]</f>
        <v>0.22222222222222221</v>
      </c>
    </row>
    <row r="512" spans="1:23" x14ac:dyDescent="0.25">
      <c r="A512" t="s">
        <v>1297</v>
      </c>
      <c r="B512" s="1">
        <v>45666</v>
      </c>
      <c r="C512" t="s">
        <v>1298</v>
      </c>
      <c r="D512" t="s">
        <v>1299</v>
      </c>
      <c r="E512" t="s">
        <v>67</v>
      </c>
      <c r="F512" t="s">
        <v>68</v>
      </c>
      <c r="G512" t="s">
        <v>27</v>
      </c>
      <c r="H512" t="s">
        <v>28</v>
      </c>
      <c r="I512" t="s">
        <v>69</v>
      </c>
      <c r="J512">
        <v>1</v>
      </c>
      <c r="K512">
        <v>1500</v>
      </c>
      <c r="L512">
        <v>10</v>
      </c>
      <c r="M512">
        <v>1350</v>
      </c>
      <c r="N512">
        <v>1050</v>
      </c>
      <c r="O512">
        <v>300</v>
      </c>
      <c r="P512" t="s">
        <v>95</v>
      </c>
      <c r="Q512" t="s">
        <v>96</v>
      </c>
      <c r="R512" t="s">
        <v>45</v>
      </c>
      <c r="S512" t="s">
        <v>60</v>
      </c>
      <c r="T512" t="s">
        <v>47</v>
      </c>
      <c r="U512" t="s">
        <v>48</v>
      </c>
      <c r="V512">
        <v>5</v>
      </c>
      <c r="W512">
        <f>Table1[[#This Row],[Profit]]/Table1[[#This Row],[Sales]]</f>
        <v>0.22222222222222221</v>
      </c>
    </row>
    <row r="513" spans="1:23" x14ac:dyDescent="0.25">
      <c r="A513" t="s">
        <v>1300</v>
      </c>
      <c r="B513" s="1">
        <v>45911</v>
      </c>
      <c r="C513" t="s">
        <v>998</v>
      </c>
      <c r="D513" t="s">
        <v>873</v>
      </c>
      <c r="E513" t="s">
        <v>73</v>
      </c>
      <c r="F513" t="s">
        <v>74</v>
      </c>
      <c r="G513" t="s">
        <v>27</v>
      </c>
      <c r="H513" t="s">
        <v>75</v>
      </c>
      <c r="I513" t="s">
        <v>76</v>
      </c>
      <c r="J513">
        <v>2</v>
      </c>
      <c r="K513">
        <v>3500</v>
      </c>
      <c r="L513">
        <v>0</v>
      </c>
      <c r="M513">
        <v>7000</v>
      </c>
      <c r="N513">
        <v>4900</v>
      </c>
      <c r="O513">
        <v>2100</v>
      </c>
      <c r="P513" t="s">
        <v>43</v>
      </c>
      <c r="Q513" t="s">
        <v>44</v>
      </c>
      <c r="R513" t="s">
        <v>45</v>
      </c>
      <c r="S513" t="s">
        <v>46</v>
      </c>
      <c r="T513" t="s">
        <v>47</v>
      </c>
      <c r="U513" t="s">
        <v>48</v>
      </c>
      <c r="V513">
        <v>5</v>
      </c>
      <c r="W513">
        <f>Table1[[#This Row],[Profit]]/Table1[[#This Row],[Sales]]</f>
        <v>0.3</v>
      </c>
    </row>
    <row r="514" spans="1:23" x14ac:dyDescent="0.25">
      <c r="A514" t="s">
        <v>1301</v>
      </c>
      <c r="B514" s="1">
        <v>45918</v>
      </c>
      <c r="C514" t="s">
        <v>543</v>
      </c>
      <c r="D514" t="s">
        <v>1302</v>
      </c>
      <c r="E514" t="s">
        <v>25</v>
      </c>
      <c r="F514" t="s">
        <v>26</v>
      </c>
      <c r="G514" t="s">
        <v>27</v>
      </c>
      <c r="H514" t="s">
        <v>28</v>
      </c>
      <c r="I514" t="s">
        <v>29</v>
      </c>
      <c r="J514">
        <v>5</v>
      </c>
      <c r="K514">
        <v>800</v>
      </c>
      <c r="L514">
        <v>0</v>
      </c>
      <c r="M514">
        <v>4000</v>
      </c>
      <c r="N514">
        <v>2800</v>
      </c>
      <c r="O514">
        <v>1200</v>
      </c>
      <c r="P514" t="s">
        <v>30</v>
      </c>
      <c r="Q514" t="s">
        <v>30</v>
      </c>
      <c r="R514" t="s">
        <v>31</v>
      </c>
      <c r="S514" t="s">
        <v>32</v>
      </c>
      <c r="T514" t="s">
        <v>56</v>
      </c>
      <c r="U514" t="s">
        <v>34</v>
      </c>
      <c r="V514">
        <v>4</v>
      </c>
      <c r="W514">
        <f>Table1[[#This Row],[Profit]]/Table1[[#This Row],[Sales]]</f>
        <v>0.3</v>
      </c>
    </row>
    <row r="515" spans="1:23" x14ac:dyDescent="0.25">
      <c r="A515" t="s">
        <v>1303</v>
      </c>
      <c r="B515" s="1">
        <v>45970</v>
      </c>
      <c r="C515" t="s">
        <v>1304</v>
      </c>
      <c r="D515" t="s">
        <v>1305</v>
      </c>
      <c r="E515" t="s">
        <v>67</v>
      </c>
      <c r="F515" t="s">
        <v>68</v>
      </c>
      <c r="G515" t="s">
        <v>27</v>
      </c>
      <c r="H515" t="s">
        <v>28</v>
      </c>
      <c r="I515" t="s">
        <v>69</v>
      </c>
      <c r="J515">
        <v>2</v>
      </c>
      <c r="K515">
        <v>1500</v>
      </c>
      <c r="L515">
        <v>10</v>
      </c>
      <c r="M515">
        <v>2700</v>
      </c>
      <c r="N515">
        <v>2100</v>
      </c>
      <c r="O515">
        <v>600</v>
      </c>
      <c r="P515" t="s">
        <v>95</v>
      </c>
      <c r="Q515" t="s">
        <v>96</v>
      </c>
      <c r="R515" t="s">
        <v>45</v>
      </c>
      <c r="S515" t="s">
        <v>60</v>
      </c>
      <c r="T515" t="s">
        <v>47</v>
      </c>
      <c r="U515" t="s">
        <v>48</v>
      </c>
      <c r="V515">
        <v>3</v>
      </c>
      <c r="W515">
        <f>Table1[[#This Row],[Profit]]/Table1[[#This Row],[Sales]]</f>
        <v>0.22222222222222221</v>
      </c>
    </row>
    <row r="516" spans="1:23" x14ac:dyDescent="0.25">
      <c r="A516" t="s">
        <v>1306</v>
      </c>
      <c r="B516" s="1">
        <v>46011</v>
      </c>
      <c r="C516" t="s">
        <v>1307</v>
      </c>
      <c r="D516" t="s">
        <v>1308</v>
      </c>
      <c r="E516" t="s">
        <v>38</v>
      </c>
      <c r="F516" t="s">
        <v>39</v>
      </c>
      <c r="G516" t="s">
        <v>40</v>
      </c>
      <c r="H516" t="s">
        <v>41</v>
      </c>
      <c r="I516" t="s">
        <v>42</v>
      </c>
      <c r="J516">
        <v>2</v>
      </c>
      <c r="K516">
        <v>4500</v>
      </c>
      <c r="L516">
        <v>0</v>
      </c>
      <c r="M516">
        <v>9000</v>
      </c>
      <c r="N516">
        <v>6300</v>
      </c>
      <c r="O516">
        <v>2700</v>
      </c>
      <c r="P516" t="s">
        <v>43</v>
      </c>
      <c r="Q516" t="s">
        <v>44</v>
      </c>
      <c r="R516" t="s">
        <v>45</v>
      </c>
      <c r="S516" t="s">
        <v>60</v>
      </c>
      <c r="T516" t="s">
        <v>56</v>
      </c>
      <c r="U516" t="s">
        <v>48</v>
      </c>
      <c r="V516">
        <v>5</v>
      </c>
      <c r="W516">
        <f>Table1[[#This Row],[Profit]]/Table1[[#This Row],[Sales]]</f>
        <v>0.3</v>
      </c>
    </row>
    <row r="517" spans="1:23" x14ac:dyDescent="0.25">
      <c r="A517" t="s">
        <v>1309</v>
      </c>
      <c r="B517" s="1">
        <v>45823</v>
      </c>
      <c r="C517" t="s">
        <v>639</v>
      </c>
      <c r="D517" t="s">
        <v>249</v>
      </c>
      <c r="E517" t="s">
        <v>38</v>
      </c>
      <c r="F517" t="s">
        <v>39</v>
      </c>
      <c r="G517" t="s">
        <v>40</v>
      </c>
      <c r="H517" t="s">
        <v>41</v>
      </c>
      <c r="I517" t="s">
        <v>42</v>
      </c>
      <c r="J517">
        <v>2</v>
      </c>
      <c r="K517">
        <v>4500</v>
      </c>
      <c r="L517">
        <v>15</v>
      </c>
      <c r="M517">
        <v>7650</v>
      </c>
      <c r="N517">
        <v>6300</v>
      </c>
      <c r="O517">
        <v>1350</v>
      </c>
      <c r="P517" t="s">
        <v>30</v>
      </c>
      <c r="Q517" t="s">
        <v>30</v>
      </c>
      <c r="R517" t="s">
        <v>31</v>
      </c>
      <c r="S517" t="s">
        <v>32</v>
      </c>
      <c r="T517" t="s">
        <v>56</v>
      </c>
      <c r="U517" t="s">
        <v>48</v>
      </c>
      <c r="V517">
        <v>2</v>
      </c>
      <c r="W517">
        <f>Table1[[#This Row],[Profit]]/Table1[[#This Row],[Sales]]</f>
        <v>0.17647058823529413</v>
      </c>
    </row>
    <row r="518" spans="1:23" x14ac:dyDescent="0.25">
      <c r="A518" t="s">
        <v>1310</v>
      </c>
      <c r="B518" s="1">
        <v>45871</v>
      </c>
      <c r="C518" t="s">
        <v>1180</v>
      </c>
      <c r="D518" t="s">
        <v>1311</v>
      </c>
      <c r="E518" t="s">
        <v>25</v>
      </c>
      <c r="F518" t="s">
        <v>26</v>
      </c>
      <c r="G518" t="s">
        <v>27</v>
      </c>
      <c r="H518" t="s">
        <v>28</v>
      </c>
      <c r="I518" t="s">
        <v>29</v>
      </c>
      <c r="J518">
        <v>1</v>
      </c>
      <c r="K518">
        <v>800</v>
      </c>
      <c r="L518">
        <v>10</v>
      </c>
      <c r="M518">
        <v>720</v>
      </c>
      <c r="N518">
        <v>560</v>
      </c>
      <c r="O518">
        <v>160</v>
      </c>
      <c r="P518" t="s">
        <v>30</v>
      </c>
      <c r="Q518" t="s">
        <v>30</v>
      </c>
      <c r="R518" t="s">
        <v>31</v>
      </c>
      <c r="S518" t="s">
        <v>32</v>
      </c>
      <c r="T518" t="s">
        <v>56</v>
      </c>
      <c r="U518" t="s">
        <v>48</v>
      </c>
      <c r="V518">
        <v>3</v>
      </c>
      <c r="W518">
        <f>Table1[[#This Row],[Profit]]/Table1[[#This Row],[Sales]]</f>
        <v>0.22222222222222221</v>
      </c>
    </row>
    <row r="519" spans="1:23" x14ac:dyDescent="0.25">
      <c r="A519" t="s">
        <v>1312</v>
      </c>
      <c r="B519" s="1">
        <v>45734</v>
      </c>
      <c r="C519" t="s">
        <v>1313</v>
      </c>
      <c r="D519" t="s">
        <v>825</v>
      </c>
      <c r="E519" t="s">
        <v>73</v>
      </c>
      <c r="F519" t="s">
        <v>74</v>
      </c>
      <c r="G519" t="s">
        <v>27</v>
      </c>
      <c r="H519" t="s">
        <v>75</v>
      </c>
      <c r="I519" t="s">
        <v>76</v>
      </c>
      <c r="J519">
        <v>4</v>
      </c>
      <c r="K519">
        <v>3500</v>
      </c>
      <c r="L519">
        <v>0</v>
      </c>
      <c r="M519">
        <v>14000</v>
      </c>
      <c r="N519">
        <v>9800</v>
      </c>
      <c r="O519">
        <v>4200</v>
      </c>
      <c r="P519" t="s">
        <v>30</v>
      </c>
      <c r="Q519" t="s">
        <v>30</v>
      </c>
      <c r="R519" t="s">
        <v>31</v>
      </c>
      <c r="S519" t="s">
        <v>46</v>
      </c>
      <c r="T519" t="s">
        <v>47</v>
      </c>
      <c r="U519" t="s">
        <v>48</v>
      </c>
      <c r="V519">
        <v>3</v>
      </c>
      <c r="W519">
        <f>Table1[[#This Row],[Profit]]/Table1[[#This Row],[Sales]]</f>
        <v>0.3</v>
      </c>
    </row>
    <row r="520" spans="1:23" x14ac:dyDescent="0.25">
      <c r="A520" t="s">
        <v>1314</v>
      </c>
      <c r="B520" s="1">
        <v>45796</v>
      </c>
      <c r="C520" t="s">
        <v>1315</v>
      </c>
      <c r="D520" t="s">
        <v>271</v>
      </c>
      <c r="E520" t="s">
        <v>25</v>
      </c>
      <c r="F520" t="s">
        <v>26</v>
      </c>
      <c r="G520" t="s">
        <v>27</v>
      </c>
      <c r="H520" t="s">
        <v>28</v>
      </c>
      <c r="I520" t="s">
        <v>29</v>
      </c>
      <c r="J520">
        <v>4</v>
      </c>
      <c r="K520">
        <v>800</v>
      </c>
      <c r="L520">
        <v>10</v>
      </c>
      <c r="M520">
        <v>2880</v>
      </c>
      <c r="N520">
        <v>2240</v>
      </c>
      <c r="O520">
        <v>640</v>
      </c>
      <c r="P520" t="s">
        <v>109</v>
      </c>
      <c r="Q520" t="s">
        <v>110</v>
      </c>
      <c r="R520" t="s">
        <v>111</v>
      </c>
      <c r="S520" t="s">
        <v>60</v>
      </c>
      <c r="T520" t="s">
        <v>47</v>
      </c>
      <c r="U520" t="s">
        <v>48</v>
      </c>
      <c r="V520">
        <v>3</v>
      </c>
      <c r="W520">
        <f>Table1[[#This Row],[Profit]]/Table1[[#This Row],[Sales]]</f>
        <v>0.22222222222222221</v>
      </c>
    </row>
    <row r="521" spans="1:23" x14ac:dyDescent="0.25">
      <c r="A521" t="s">
        <v>1316</v>
      </c>
      <c r="B521" s="1">
        <v>45976</v>
      </c>
      <c r="C521" t="s">
        <v>140</v>
      </c>
      <c r="D521" t="s">
        <v>330</v>
      </c>
      <c r="E521" t="s">
        <v>67</v>
      </c>
      <c r="F521" t="s">
        <v>68</v>
      </c>
      <c r="G521" t="s">
        <v>27</v>
      </c>
      <c r="H521" t="s">
        <v>28</v>
      </c>
      <c r="I521" t="s">
        <v>69</v>
      </c>
      <c r="J521">
        <v>1</v>
      </c>
      <c r="K521">
        <v>1500</v>
      </c>
      <c r="L521">
        <v>10</v>
      </c>
      <c r="M521">
        <v>1350</v>
      </c>
      <c r="N521">
        <v>1050</v>
      </c>
      <c r="O521">
        <v>300</v>
      </c>
      <c r="P521" t="s">
        <v>43</v>
      </c>
      <c r="Q521" t="s">
        <v>44</v>
      </c>
      <c r="R521" t="s">
        <v>45</v>
      </c>
      <c r="S521" t="s">
        <v>32</v>
      </c>
      <c r="T521" t="s">
        <v>56</v>
      </c>
      <c r="U521" t="s">
        <v>34</v>
      </c>
      <c r="V521">
        <v>1</v>
      </c>
      <c r="W521">
        <f>Table1[[#This Row],[Profit]]/Table1[[#This Row],[Sales]]</f>
        <v>0.22222222222222221</v>
      </c>
    </row>
    <row r="522" spans="1:23" x14ac:dyDescent="0.25">
      <c r="A522" t="s">
        <v>1317</v>
      </c>
      <c r="B522" s="1">
        <v>45875</v>
      </c>
      <c r="C522" t="s">
        <v>1318</v>
      </c>
      <c r="D522" t="s">
        <v>570</v>
      </c>
      <c r="E522" t="s">
        <v>25</v>
      </c>
      <c r="F522" t="s">
        <v>26</v>
      </c>
      <c r="G522" t="s">
        <v>27</v>
      </c>
      <c r="H522" t="s">
        <v>28</v>
      </c>
      <c r="I522" t="s">
        <v>29</v>
      </c>
      <c r="J522">
        <v>2</v>
      </c>
      <c r="K522">
        <v>800</v>
      </c>
      <c r="L522">
        <v>15</v>
      </c>
      <c r="M522">
        <v>1360</v>
      </c>
      <c r="N522">
        <v>1120</v>
      </c>
      <c r="O522">
        <v>240</v>
      </c>
      <c r="P522" t="s">
        <v>109</v>
      </c>
      <c r="Q522" t="s">
        <v>110</v>
      </c>
      <c r="R522" t="s">
        <v>111</v>
      </c>
      <c r="S522" t="s">
        <v>60</v>
      </c>
      <c r="T522" t="s">
        <v>56</v>
      </c>
      <c r="U522" t="s">
        <v>48</v>
      </c>
      <c r="V522">
        <v>4</v>
      </c>
      <c r="W522">
        <f>Table1[[#This Row],[Profit]]/Table1[[#This Row],[Sales]]</f>
        <v>0.17647058823529413</v>
      </c>
    </row>
    <row r="523" spans="1:23" x14ac:dyDescent="0.25">
      <c r="A523" t="s">
        <v>1319</v>
      </c>
      <c r="B523" s="1">
        <v>45935</v>
      </c>
      <c r="C523" t="s">
        <v>1320</v>
      </c>
      <c r="D523" t="s">
        <v>1321</v>
      </c>
      <c r="E523" t="s">
        <v>73</v>
      </c>
      <c r="F523" t="s">
        <v>74</v>
      </c>
      <c r="G523" t="s">
        <v>27</v>
      </c>
      <c r="H523" t="s">
        <v>75</v>
      </c>
      <c r="I523" t="s">
        <v>76</v>
      </c>
      <c r="J523">
        <v>1</v>
      </c>
      <c r="K523">
        <v>3500</v>
      </c>
      <c r="L523">
        <v>10</v>
      </c>
      <c r="M523">
        <v>3150</v>
      </c>
      <c r="N523">
        <v>2450</v>
      </c>
      <c r="O523">
        <v>700</v>
      </c>
      <c r="P523" t="s">
        <v>95</v>
      </c>
      <c r="Q523" t="s">
        <v>96</v>
      </c>
      <c r="R523" t="s">
        <v>45</v>
      </c>
      <c r="S523" t="s">
        <v>32</v>
      </c>
      <c r="T523" t="s">
        <v>56</v>
      </c>
      <c r="U523" t="s">
        <v>34</v>
      </c>
      <c r="V523">
        <v>2</v>
      </c>
      <c r="W523">
        <f>Table1[[#This Row],[Profit]]/Table1[[#This Row],[Sales]]</f>
        <v>0.22222222222222221</v>
      </c>
    </row>
    <row r="524" spans="1:23" x14ac:dyDescent="0.25">
      <c r="A524" t="s">
        <v>1322</v>
      </c>
      <c r="B524" s="1">
        <v>45923</v>
      </c>
      <c r="C524" t="s">
        <v>1323</v>
      </c>
      <c r="D524" t="s">
        <v>1302</v>
      </c>
      <c r="E524" t="s">
        <v>52</v>
      </c>
      <c r="F524" t="s">
        <v>53</v>
      </c>
      <c r="G524" t="s">
        <v>27</v>
      </c>
      <c r="H524" t="s">
        <v>54</v>
      </c>
      <c r="I524" t="s">
        <v>55</v>
      </c>
      <c r="J524">
        <v>3</v>
      </c>
      <c r="K524">
        <v>55000</v>
      </c>
      <c r="L524">
        <v>15</v>
      </c>
      <c r="M524">
        <v>140250</v>
      </c>
      <c r="N524">
        <v>115500</v>
      </c>
      <c r="O524">
        <v>24750.000000000011</v>
      </c>
      <c r="P524" t="s">
        <v>109</v>
      </c>
      <c r="Q524" t="s">
        <v>110</v>
      </c>
      <c r="R524" t="s">
        <v>111</v>
      </c>
      <c r="S524" t="s">
        <v>32</v>
      </c>
      <c r="T524" t="s">
        <v>33</v>
      </c>
      <c r="U524" t="s">
        <v>48</v>
      </c>
      <c r="V524">
        <v>3</v>
      </c>
      <c r="W524">
        <f>Table1[[#This Row],[Profit]]/Table1[[#This Row],[Sales]]</f>
        <v>0.17647058823529418</v>
      </c>
    </row>
    <row r="525" spans="1:23" x14ac:dyDescent="0.25">
      <c r="A525" t="s">
        <v>1324</v>
      </c>
      <c r="B525" s="1">
        <v>45947</v>
      </c>
      <c r="C525" t="s">
        <v>1325</v>
      </c>
      <c r="D525" t="s">
        <v>379</v>
      </c>
      <c r="E525" t="s">
        <v>67</v>
      </c>
      <c r="F525" t="s">
        <v>68</v>
      </c>
      <c r="G525" t="s">
        <v>27</v>
      </c>
      <c r="H525" t="s">
        <v>28</v>
      </c>
      <c r="I525" t="s">
        <v>69</v>
      </c>
      <c r="J525">
        <v>1</v>
      </c>
      <c r="K525">
        <v>1500</v>
      </c>
      <c r="L525">
        <v>0</v>
      </c>
      <c r="M525">
        <v>1500</v>
      </c>
      <c r="N525">
        <v>1050</v>
      </c>
      <c r="O525">
        <v>450</v>
      </c>
      <c r="P525" t="s">
        <v>43</v>
      </c>
      <c r="Q525" t="s">
        <v>44</v>
      </c>
      <c r="R525" t="s">
        <v>45</v>
      </c>
      <c r="S525" t="s">
        <v>32</v>
      </c>
      <c r="T525" t="s">
        <v>56</v>
      </c>
      <c r="U525" t="s">
        <v>48</v>
      </c>
      <c r="V525">
        <v>2</v>
      </c>
      <c r="W525">
        <f>Table1[[#This Row],[Profit]]/Table1[[#This Row],[Sales]]</f>
        <v>0.3</v>
      </c>
    </row>
    <row r="526" spans="1:23" x14ac:dyDescent="0.25">
      <c r="A526" t="s">
        <v>1326</v>
      </c>
      <c r="B526" s="1">
        <v>45683</v>
      </c>
      <c r="C526" t="s">
        <v>484</v>
      </c>
      <c r="D526" t="s">
        <v>1327</v>
      </c>
      <c r="E526" t="s">
        <v>67</v>
      </c>
      <c r="F526" t="s">
        <v>68</v>
      </c>
      <c r="G526" t="s">
        <v>27</v>
      </c>
      <c r="H526" t="s">
        <v>28</v>
      </c>
      <c r="I526" t="s">
        <v>69</v>
      </c>
      <c r="J526">
        <v>3</v>
      </c>
      <c r="K526">
        <v>1500</v>
      </c>
      <c r="L526">
        <v>15</v>
      </c>
      <c r="M526">
        <v>3825</v>
      </c>
      <c r="N526">
        <v>3150</v>
      </c>
      <c r="O526">
        <v>675</v>
      </c>
      <c r="P526" t="s">
        <v>95</v>
      </c>
      <c r="Q526" t="s">
        <v>96</v>
      </c>
      <c r="R526" t="s">
        <v>45</v>
      </c>
      <c r="S526" t="s">
        <v>32</v>
      </c>
      <c r="T526" t="s">
        <v>33</v>
      </c>
      <c r="U526" t="s">
        <v>34</v>
      </c>
      <c r="V526">
        <v>3</v>
      </c>
      <c r="W526">
        <f>Table1[[#This Row],[Profit]]/Table1[[#This Row],[Sales]]</f>
        <v>0.17647058823529413</v>
      </c>
    </row>
    <row r="527" spans="1:23" x14ac:dyDescent="0.25">
      <c r="A527" t="s">
        <v>1328</v>
      </c>
      <c r="B527" s="1">
        <v>46008</v>
      </c>
      <c r="C527" t="s">
        <v>731</v>
      </c>
      <c r="D527" t="s">
        <v>132</v>
      </c>
      <c r="E527" t="s">
        <v>38</v>
      </c>
      <c r="F527" t="s">
        <v>39</v>
      </c>
      <c r="G527" t="s">
        <v>40</v>
      </c>
      <c r="H527" t="s">
        <v>41</v>
      </c>
      <c r="I527" t="s">
        <v>42</v>
      </c>
      <c r="J527">
        <v>2</v>
      </c>
      <c r="K527">
        <v>4500</v>
      </c>
      <c r="L527">
        <v>15</v>
      </c>
      <c r="M527">
        <v>7650</v>
      </c>
      <c r="N527">
        <v>6300</v>
      </c>
      <c r="O527">
        <v>1350</v>
      </c>
      <c r="P527" t="s">
        <v>95</v>
      </c>
      <c r="Q527" t="s">
        <v>96</v>
      </c>
      <c r="R527" t="s">
        <v>45</v>
      </c>
      <c r="S527" t="s">
        <v>46</v>
      </c>
      <c r="T527" t="s">
        <v>56</v>
      </c>
      <c r="U527" t="s">
        <v>34</v>
      </c>
      <c r="V527">
        <v>1</v>
      </c>
      <c r="W527">
        <f>Table1[[#This Row],[Profit]]/Table1[[#This Row],[Sales]]</f>
        <v>0.17647058823529413</v>
      </c>
    </row>
    <row r="528" spans="1:23" x14ac:dyDescent="0.25">
      <c r="A528" t="s">
        <v>1329</v>
      </c>
      <c r="B528" s="1">
        <v>45940</v>
      </c>
      <c r="C528" t="s">
        <v>569</v>
      </c>
      <c r="D528" t="s">
        <v>1330</v>
      </c>
      <c r="E528" t="s">
        <v>25</v>
      </c>
      <c r="F528" t="s">
        <v>26</v>
      </c>
      <c r="G528" t="s">
        <v>27</v>
      </c>
      <c r="H528" t="s">
        <v>28</v>
      </c>
      <c r="I528" t="s">
        <v>29</v>
      </c>
      <c r="J528">
        <v>4</v>
      </c>
      <c r="K528">
        <v>800</v>
      </c>
      <c r="L528">
        <v>5</v>
      </c>
      <c r="M528">
        <v>3040</v>
      </c>
      <c r="N528">
        <v>2240</v>
      </c>
      <c r="O528">
        <v>800</v>
      </c>
      <c r="P528" t="s">
        <v>43</v>
      </c>
      <c r="Q528" t="s">
        <v>44</v>
      </c>
      <c r="R528" t="s">
        <v>45</v>
      </c>
      <c r="S528" t="s">
        <v>60</v>
      </c>
      <c r="T528" t="s">
        <v>47</v>
      </c>
      <c r="U528" t="s">
        <v>34</v>
      </c>
      <c r="V528">
        <v>4</v>
      </c>
      <c r="W528">
        <f>Table1[[#This Row],[Profit]]/Table1[[#This Row],[Sales]]</f>
        <v>0.26315789473684209</v>
      </c>
    </row>
    <row r="529" spans="1:23" x14ac:dyDescent="0.25">
      <c r="A529" t="s">
        <v>1331</v>
      </c>
      <c r="B529" s="1">
        <v>45718</v>
      </c>
      <c r="C529" t="s">
        <v>1332</v>
      </c>
      <c r="D529" t="s">
        <v>1228</v>
      </c>
      <c r="E529" t="s">
        <v>25</v>
      </c>
      <c r="F529" t="s">
        <v>26</v>
      </c>
      <c r="G529" t="s">
        <v>27</v>
      </c>
      <c r="H529" t="s">
        <v>28</v>
      </c>
      <c r="I529" t="s">
        <v>29</v>
      </c>
      <c r="J529">
        <v>2</v>
      </c>
      <c r="K529">
        <v>800</v>
      </c>
      <c r="L529">
        <v>10</v>
      </c>
      <c r="M529">
        <v>1440</v>
      </c>
      <c r="N529">
        <v>1120</v>
      </c>
      <c r="O529">
        <v>320</v>
      </c>
      <c r="P529" t="s">
        <v>43</v>
      </c>
      <c r="Q529" t="s">
        <v>44</v>
      </c>
      <c r="R529" t="s">
        <v>45</v>
      </c>
      <c r="S529" t="s">
        <v>60</v>
      </c>
      <c r="T529" t="s">
        <v>56</v>
      </c>
      <c r="U529" t="s">
        <v>34</v>
      </c>
      <c r="V529">
        <v>1</v>
      </c>
      <c r="W529">
        <f>Table1[[#This Row],[Profit]]/Table1[[#This Row],[Sales]]</f>
        <v>0.22222222222222221</v>
      </c>
    </row>
    <row r="530" spans="1:23" x14ac:dyDescent="0.25">
      <c r="A530" t="s">
        <v>1333</v>
      </c>
      <c r="B530" s="1">
        <v>45947</v>
      </c>
      <c r="C530" t="s">
        <v>131</v>
      </c>
      <c r="D530" t="s">
        <v>257</v>
      </c>
      <c r="E530" t="s">
        <v>25</v>
      </c>
      <c r="F530" t="s">
        <v>26</v>
      </c>
      <c r="G530" t="s">
        <v>27</v>
      </c>
      <c r="H530" t="s">
        <v>28</v>
      </c>
      <c r="I530" t="s">
        <v>29</v>
      </c>
      <c r="J530">
        <v>2</v>
      </c>
      <c r="K530">
        <v>800</v>
      </c>
      <c r="L530">
        <v>15</v>
      </c>
      <c r="M530">
        <v>1360</v>
      </c>
      <c r="N530">
        <v>1120</v>
      </c>
      <c r="O530">
        <v>240</v>
      </c>
      <c r="P530" t="s">
        <v>30</v>
      </c>
      <c r="Q530" t="s">
        <v>30</v>
      </c>
      <c r="R530" t="s">
        <v>31</v>
      </c>
      <c r="S530" t="s">
        <v>60</v>
      </c>
      <c r="T530" t="s">
        <v>56</v>
      </c>
      <c r="U530" t="s">
        <v>34</v>
      </c>
      <c r="V530">
        <v>3</v>
      </c>
      <c r="W530">
        <f>Table1[[#This Row],[Profit]]/Table1[[#This Row],[Sales]]</f>
        <v>0.17647058823529413</v>
      </c>
    </row>
    <row r="531" spans="1:23" x14ac:dyDescent="0.25">
      <c r="A531" t="s">
        <v>1334</v>
      </c>
      <c r="B531" s="1">
        <v>45906</v>
      </c>
      <c r="C531" t="s">
        <v>1335</v>
      </c>
      <c r="D531" t="s">
        <v>415</v>
      </c>
      <c r="E531" t="s">
        <v>73</v>
      </c>
      <c r="F531" t="s">
        <v>74</v>
      </c>
      <c r="G531" t="s">
        <v>27</v>
      </c>
      <c r="H531" t="s">
        <v>75</v>
      </c>
      <c r="I531" t="s">
        <v>76</v>
      </c>
      <c r="J531">
        <v>1</v>
      </c>
      <c r="K531">
        <v>3500</v>
      </c>
      <c r="L531">
        <v>0</v>
      </c>
      <c r="M531">
        <v>3500</v>
      </c>
      <c r="N531">
        <v>2450</v>
      </c>
      <c r="O531">
        <v>1050</v>
      </c>
      <c r="P531" t="s">
        <v>30</v>
      </c>
      <c r="Q531" t="s">
        <v>30</v>
      </c>
      <c r="R531" t="s">
        <v>31</v>
      </c>
      <c r="S531" t="s">
        <v>60</v>
      </c>
      <c r="T531" t="s">
        <v>56</v>
      </c>
      <c r="U531" t="s">
        <v>34</v>
      </c>
      <c r="V531">
        <v>1</v>
      </c>
      <c r="W531">
        <f>Table1[[#This Row],[Profit]]/Table1[[#This Row],[Sales]]</f>
        <v>0.3</v>
      </c>
    </row>
    <row r="532" spans="1:23" x14ac:dyDescent="0.25">
      <c r="A532" t="s">
        <v>1336</v>
      </c>
      <c r="B532" s="1">
        <v>45709</v>
      </c>
      <c r="C532" t="s">
        <v>1337</v>
      </c>
      <c r="D532" t="s">
        <v>1338</v>
      </c>
      <c r="E532" t="s">
        <v>25</v>
      </c>
      <c r="F532" t="s">
        <v>26</v>
      </c>
      <c r="G532" t="s">
        <v>27</v>
      </c>
      <c r="H532" t="s">
        <v>28</v>
      </c>
      <c r="I532" t="s">
        <v>29</v>
      </c>
      <c r="J532">
        <v>4</v>
      </c>
      <c r="K532">
        <v>800</v>
      </c>
      <c r="L532">
        <v>15</v>
      </c>
      <c r="M532">
        <v>2720</v>
      </c>
      <c r="N532">
        <v>2240</v>
      </c>
      <c r="O532">
        <v>480</v>
      </c>
      <c r="P532" t="s">
        <v>109</v>
      </c>
      <c r="Q532" t="s">
        <v>110</v>
      </c>
      <c r="R532" t="s">
        <v>111</v>
      </c>
      <c r="S532" t="s">
        <v>32</v>
      </c>
      <c r="T532" t="s">
        <v>56</v>
      </c>
      <c r="U532" t="s">
        <v>34</v>
      </c>
      <c r="V532">
        <v>4</v>
      </c>
      <c r="W532">
        <f>Table1[[#This Row],[Profit]]/Table1[[#This Row],[Sales]]</f>
        <v>0.17647058823529413</v>
      </c>
    </row>
    <row r="533" spans="1:23" x14ac:dyDescent="0.25">
      <c r="A533" t="s">
        <v>1339</v>
      </c>
      <c r="B533" s="1">
        <v>45864</v>
      </c>
      <c r="C533" t="s">
        <v>431</v>
      </c>
      <c r="D533" t="s">
        <v>99</v>
      </c>
      <c r="E533" t="s">
        <v>52</v>
      </c>
      <c r="F533" t="s">
        <v>53</v>
      </c>
      <c r="G533" t="s">
        <v>27</v>
      </c>
      <c r="H533" t="s">
        <v>54</v>
      </c>
      <c r="I533" t="s">
        <v>55</v>
      </c>
      <c r="J533">
        <v>2</v>
      </c>
      <c r="K533">
        <v>55000</v>
      </c>
      <c r="L533">
        <v>15</v>
      </c>
      <c r="M533">
        <v>93500</v>
      </c>
      <c r="N533">
        <v>77000</v>
      </c>
      <c r="O533">
        <v>16500</v>
      </c>
      <c r="P533" t="s">
        <v>30</v>
      </c>
      <c r="Q533" t="s">
        <v>30</v>
      </c>
      <c r="R533" t="s">
        <v>31</v>
      </c>
      <c r="S533" t="s">
        <v>60</v>
      </c>
      <c r="T533" t="s">
        <v>47</v>
      </c>
      <c r="U533" t="s">
        <v>34</v>
      </c>
      <c r="V533">
        <v>4</v>
      </c>
      <c r="W533">
        <f>Table1[[#This Row],[Profit]]/Table1[[#This Row],[Sales]]</f>
        <v>0.17647058823529413</v>
      </c>
    </row>
    <row r="534" spans="1:23" x14ac:dyDescent="0.25">
      <c r="A534" t="s">
        <v>1340</v>
      </c>
      <c r="B534" s="1">
        <v>45807</v>
      </c>
      <c r="C534" t="s">
        <v>87</v>
      </c>
      <c r="D534" t="s">
        <v>643</v>
      </c>
      <c r="E534" t="s">
        <v>52</v>
      </c>
      <c r="F534" t="s">
        <v>53</v>
      </c>
      <c r="G534" t="s">
        <v>27</v>
      </c>
      <c r="H534" t="s">
        <v>54</v>
      </c>
      <c r="I534" t="s">
        <v>55</v>
      </c>
      <c r="J534">
        <v>5</v>
      </c>
      <c r="K534">
        <v>55000</v>
      </c>
      <c r="L534">
        <v>10</v>
      </c>
      <c r="M534">
        <v>247500</v>
      </c>
      <c r="N534">
        <v>192500</v>
      </c>
      <c r="O534">
        <v>55000</v>
      </c>
      <c r="P534" t="s">
        <v>43</v>
      </c>
      <c r="Q534" t="s">
        <v>44</v>
      </c>
      <c r="R534" t="s">
        <v>45</v>
      </c>
      <c r="S534" t="s">
        <v>60</v>
      </c>
      <c r="T534" t="s">
        <v>56</v>
      </c>
      <c r="U534" t="s">
        <v>34</v>
      </c>
      <c r="V534">
        <v>4</v>
      </c>
      <c r="W534">
        <f>Table1[[#This Row],[Profit]]/Table1[[#This Row],[Sales]]</f>
        <v>0.22222222222222221</v>
      </c>
    </row>
    <row r="535" spans="1:23" x14ac:dyDescent="0.25">
      <c r="A535" t="s">
        <v>1341</v>
      </c>
      <c r="B535" s="1">
        <v>46011</v>
      </c>
      <c r="C535" t="s">
        <v>1342</v>
      </c>
      <c r="D535" t="s">
        <v>231</v>
      </c>
      <c r="E535" t="s">
        <v>52</v>
      </c>
      <c r="F535" t="s">
        <v>53</v>
      </c>
      <c r="G535" t="s">
        <v>27</v>
      </c>
      <c r="H535" t="s">
        <v>54</v>
      </c>
      <c r="I535" t="s">
        <v>55</v>
      </c>
      <c r="J535">
        <v>3</v>
      </c>
      <c r="K535">
        <v>55000</v>
      </c>
      <c r="L535">
        <v>5</v>
      </c>
      <c r="M535">
        <v>156750</v>
      </c>
      <c r="N535">
        <v>115500</v>
      </c>
      <c r="O535">
        <v>41250.000000000007</v>
      </c>
      <c r="P535" t="s">
        <v>95</v>
      </c>
      <c r="Q535" t="s">
        <v>96</v>
      </c>
      <c r="R535" t="s">
        <v>45</v>
      </c>
      <c r="S535" t="s">
        <v>32</v>
      </c>
      <c r="T535" t="s">
        <v>56</v>
      </c>
      <c r="U535" t="s">
        <v>34</v>
      </c>
      <c r="V535">
        <v>3</v>
      </c>
      <c r="W535">
        <f>Table1[[#This Row],[Profit]]/Table1[[#This Row],[Sales]]</f>
        <v>0.26315789473684215</v>
      </c>
    </row>
    <row r="536" spans="1:23" x14ac:dyDescent="0.25">
      <c r="A536" t="s">
        <v>1343</v>
      </c>
      <c r="B536" s="1">
        <v>45909</v>
      </c>
      <c r="C536" t="s">
        <v>1344</v>
      </c>
      <c r="D536" t="s">
        <v>174</v>
      </c>
      <c r="E536" t="s">
        <v>73</v>
      </c>
      <c r="F536" t="s">
        <v>74</v>
      </c>
      <c r="G536" t="s">
        <v>27</v>
      </c>
      <c r="H536" t="s">
        <v>75</v>
      </c>
      <c r="I536" t="s">
        <v>76</v>
      </c>
      <c r="J536">
        <v>1</v>
      </c>
      <c r="K536">
        <v>3500</v>
      </c>
      <c r="L536">
        <v>15</v>
      </c>
      <c r="M536">
        <v>2975</v>
      </c>
      <c r="N536">
        <v>2450</v>
      </c>
      <c r="O536">
        <v>525</v>
      </c>
      <c r="P536" t="s">
        <v>95</v>
      </c>
      <c r="Q536" t="s">
        <v>96</v>
      </c>
      <c r="R536" t="s">
        <v>45</v>
      </c>
      <c r="S536" t="s">
        <v>60</v>
      </c>
      <c r="T536" t="s">
        <v>33</v>
      </c>
      <c r="U536" t="s">
        <v>48</v>
      </c>
      <c r="V536">
        <v>1</v>
      </c>
      <c r="W536">
        <f>Table1[[#This Row],[Profit]]/Table1[[#This Row],[Sales]]</f>
        <v>0.17647058823529413</v>
      </c>
    </row>
    <row r="537" spans="1:23" x14ac:dyDescent="0.25">
      <c r="A537" t="s">
        <v>1345</v>
      </c>
      <c r="B537" s="1">
        <v>45660</v>
      </c>
      <c r="C537" t="s">
        <v>1346</v>
      </c>
      <c r="D537" t="s">
        <v>1069</v>
      </c>
      <c r="E537" t="s">
        <v>25</v>
      </c>
      <c r="F537" t="s">
        <v>26</v>
      </c>
      <c r="G537" t="s">
        <v>27</v>
      </c>
      <c r="H537" t="s">
        <v>28</v>
      </c>
      <c r="I537" t="s">
        <v>29</v>
      </c>
      <c r="J537">
        <v>2</v>
      </c>
      <c r="K537">
        <v>800</v>
      </c>
      <c r="L537">
        <v>5</v>
      </c>
      <c r="M537">
        <v>1520</v>
      </c>
      <c r="N537">
        <v>1120</v>
      </c>
      <c r="O537">
        <v>400</v>
      </c>
      <c r="P537" t="s">
        <v>95</v>
      </c>
      <c r="Q537" t="s">
        <v>96</v>
      </c>
      <c r="R537" t="s">
        <v>45</v>
      </c>
      <c r="S537" t="s">
        <v>32</v>
      </c>
      <c r="T537" t="s">
        <v>56</v>
      </c>
      <c r="U537" t="s">
        <v>34</v>
      </c>
      <c r="V537">
        <v>1</v>
      </c>
      <c r="W537">
        <f>Table1[[#This Row],[Profit]]/Table1[[#This Row],[Sales]]</f>
        <v>0.26315789473684209</v>
      </c>
    </row>
    <row r="538" spans="1:23" x14ac:dyDescent="0.25">
      <c r="A538" t="s">
        <v>1347</v>
      </c>
      <c r="B538" s="1">
        <v>45803</v>
      </c>
      <c r="C538" t="s">
        <v>1348</v>
      </c>
      <c r="D538" t="s">
        <v>1349</v>
      </c>
      <c r="E538" t="s">
        <v>38</v>
      </c>
      <c r="F538" t="s">
        <v>39</v>
      </c>
      <c r="G538" t="s">
        <v>40</v>
      </c>
      <c r="H538" t="s">
        <v>41</v>
      </c>
      <c r="I538" t="s">
        <v>42</v>
      </c>
      <c r="J538">
        <v>4</v>
      </c>
      <c r="K538">
        <v>4500</v>
      </c>
      <c r="L538">
        <v>5</v>
      </c>
      <c r="M538">
        <v>17100</v>
      </c>
      <c r="N538">
        <v>12600</v>
      </c>
      <c r="O538">
        <v>4500</v>
      </c>
      <c r="P538" t="s">
        <v>109</v>
      </c>
      <c r="Q538" t="s">
        <v>110</v>
      </c>
      <c r="R538" t="s">
        <v>111</v>
      </c>
      <c r="S538" t="s">
        <v>46</v>
      </c>
      <c r="T538" t="s">
        <v>56</v>
      </c>
      <c r="U538" t="s">
        <v>34</v>
      </c>
      <c r="V538">
        <v>2</v>
      </c>
      <c r="W538">
        <f>Table1[[#This Row],[Profit]]/Table1[[#This Row],[Sales]]</f>
        <v>0.26315789473684209</v>
      </c>
    </row>
    <row r="539" spans="1:23" x14ac:dyDescent="0.25">
      <c r="A539" t="s">
        <v>1350</v>
      </c>
      <c r="B539" s="1">
        <v>45947</v>
      </c>
      <c r="C539" t="s">
        <v>1351</v>
      </c>
      <c r="D539" t="s">
        <v>102</v>
      </c>
      <c r="E539" t="s">
        <v>52</v>
      </c>
      <c r="F539" t="s">
        <v>53</v>
      </c>
      <c r="G539" t="s">
        <v>27</v>
      </c>
      <c r="H539" t="s">
        <v>54</v>
      </c>
      <c r="I539" t="s">
        <v>55</v>
      </c>
      <c r="J539">
        <v>2</v>
      </c>
      <c r="K539">
        <v>55000</v>
      </c>
      <c r="L539">
        <v>10</v>
      </c>
      <c r="M539">
        <v>99000</v>
      </c>
      <c r="N539">
        <v>77000</v>
      </c>
      <c r="O539">
        <v>22000</v>
      </c>
      <c r="P539" t="s">
        <v>109</v>
      </c>
      <c r="Q539" t="s">
        <v>110</v>
      </c>
      <c r="R539" t="s">
        <v>111</v>
      </c>
      <c r="S539" t="s">
        <v>46</v>
      </c>
      <c r="T539" t="s">
        <v>56</v>
      </c>
      <c r="U539" t="s">
        <v>34</v>
      </c>
      <c r="V539">
        <v>3</v>
      </c>
      <c r="W539">
        <f>Table1[[#This Row],[Profit]]/Table1[[#This Row],[Sales]]</f>
        <v>0.22222222222222221</v>
      </c>
    </row>
    <row r="540" spans="1:23" x14ac:dyDescent="0.25">
      <c r="A540" t="s">
        <v>1352</v>
      </c>
      <c r="B540" s="1">
        <v>45810</v>
      </c>
      <c r="C540" t="s">
        <v>1261</v>
      </c>
      <c r="D540" t="s">
        <v>1069</v>
      </c>
      <c r="E540" t="s">
        <v>67</v>
      </c>
      <c r="F540" t="s">
        <v>68</v>
      </c>
      <c r="G540" t="s">
        <v>27</v>
      </c>
      <c r="H540" t="s">
        <v>28</v>
      </c>
      <c r="I540" t="s">
        <v>69</v>
      </c>
      <c r="J540">
        <v>5</v>
      </c>
      <c r="K540">
        <v>1500</v>
      </c>
      <c r="L540">
        <v>10</v>
      </c>
      <c r="M540">
        <v>6750</v>
      </c>
      <c r="N540">
        <v>5250</v>
      </c>
      <c r="O540">
        <v>1500</v>
      </c>
      <c r="P540" t="s">
        <v>30</v>
      </c>
      <c r="Q540" t="s">
        <v>30</v>
      </c>
      <c r="R540" t="s">
        <v>31</v>
      </c>
      <c r="S540" t="s">
        <v>46</v>
      </c>
      <c r="T540" t="s">
        <v>47</v>
      </c>
      <c r="U540" t="s">
        <v>34</v>
      </c>
      <c r="V540">
        <v>1</v>
      </c>
      <c r="W540">
        <f>Table1[[#This Row],[Profit]]/Table1[[#This Row],[Sales]]</f>
        <v>0.22222222222222221</v>
      </c>
    </row>
    <row r="541" spans="1:23" x14ac:dyDescent="0.25">
      <c r="A541" t="s">
        <v>1353</v>
      </c>
      <c r="B541" s="1">
        <v>45895</v>
      </c>
      <c r="C541" t="s">
        <v>119</v>
      </c>
      <c r="D541" t="s">
        <v>482</v>
      </c>
      <c r="E541" t="s">
        <v>25</v>
      </c>
      <c r="F541" t="s">
        <v>26</v>
      </c>
      <c r="G541" t="s">
        <v>27</v>
      </c>
      <c r="H541" t="s">
        <v>28</v>
      </c>
      <c r="I541" t="s">
        <v>29</v>
      </c>
      <c r="J541">
        <v>3</v>
      </c>
      <c r="K541">
        <v>800</v>
      </c>
      <c r="L541">
        <v>0</v>
      </c>
      <c r="M541">
        <v>2400</v>
      </c>
      <c r="N541">
        <v>1680</v>
      </c>
      <c r="O541">
        <v>720</v>
      </c>
      <c r="P541" t="s">
        <v>30</v>
      </c>
      <c r="Q541" t="s">
        <v>30</v>
      </c>
      <c r="R541" t="s">
        <v>31</v>
      </c>
      <c r="S541" t="s">
        <v>60</v>
      </c>
      <c r="T541" t="s">
        <v>33</v>
      </c>
      <c r="U541" t="s">
        <v>48</v>
      </c>
      <c r="V541">
        <v>4</v>
      </c>
      <c r="W541">
        <f>Table1[[#This Row],[Profit]]/Table1[[#This Row],[Sales]]</f>
        <v>0.3</v>
      </c>
    </row>
    <row r="542" spans="1:23" x14ac:dyDescent="0.25">
      <c r="A542" t="s">
        <v>1354</v>
      </c>
      <c r="B542" s="1">
        <v>46019</v>
      </c>
      <c r="C542" t="s">
        <v>1355</v>
      </c>
      <c r="D542" t="s">
        <v>1356</v>
      </c>
      <c r="E542" t="s">
        <v>52</v>
      </c>
      <c r="F542" t="s">
        <v>53</v>
      </c>
      <c r="G542" t="s">
        <v>27</v>
      </c>
      <c r="H542" t="s">
        <v>54</v>
      </c>
      <c r="I542" t="s">
        <v>55</v>
      </c>
      <c r="J542">
        <v>2</v>
      </c>
      <c r="K542">
        <v>55000</v>
      </c>
      <c r="L542">
        <v>10</v>
      </c>
      <c r="M542">
        <v>99000</v>
      </c>
      <c r="N542">
        <v>77000</v>
      </c>
      <c r="O542">
        <v>22000</v>
      </c>
      <c r="P542" t="s">
        <v>95</v>
      </c>
      <c r="Q542" t="s">
        <v>96</v>
      </c>
      <c r="R542" t="s">
        <v>45</v>
      </c>
      <c r="S542" t="s">
        <v>46</v>
      </c>
      <c r="T542" t="s">
        <v>33</v>
      </c>
      <c r="U542" t="s">
        <v>34</v>
      </c>
      <c r="V542">
        <v>4</v>
      </c>
      <c r="W542">
        <f>Table1[[#This Row],[Profit]]/Table1[[#This Row],[Sales]]</f>
        <v>0.22222222222222221</v>
      </c>
    </row>
    <row r="543" spans="1:23" x14ac:dyDescent="0.25">
      <c r="A543" t="s">
        <v>1357</v>
      </c>
      <c r="B543" s="1">
        <v>45966</v>
      </c>
      <c r="C543" t="s">
        <v>1358</v>
      </c>
      <c r="D543" t="s">
        <v>138</v>
      </c>
      <c r="E543" t="s">
        <v>38</v>
      </c>
      <c r="F543" t="s">
        <v>39</v>
      </c>
      <c r="G543" t="s">
        <v>40</v>
      </c>
      <c r="H543" t="s">
        <v>41</v>
      </c>
      <c r="I543" t="s">
        <v>42</v>
      </c>
      <c r="J543">
        <v>4</v>
      </c>
      <c r="K543">
        <v>4500</v>
      </c>
      <c r="L543">
        <v>0</v>
      </c>
      <c r="M543">
        <v>18000</v>
      </c>
      <c r="N543">
        <v>12600</v>
      </c>
      <c r="O543">
        <v>5400</v>
      </c>
      <c r="P543" t="s">
        <v>95</v>
      </c>
      <c r="Q543" t="s">
        <v>96</v>
      </c>
      <c r="R543" t="s">
        <v>45</v>
      </c>
      <c r="S543" t="s">
        <v>60</v>
      </c>
      <c r="T543" t="s">
        <v>33</v>
      </c>
      <c r="U543" t="s">
        <v>34</v>
      </c>
      <c r="V543">
        <v>3</v>
      </c>
      <c r="W543">
        <f>Table1[[#This Row],[Profit]]/Table1[[#This Row],[Sales]]</f>
        <v>0.3</v>
      </c>
    </row>
    <row r="544" spans="1:23" x14ac:dyDescent="0.25">
      <c r="A544" t="s">
        <v>1359</v>
      </c>
      <c r="B544" s="1">
        <v>45832</v>
      </c>
      <c r="C544" t="s">
        <v>373</v>
      </c>
      <c r="D544" t="s">
        <v>1360</v>
      </c>
      <c r="E544" t="s">
        <v>67</v>
      </c>
      <c r="F544" t="s">
        <v>68</v>
      </c>
      <c r="G544" t="s">
        <v>27</v>
      </c>
      <c r="H544" t="s">
        <v>28</v>
      </c>
      <c r="I544" t="s">
        <v>69</v>
      </c>
      <c r="J544">
        <v>2</v>
      </c>
      <c r="K544">
        <v>1500</v>
      </c>
      <c r="L544">
        <v>10</v>
      </c>
      <c r="M544">
        <v>2700</v>
      </c>
      <c r="N544">
        <v>2100</v>
      </c>
      <c r="O544">
        <v>600</v>
      </c>
      <c r="P544" t="s">
        <v>43</v>
      </c>
      <c r="Q544" t="s">
        <v>44</v>
      </c>
      <c r="R544" t="s">
        <v>45</v>
      </c>
      <c r="S544" t="s">
        <v>32</v>
      </c>
      <c r="T544" t="s">
        <v>33</v>
      </c>
      <c r="U544" t="s">
        <v>48</v>
      </c>
      <c r="V544">
        <v>2</v>
      </c>
      <c r="W544">
        <f>Table1[[#This Row],[Profit]]/Table1[[#This Row],[Sales]]</f>
        <v>0.22222222222222221</v>
      </c>
    </row>
    <row r="545" spans="1:23" x14ac:dyDescent="0.25">
      <c r="A545" t="s">
        <v>1361</v>
      </c>
      <c r="B545" s="1">
        <v>45964</v>
      </c>
      <c r="C545" t="s">
        <v>661</v>
      </c>
      <c r="D545" t="s">
        <v>1362</v>
      </c>
      <c r="E545" t="s">
        <v>73</v>
      </c>
      <c r="F545" t="s">
        <v>74</v>
      </c>
      <c r="G545" t="s">
        <v>27</v>
      </c>
      <c r="H545" t="s">
        <v>75</v>
      </c>
      <c r="I545" t="s">
        <v>76</v>
      </c>
      <c r="J545">
        <v>4</v>
      </c>
      <c r="K545">
        <v>3500</v>
      </c>
      <c r="L545">
        <v>10</v>
      </c>
      <c r="M545">
        <v>12600</v>
      </c>
      <c r="N545">
        <v>9800</v>
      </c>
      <c r="O545">
        <v>2800</v>
      </c>
      <c r="P545" t="s">
        <v>30</v>
      </c>
      <c r="Q545" t="s">
        <v>30</v>
      </c>
      <c r="R545" t="s">
        <v>31</v>
      </c>
      <c r="S545" t="s">
        <v>46</v>
      </c>
      <c r="T545" t="s">
        <v>56</v>
      </c>
      <c r="U545" t="s">
        <v>34</v>
      </c>
      <c r="V545">
        <v>3</v>
      </c>
      <c r="W545">
        <f>Table1[[#This Row],[Profit]]/Table1[[#This Row],[Sales]]</f>
        <v>0.22222222222222221</v>
      </c>
    </row>
    <row r="546" spans="1:23" x14ac:dyDescent="0.25">
      <c r="A546" t="s">
        <v>1363</v>
      </c>
      <c r="B546" s="1">
        <v>45962</v>
      </c>
      <c r="C546" t="s">
        <v>1364</v>
      </c>
      <c r="D546" t="s">
        <v>961</v>
      </c>
      <c r="E546" t="s">
        <v>38</v>
      </c>
      <c r="F546" t="s">
        <v>39</v>
      </c>
      <c r="G546" t="s">
        <v>40</v>
      </c>
      <c r="H546" t="s">
        <v>41</v>
      </c>
      <c r="I546" t="s">
        <v>42</v>
      </c>
      <c r="J546">
        <v>1</v>
      </c>
      <c r="K546">
        <v>4500</v>
      </c>
      <c r="L546">
        <v>10</v>
      </c>
      <c r="M546">
        <v>4050</v>
      </c>
      <c r="N546">
        <v>3150</v>
      </c>
      <c r="O546">
        <v>900</v>
      </c>
      <c r="P546" t="s">
        <v>95</v>
      </c>
      <c r="Q546" t="s">
        <v>96</v>
      </c>
      <c r="R546" t="s">
        <v>45</v>
      </c>
      <c r="S546" t="s">
        <v>32</v>
      </c>
      <c r="T546" t="s">
        <v>33</v>
      </c>
      <c r="U546" t="s">
        <v>34</v>
      </c>
      <c r="V546">
        <v>3</v>
      </c>
      <c r="W546">
        <f>Table1[[#This Row],[Profit]]/Table1[[#This Row],[Sales]]</f>
        <v>0.22222222222222221</v>
      </c>
    </row>
    <row r="547" spans="1:23" x14ac:dyDescent="0.25">
      <c r="A547" t="s">
        <v>1365</v>
      </c>
      <c r="B547" s="1">
        <v>45667</v>
      </c>
      <c r="C547" t="s">
        <v>1366</v>
      </c>
      <c r="D547" t="s">
        <v>407</v>
      </c>
      <c r="E547" t="s">
        <v>38</v>
      </c>
      <c r="F547" t="s">
        <v>39</v>
      </c>
      <c r="G547" t="s">
        <v>40</v>
      </c>
      <c r="H547" t="s">
        <v>41</v>
      </c>
      <c r="I547" t="s">
        <v>42</v>
      </c>
      <c r="J547">
        <v>5</v>
      </c>
      <c r="K547">
        <v>4500</v>
      </c>
      <c r="L547">
        <v>15</v>
      </c>
      <c r="M547">
        <v>19125</v>
      </c>
      <c r="N547">
        <v>15750</v>
      </c>
      <c r="O547">
        <v>3375.0000000000018</v>
      </c>
      <c r="P547" t="s">
        <v>30</v>
      </c>
      <c r="Q547" t="s">
        <v>30</v>
      </c>
      <c r="R547" t="s">
        <v>31</v>
      </c>
      <c r="S547" t="s">
        <v>60</v>
      </c>
      <c r="T547" t="s">
        <v>47</v>
      </c>
      <c r="U547" t="s">
        <v>34</v>
      </c>
      <c r="V547">
        <v>1</v>
      </c>
      <c r="W547">
        <f>Table1[[#This Row],[Profit]]/Table1[[#This Row],[Sales]]</f>
        <v>0.17647058823529421</v>
      </c>
    </row>
    <row r="548" spans="1:23" x14ac:dyDescent="0.25">
      <c r="A548" t="s">
        <v>1367</v>
      </c>
      <c r="B548" s="1">
        <v>45773</v>
      </c>
      <c r="C548" t="s">
        <v>1368</v>
      </c>
      <c r="D548" t="s">
        <v>1369</v>
      </c>
      <c r="E548" t="s">
        <v>67</v>
      </c>
      <c r="F548" t="s">
        <v>68</v>
      </c>
      <c r="G548" t="s">
        <v>27</v>
      </c>
      <c r="H548" t="s">
        <v>28</v>
      </c>
      <c r="I548" t="s">
        <v>69</v>
      </c>
      <c r="J548">
        <v>2</v>
      </c>
      <c r="K548">
        <v>1500</v>
      </c>
      <c r="L548">
        <v>5</v>
      </c>
      <c r="M548">
        <v>2850</v>
      </c>
      <c r="N548">
        <v>2100</v>
      </c>
      <c r="O548">
        <v>750</v>
      </c>
      <c r="P548" t="s">
        <v>30</v>
      </c>
      <c r="Q548" t="s">
        <v>30</v>
      </c>
      <c r="R548" t="s">
        <v>31</v>
      </c>
      <c r="S548" t="s">
        <v>60</v>
      </c>
      <c r="T548" t="s">
        <v>47</v>
      </c>
      <c r="U548" t="s">
        <v>48</v>
      </c>
      <c r="V548">
        <v>2</v>
      </c>
      <c r="W548">
        <f>Table1[[#This Row],[Profit]]/Table1[[#This Row],[Sales]]</f>
        <v>0.26315789473684209</v>
      </c>
    </row>
    <row r="549" spans="1:23" x14ac:dyDescent="0.25">
      <c r="A549" t="s">
        <v>1370</v>
      </c>
      <c r="B549" s="1">
        <v>46012</v>
      </c>
      <c r="C549" t="s">
        <v>1371</v>
      </c>
      <c r="D549" t="s">
        <v>1372</v>
      </c>
      <c r="E549" t="s">
        <v>38</v>
      </c>
      <c r="F549" t="s">
        <v>39</v>
      </c>
      <c r="G549" t="s">
        <v>40</v>
      </c>
      <c r="H549" t="s">
        <v>41</v>
      </c>
      <c r="I549" t="s">
        <v>42</v>
      </c>
      <c r="J549">
        <v>5</v>
      </c>
      <c r="K549">
        <v>4500</v>
      </c>
      <c r="L549">
        <v>0</v>
      </c>
      <c r="M549">
        <v>22500</v>
      </c>
      <c r="N549">
        <v>15750</v>
      </c>
      <c r="O549">
        <v>6750.0000000000018</v>
      </c>
      <c r="P549" t="s">
        <v>109</v>
      </c>
      <c r="Q549" t="s">
        <v>110</v>
      </c>
      <c r="R549" t="s">
        <v>111</v>
      </c>
      <c r="S549" t="s">
        <v>60</v>
      </c>
      <c r="T549" t="s">
        <v>56</v>
      </c>
      <c r="U549" t="s">
        <v>48</v>
      </c>
      <c r="V549">
        <v>5</v>
      </c>
      <c r="W549">
        <f>Table1[[#This Row],[Profit]]/Table1[[#This Row],[Sales]]</f>
        <v>0.3000000000000001</v>
      </c>
    </row>
    <row r="550" spans="1:23" x14ac:dyDescent="0.25">
      <c r="A550" t="s">
        <v>1373</v>
      </c>
      <c r="B550" s="1">
        <v>45908</v>
      </c>
      <c r="C550" t="s">
        <v>1374</v>
      </c>
      <c r="D550" t="s">
        <v>909</v>
      </c>
      <c r="E550" t="s">
        <v>73</v>
      </c>
      <c r="F550" t="s">
        <v>74</v>
      </c>
      <c r="G550" t="s">
        <v>27</v>
      </c>
      <c r="H550" t="s">
        <v>75</v>
      </c>
      <c r="I550" t="s">
        <v>76</v>
      </c>
      <c r="J550">
        <v>1</v>
      </c>
      <c r="K550">
        <v>3500</v>
      </c>
      <c r="L550">
        <v>15</v>
      </c>
      <c r="M550">
        <v>2975</v>
      </c>
      <c r="N550">
        <v>2450</v>
      </c>
      <c r="O550">
        <v>525</v>
      </c>
      <c r="P550" t="s">
        <v>43</v>
      </c>
      <c r="Q550" t="s">
        <v>44</v>
      </c>
      <c r="R550" t="s">
        <v>45</v>
      </c>
      <c r="S550" t="s">
        <v>32</v>
      </c>
      <c r="T550" t="s">
        <v>47</v>
      </c>
      <c r="U550" t="s">
        <v>48</v>
      </c>
      <c r="V550">
        <v>3</v>
      </c>
      <c r="W550">
        <f>Table1[[#This Row],[Profit]]/Table1[[#This Row],[Sales]]</f>
        <v>0.17647058823529413</v>
      </c>
    </row>
    <row r="551" spans="1:23" x14ac:dyDescent="0.25">
      <c r="A551" t="s">
        <v>1375</v>
      </c>
      <c r="B551" s="1">
        <v>45786</v>
      </c>
      <c r="C551" t="s">
        <v>239</v>
      </c>
      <c r="D551" t="s">
        <v>1376</v>
      </c>
      <c r="E551" t="s">
        <v>67</v>
      </c>
      <c r="F551" t="s">
        <v>68</v>
      </c>
      <c r="G551" t="s">
        <v>27</v>
      </c>
      <c r="H551" t="s">
        <v>28</v>
      </c>
      <c r="I551" t="s">
        <v>69</v>
      </c>
      <c r="J551">
        <v>3</v>
      </c>
      <c r="K551">
        <v>1500</v>
      </c>
      <c r="L551">
        <v>0</v>
      </c>
      <c r="M551">
        <v>4500</v>
      </c>
      <c r="N551">
        <v>3150</v>
      </c>
      <c r="O551">
        <v>1350</v>
      </c>
      <c r="P551" t="s">
        <v>95</v>
      </c>
      <c r="Q551" t="s">
        <v>96</v>
      </c>
      <c r="R551" t="s">
        <v>45</v>
      </c>
      <c r="S551" t="s">
        <v>32</v>
      </c>
      <c r="T551" t="s">
        <v>56</v>
      </c>
      <c r="U551" t="s">
        <v>48</v>
      </c>
      <c r="V551">
        <v>2</v>
      </c>
      <c r="W551">
        <f>Table1[[#This Row],[Profit]]/Table1[[#This Row],[Sales]]</f>
        <v>0.3</v>
      </c>
    </row>
    <row r="552" spans="1:23" x14ac:dyDescent="0.25">
      <c r="A552" t="s">
        <v>1377</v>
      </c>
      <c r="B552" s="1">
        <v>45658</v>
      </c>
      <c r="C552" t="s">
        <v>639</v>
      </c>
      <c r="D552" t="s">
        <v>534</v>
      </c>
      <c r="E552" t="s">
        <v>73</v>
      </c>
      <c r="F552" t="s">
        <v>74</v>
      </c>
      <c r="G552" t="s">
        <v>27</v>
      </c>
      <c r="H552" t="s">
        <v>75</v>
      </c>
      <c r="I552" t="s">
        <v>76</v>
      </c>
      <c r="J552">
        <v>5</v>
      </c>
      <c r="K552">
        <v>3500</v>
      </c>
      <c r="L552">
        <v>0</v>
      </c>
      <c r="M552">
        <v>17500</v>
      </c>
      <c r="N552">
        <v>12250</v>
      </c>
      <c r="O552">
        <v>5250</v>
      </c>
      <c r="P552" t="s">
        <v>109</v>
      </c>
      <c r="Q552" t="s">
        <v>110</v>
      </c>
      <c r="R552" t="s">
        <v>111</v>
      </c>
      <c r="S552" t="s">
        <v>46</v>
      </c>
      <c r="T552" t="s">
        <v>56</v>
      </c>
      <c r="U552" t="s">
        <v>48</v>
      </c>
      <c r="V552">
        <v>3</v>
      </c>
      <c r="W552">
        <f>Table1[[#This Row],[Profit]]/Table1[[#This Row],[Sales]]</f>
        <v>0.3</v>
      </c>
    </row>
    <row r="553" spans="1:23" x14ac:dyDescent="0.25">
      <c r="A553" t="s">
        <v>1378</v>
      </c>
      <c r="B553" s="1">
        <v>45870</v>
      </c>
      <c r="C553" t="s">
        <v>1379</v>
      </c>
      <c r="D553" t="s">
        <v>1023</v>
      </c>
      <c r="E553" t="s">
        <v>67</v>
      </c>
      <c r="F553" t="s">
        <v>68</v>
      </c>
      <c r="G553" t="s">
        <v>27</v>
      </c>
      <c r="H553" t="s">
        <v>28</v>
      </c>
      <c r="I553" t="s">
        <v>69</v>
      </c>
      <c r="J553">
        <v>2</v>
      </c>
      <c r="K553">
        <v>1500</v>
      </c>
      <c r="L553">
        <v>5</v>
      </c>
      <c r="M553">
        <v>2850</v>
      </c>
      <c r="N553">
        <v>2100</v>
      </c>
      <c r="O553">
        <v>750</v>
      </c>
      <c r="P553" t="s">
        <v>30</v>
      </c>
      <c r="Q553" t="s">
        <v>30</v>
      </c>
      <c r="R553" t="s">
        <v>31</v>
      </c>
      <c r="S553" t="s">
        <v>46</v>
      </c>
      <c r="T553" t="s">
        <v>56</v>
      </c>
      <c r="U553" t="s">
        <v>48</v>
      </c>
      <c r="V553">
        <v>1</v>
      </c>
      <c r="W553">
        <f>Table1[[#This Row],[Profit]]/Table1[[#This Row],[Sales]]</f>
        <v>0.26315789473684209</v>
      </c>
    </row>
    <row r="554" spans="1:23" x14ac:dyDescent="0.25">
      <c r="A554" t="s">
        <v>1380</v>
      </c>
      <c r="B554" s="1">
        <v>45928</v>
      </c>
      <c r="C554" t="s">
        <v>324</v>
      </c>
      <c r="D554" t="s">
        <v>1381</v>
      </c>
      <c r="E554" t="s">
        <v>73</v>
      </c>
      <c r="F554" t="s">
        <v>74</v>
      </c>
      <c r="G554" t="s">
        <v>27</v>
      </c>
      <c r="H554" t="s">
        <v>75</v>
      </c>
      <c r="I554" t="s">
        <v>76</v>
      </c>
      <c r="J554">
        <v>3</v>
      </c>
      <c r="K554">
        <v>3500</v>
      </c>
      <c r="L554">
        <v>15</v>
      </c>
      <c r="M554">
        <v>8925</v>
      </c>
      <c r="N554">
        <v>7349.9999999999991</v>
      </c>
      <c r="O554">
        <v>1575.0000000000009</v>
      </c>
      <c r="P554" t="s">
        <v>43</v>
      </c>
      <c r="Q554" t="s">
        <v>44</v>
      </c>
      <c r="R554" t="s">
        <v>45</v>
      </c>
      <c r="S554" t="s">
        <v>32</v>
      </c>
      <c r="T554" t="s">
        <v>56</v>
      </c>
      <c r="U554" t="s">
        <v>48</v>
      </c>
      <c r="V554">
        <v>4</v>
      </c>
      <c r="W554">
        <f>Table1[[#This Row],[Profit]]/Table1[[#This Row],[Sales]]</f>
        <v>0.17647058823529421</v>
      </c>
    </row>
    <row r="555" spans="1:23" x14ac:dyDescent="0.25">
      <c r="A555" t="s">
        <v>1382</v>
      </c>
      <c r="B555" s="1">
        <v>45812</v>
      </c>
      <c r="C555" t="s">
        <v>1383</v>
      </c>
      <c r="D555" t="s">
        <v>888</v>
      </c>
      <c r="E555" t="s">
        <v>38</v>
      </c>
      <c r="F555" t="s">
        <v>39</v>
      </c>
      <c r="G555" t="s">
        <v>40</v>
      </c>
      <c r="H555" t="s">
        <v>41</v>
      </c>
      <c r="I555" t="s">
        <v>42</v>
      </c>
      <c r="J555">
        <v>5</v>
      </c>
      <c r="K555">
        <v>4500</v>
      </c>
      <c r="L555">
        <v>0</v>
      </c>
      <c r="M555">
        <v>22500</v>
      </c>
      <c r="N555">
        <v>15750</v>
      </c>
      <c r="O555">
        <v>6750.0000000000018</v>
      </c>
      <c r="P555" t="s">
        <v>43</v>
      </c>
      <c r="Q555" t="s">
        <v>44</v>
      </c>
      <c r="R555" t="s">
        <v>45</v>
      </c>
      <c r="S555" t="s">
        <v>32</v>
      </c>
      <c r="T555" t="s">
        <v>33</v>
      </c>
      <c r="U555" t="s">
        <v>34</v>
      </c>
      <c r="V555">
        <v>4</v>
      </c>
      <c r="W555">
        <f>Table1[[#This Row],[Profit]]/Table1[[#This Row],[Sales]]</f>
        <v>0.3000000000000001</v>
      </c>
    </row>
    <row r="556" spans="1:23" x14ac:dyDescent="0.25">
      <c r="A556" t="s">
        <v>1384</v>
      </c>
      <c r="B556" s="1">
        <v>45829</v>
      </c>
      <c r="C556" t="s">
        <v>1385</v>
      </c>
      <c r="D556" t="s">
        <v>91</v>
      </c>
      <c r="E556" t="s">
        <v>38</v>
      </c>
      <c r="F556" t="s">
        <v>39</v>
      </c>
      <c r="G556" t="s">
        <v>40</v>
      </c>
      <c r="H556" t="s">
        <v>41</v>
      </c>
      <c r="I556" t="s">
        <v>42</v>
      </c>
      <c r="J556">
        <v>1</v>
      </c>
      <c r="K556">
        <v>4500</v>
      </c>
      <c r="L556">
        <v>0</v>
      </c>
      <c r="M556">
        <v>4500</v>
      </c>
      <c r="N556">
        <v>3150</v>
      </c>
      <c r="O556">
        <v>1350</v>
      </c>
      <c r="P556" t="s">
        <v>30</v>
      </c>
      <c r="Q556" t="s">
        <v>30</v>
      </c>
      <c r="R556" t="s">
        <v>31</v>
      </c>
      <c r="S556" t="s">
        <v>60</v>
      </c>
      <c r="T556" t="s">
        <v>47</v>
      </c>
      <c r="U556" t="s">
        <v>48</v>
      </c>
      <c r="V556">
        <v>3</v>
      </c>
      <c r="W556">
        <f>Table1[[#This Row],[Profit]]/Table1[[#This Row],[Sales]]</f>
        <v>0.3</v>
      </c>
    </row>
    <row r="557" spans="1:23" x14ac:dyDescent="0.25">
      <c r="A557" t="s">
        <v>1386</v>
      </c>
      <c r="B557" s="1">
        <v>45909</v>
      </c>
      <c r="C557" t="s">
        <v>1387</v>
      </c>
      <c r="D557" t="s">
        <v>690</v>
      </c>
      <c r="E557" t="s">
        <v>38</v>
      </c>
      <c r="F557" t="s">
        <v>39</v>
      </c>
      <c r="G557" t="s">
        <v>40</v>
      </c>
      <c r="H557" t="s">
        <v>41</v>
      </c>
      <c r="I557" t="s">
        <v>42</v>
      </c>
      <c r="J557">
        <v>5</v>
      </c>
      <c r="K557">
        <v>4500</v>
      </c>
      <c r="L557">
        <v>15</v>
      </c>
      <c r="M557">
        <v>19125</v>
      </c>
      <c r="N557">
        <v>15750</v>
      </c>
      <c r="O557">
        <v>3375.0000000000018</v>
      </c>
      <c r="P557" t="s">
        <v>95</v>
      </c>
      <c r="Q557" t="s">
        <v>96</v>
      </c>
      <c r="R557" t="s">
        <v>45</v>
      </c>
      <c r="S557" t="s">
        <v>60</v>
      </c>
      <c r="T557" t="s">
        <v>47</v>
      </c>
      <c r="U557" t="s">
        <v>48</v>
      </c>
      <c r="V557">
        <v>5</v>
      </c>
      <c r="W557">
        <f>Table1[[#This Row],[Profit]]/Table1[[#This Row],[Sales]]</f>
        <v>0.17647058823529421</v>
      </c>
    </row>
    <row r="558" spans="1:23" x14ac:dyDescent="0.25">
      <c r="A558" t="s">
        <v>1388</v>
      </c>
      <c r="B558" s="1">
        <v>46020</v>
      </c>
      <c r="C558" t="s">
        <v>1389</v>
      </c>
      <c r="D558" t="s">
        <v>322</v>
      </c>
      <c r="E558" t="s">
        <v>38</v>
      </c>
      <c r="F558" t="s">
        <v>39</v>
      </c>
      <c r="G558" t="s">
        <v>40</v>
      </c>
      <c r="H558" t="s">
        <v>41</v>
      </c>
      <c r="I558" t="s">
        <v>42</v>
      </c>
      <c r="J558">
        <v>5</v>
      </c>
      <c r="K558">
        <v>4500</v>
      </c>
      <c r="L558">
        <v>0</v>
      </c>
      <c r="M558">
        <v>22500</v>
      </c>
      <c r="N558">
        <v>15750</v>
      </c>
      <c r="O558">
        <v>6750.0000000000018</v>
      </c>
      <c r="P558" t="s">
        <v>95</v>
      </c>
      <c r="Q558" t="s">
        <v>96</v>
      </c>
      <c r="R558" t="s">
        <v>45</v>
      </c>
      <c r="S558" t="s">
        <v>46</v>
      </c>
      <c r="T558" t="s">
        <v>56</v>
      </c>
      <c r="U558" t="s">
        <v>48</v>
      </c>
      <c r="V558">
        <v>4</v>
      </c>
      <c r="W558">
        <f>Table1[[#This Row],[Profit]]/Table1[[#This Row],[Sales]]</f>
        <v>0.3000000000000001</v>
      </c>
    </row>
    <row r="559" spans="1:23" x14ac:dyDescent="0.25">
      <c r="A559" t="s">
        <v>1390</v>
      </c>
      <c r="B559" s="1">
        <v>45814</v>
      </c>
      <c r="C559" t="s">
        <v>1391</v>
      </c>
      <c r="D559" t="s">
        <v>1392</v>
      </c>
      <c r="E559" t="s">
        <v>73</v>
      </c>
      <c r="F559" t="s">
        <v>74</v>
      </c>
      <c r="G559" t="s">
        <v>27</v>
      </c>
      <c r="H559" t="s">
        <v>75</v>
      </c>
      <c r="I559" t="s">
        <v>76</v>
      </c>
      <c r="J559">
        <v>5</v>
      </c>
      <c r="K559">
        <v>3500</v>
      </c>
      <c r="L559">
        <v>10</v>
      </c>
      <c r="M559">
        <v>15750</v>
      </c>
      <c r="N559">
        <v>12250</v>
      </c>
      <c r="O559">
        <v>3500</v>
      </c>
      <c r="P559" t="s">
        <v>43</v>
      </c>
      <c r="Q559" t="s">
        <v>44</v>
      </c>
      <c r="R559" t="s">
        <v>45</v>
      </c>
      <c r="S559" t="s">
        <v>32</v>
      </c>
      <c r="T559" t="s">
        <v>33</v>
      </c>
      <c r="U559" t="s">
        <v>34</v>
      </c>
      <c r="V559">
        <v>1</v>
      </c>
      <c r="W559">
        <f>Table1[[#This Row],[Profit]]/Table1[[#This Row],[Sales]]</f>
        <v>0.22222222222222221</v>
      </c>
    </row>
    <row r="560" spans="1:23" x14ac:dyDescent="0.25">
      <c r="A560" t="s">
        <v>1393</v>
      </c>
      <c r="B560" s="1">
        <v>45948</v>
      </c>
      <c r="C560" t="s">
        <v>1394</v>
      </c>
      <c r="D560" t="s">
        <v>446</v>
      </c>
      <c r="E560" t="s">
        <v>67</v>
      </c>
      <c r="F560" t="s">
        <v>68</v>
      </c>
      <c r="G560" t="s">
        <v>27</v>
      </c>
      <c r="H560" t="s">
        <v>28</v>
      </c>
      <c r="I560" t="s">
        <v>69</v>
      </c>
      <c r="J560">
        <v>4</v>
      </c>
      <c r="K560">
        <v>1500</v>
      </c>
      <c r="L560">
        <v>0</v>
      </c>
      <c r="M560">
        <v>6000</v>
      </c>
      <c r="N560">
        <v>4200</v>
      </c>
      <c r="O560">
        <v>1800</v>
      </c>
      <c r="P560" t="s">
        <v>109</v>
      </c>
      <c r="Q560" t="s">
        <v>110</v>
      </c>
      <c r="R560" t="s">
        <v>111</v>
      </c>
      <c r="S560" t="s">
        <v>46</v>
      </c>
      <c r="T560" t="s">
        <v>33</v>
      </c>
      <c r="U560" t="s">
        <v>48</v>
      </c>
      <c r="V560">
        <v>3</v>
      </c>
      <c r="W560">
        <f>Table1[[#This Row],[Profit]]/Table1[[#This Row],[Sales]]</f>
        <v>0.3</v>
      </c>
    </row>
    <row r="561" spans="1:23" x14ac:dyDescent="0.25">
      <c r="A561" t="s">
        <v>1395</v>
      </c>
      <c r="B561" s="1">
        <v>45964</v>
      </c>
      <c r="C561" t="s">
        <v>1396</v>
      </c>
      <c r="D561" t="s">
        <v>397</v>
      </c>
      <c r="E561" t="s">
        <v>25</v>
      </c>
      <c r="F561" t="s">
        <v>26</v>
      </c>
      <c r="G561" t="s">
        <v>27</v>
      </c>
      <c r="H561" t="s">
        <v>28</v>
      </c>
      <c r="I561" t="s">
        <v>29</v>
      </c>
      <c r="J561">
        <v>2</v>
      </c>
      <c r="K561">
        <v>800</v>
      </c>
      <c r="L561">
        <v>0</v>
      </c>
      <c r="M561">
        <v>1600</v>
      </c>
      <c r="N561">
        <v>1120</v>
      </c>
      <c r="O561">
        <v>480</v>
      </c>
      <c r="P561" t="s">
        <v>30</v>
      </c>
      <c r="Q561" t="s">
        <v>30</v>
      </c>
      <c r="R561" t="s">
        <v>31</v>
      </c>
      <c r="S561" t="s">
        <v>60</v>
      </c>
      <c r="T561" t="s">
        <v>56</v>
      </c>
      <c r="U561" t="s">
        <v>34</v>
      </c>
      <c r="V561">
        <v>3</v>
      </c>
      <c r="W561">
        <f>Table1[[#This Row],[Profit]]/Table1[[#This Row],[Sales]]</f>
        <v>0.3</v>
      </c>
    </row>
    <row r="562" spans="1:23" x14ac:dyDescent="0.25">
      <c r="A562" t="s">
        <v>1397</v>
      </c>
      <c r="B562" s="1">
        <v>45995</v>
      </c>
      <c r="C562" t="s">
        <v>1398</v>
      </c>
      <c r="D562" t="s">
        <v>1392</v>
      </c>
      <c r="E562" t="s">
        <v>73</v>
      </c>
      <c r="F562" t="s">
        <v>74</v>
      </c>
      <c r="G562" t="s">
        <v>27</v>
      </c>
      <c r="H562" t="s">
        <v>75</v>
      </c>
      <c r="I562" t="s">
        <v>76</v>
      </c>
      <c r="J562">
        <v>5</v>
      </c>
      <c r="K562">
        <v>3500</v>
      </c>
      <c r="L562">
        <v>15</v>
      </c>
      <c r="M562">
        <v>14875</v>
      </c>
      <c r="N562">
        <v>12250</v>
      </c>
      <c r="O562">
        <v>2625</v>
      </c>
      <c r="P562" t="s">
        <v>109</v>
      </c>
      <c r="Q562" t="s">
        <v>110</v>
      </c>
      <c r="R562" t="s">
        <v>111</v>
      </c>
      <c r="S562" t="s">
        <v>60</v>
      </c>
      <c r="T562" t="s">
        <v>47</v>
      </c>
      <c r="U562" t="s">
        <v>34</v>
      </c>
      <c r="V562">
        <v>2</v>
      </c>
      <c r="W562">
        <f>Table1[[#This Row],[Profit]]/Table1[[#This Row],[Sales]]</f>
        <v>0.17647058823529413</v>
      </c>
    </row>
    <row r="563" spans="1:23" x14ac:dyDescent="0.25">
      <c r="A563" t="s">
        <v>1399</v>
      </c>
      <c r="B563" s="1">
        <v>45710</v>
      </c>
      <c r="C563" t="s">
        <v>381</v>
      </c>
      <c r="D563" t="s">
        <v>407</v>
      </c>
      <c r="E563" t="s">
        <v>38</v>
      </c>
      <c r="F563" t="s">
        <v>39</v>
      </c>
      <c r="G563" t="s">
        <v>40</v>
      </c>
      <c r="H563" t="s">
        <v>41</v>
      </c>
      <c r="I563" t="s">
        <v>42</v>
      </c>
      <c r="J563">
        <v>4</v>
      </c>
      <c r="K563">
        <v>4500</v>
      </c>
      <c r="L563">
        <v>0</v>
      </c>
      <c r="M563">
        <v>18000</v>
      </c>
      <c r="N563">
        <v>12600</v>
      </c>
      <c r="O563">
        <v>5400</v>
      </c>
      <c r="P563" t="s">
        <v>30</v>
      </c>
      <c r="Q563" t="s">
        <v>30</v>
      </c>
      <c r="R563" t="s">
        <v>31</v>
      </c>
      <c r="S563" t="s">
        <v>60</v>
      </c>
      <c r="T563" t="s">
        <v>47</v>
      </c>
      <c r="U563" t="s">
        <v>48</v>
      </c>
      <c r="V563">
        <v>2</v>
      </c>
      <c r="W563">
        <f>Table1[[#This Row],[Profit]]/Table1[[#This Row],[Sales]]</f>
        <v>0.3</v>
      </c>
    </row>
    <row r="564" spans="1:23" x14ac:dyDescent="0.25">
      <c r="A564" t="s">
        <v>1400</v>
      </c>
      <c r="B564" s="1">
        <v>45772</v>
      </c>
      <c r="C564" t="s">
        <v>1200</v>
      </c>
      <c r="D564" t="s">
        <v>917</v>
      </c>
      <c r="E564" t="s">
        <v>25</v>
      </c>
      <c r="F564" t="s">
        <v>26</v>
      </c>
      <c r="G564" t="s">
        <v>27</v>
      </c>
      <c r="H564" t="s">
        <v>28</v>
      </c>
      <c r="I564" t="s">
        <v>29</v>
      </c>
      <c r="J564">
        <v>4</v>
      </c>
      <c r="K564">
        <v>800</v>
      </c>
      <c r="L564">
        <v>0</v>
      </c>
      <c r="M564">
        <v>3200</v>
      </c>
      <c r="N564">
        <v>2240</v>
      </c>
      <c r="O564">
        <v>960</v>
      </c>
      <c r="P564" t="s">
        <v>43</v>
      </c>
      <c r="Q564" t="s">
        <v>44</v>
      </c>
      <c r="R564" t="s">
        <v>45</v>
      </c>
      <c r="S564" t="s">
        <v>60</v>
      </c>
      <c r="T564" t="s">
        <v>33</v>
      </c>
      <c r="U564" t="s">
        <v>34</v>
      </c>
      <c r="V564">
        <v>2</v>
      </c>
      <c r="W564">
        <f>Table1[[#This Row],[Profit]]/Table1[[#This Row],[Sales]]</f>
        <v>0.3</v>
      </c>
    </row>
    <row r="565" spans="1:23" x14ac:dyDescent="0.25">
      <c r="A565" t="s">
        <v>1401</v>
      </c>
      <c r="B565" s="1">
        <v>45986</v>
      </c>
      <c r="C565" t="s">
        <v>428</v>
      </c>
      <c r="D565" t="s">
        <v>705</v>
      </c>
      <c r="E565" t="s">
        <v>38</v>
      </c>
      <c r="F565" t="s">
        <v>39</v>
      </c>
      <c r="G565" t="s">
        <v>40</v>
      </c>
      <c r="H565" t="s">
        <v>41</v>
      </c>
      <c r="I565" t="s">
        <v>42</v>
      </c>
      <c r="J565">
        <v>3</v>
      </c>
      <c r="K565">
        <v>4500</v>
      </c>
      <c r="L565">
        <v>5</v>
      </c>
      <c r="M565">
        <v>12825</v>
      </c>
      <c r="N565">
        <v>9450</v>
      </c>
      <c r="O565">
        <v>3375</v>
      </c>
      <c r="P565" t="s">
        <v>43</v>
      </c>
      <c r="Q565" t="s">
        <v>44</v>
      </c>
      <c r="R565" t="s">
        <v>45</v>
      </c>
      <c r="S565" t="s">
        <v>46</v>
      </c>
      <c r="T565" t="s">
        <v>56</v>
      </c>
      <c r="U565" t="s">
        <v>48</v>
      </c>
      <c r="V565">
        <v>2</v>
      </c>
      <c r="W565">
        <f>Table1[[#This Row],[Profit]]/Table1[[#This Row],[Sales]]</f>
        <v>0.26315789473684209</v>
      </c>
    </row>
    <row r="566" spans="1:23" x14ac:dyDescent="0.25">
      <c r="A566" t="s">
        <v>1402</v>
      </c>
      <c r="B566" s="1">
        <v>45808</v>
      </c>
      <c r="C566" t="s">
        <v>1403</v>
      </c>
      <c r="D566" t="s">
        <v>1069</v>
      </c>
      <c r="E566" t="s">
        <v>38</v>
      </c>
      <c r="F566" t="s">
        <v>39</v>
      </c>
      <c r="G566" t="s">
        <v>40</v>
      </c>
      <c r="H566" t="s">
        <v>41</v>
      </c>
      <c r="I566" t="s">
        <v>42</v>
      </c>
      <c r="J566">
        <v>2</v>
      </c>
      <c r="K566">
        <v>4500</v>
      </c>
      <c r="L566">
        <v>0</v>
      </c>
      <c r="M566">
        <v>9000</v>
      </c>
      <c r="N566">
        <v>6300</v>
      </c>
      <c r="O566">
        <v>2700</v>
      </c>
      <c r="P566" t="s">
        <v>109</v>
      </c>
      <c r="Q566" t="s">
        <v>110</v>
      </c>
      <c r="R566" t="s">
        <v>111</v>
      </c>
      <c r="S566" t="s">
        <v>32</v>
      </c>
      <c r="T566" t="s">
        <v>47</v>
      </c>
      <c r="U566" t="s">
        <v>34</v>
      </c>
      <c r="V566">
        <v>1</v>
      </c>
      <c r="W566">
        <f>Table1[[#This Row],[Profit]]/Table1[[#This Row],[Sales]]</f>
        <v>0.3</v>
      </c>
    </row>
    <row r="567" spans="1:23" x14ac:dyDescent="0.25">
      <c r="A567" t="s">
        <v>1404</v>
      </c>
      <c r="B567" s="1">
        <v>45855</v>
      </c>
      <c r="C567" t="s">
        <v>356</v>
      </c>
      <c r="D567" t="s">
        <v>138</v>
      </c>
      <c r="E567" t="s">
        <v>67</v>
      </c>
      <c r="F567" t="s">
        <v>68</v>
      </c>
      <c r="G567" t="s">
        <v>27</v>
      </c>
      <c r="H567" t="s">
        <v>28</v>
      </c>
      <c r="I567" t="s">
        <v>69</v>
      </c>
      <c r="J567">
        <v>5</v>
      </c>
      <c r="K567">
        <v>1500</v>
      </c>
      <c r="L567">
        <v>10</v>
      </c>
      <c r="M567">
        <v>6750</v>
      </c>
      <c r="N567">
        <v>5250</v>
      </c>
      <c r="O567">
        <v>1500</v>
      </c>
      <c r="P567" t="s">
        <v>109</v>
      </c>
      <c r="Q567" t="s">
        <v>110</v>
      </c>
      <c r="R567" t="s">
        <v>111</v>
      </c>
      <c r="S567" t="s">
        <v>60</v>
      </c>
      <c r="T567" t="s">
        <v>33</v>
      </c>
      <c r="U567" t="s">
        <v>34</v>
      </c>
      <c r="V567">
        <v>3</v>
      </c>
      <c r="W567">
        <f>Table1[[#This Row],[Profit]]/Table1[[#This Row],[Sales]]</f>
        <v>0.22222222222222221</v>
      </c>
    </row>
    <row r="568" spans="1:23" x14ac:dyDescent="0.25">
      <c r="A568" t="s">
        <v>1405</v>
      </c>
      <c r="B568" s="1">
        <v>45915</v>
      </c>
      <c r="C568" t="s">
        <v>1406</v>
      </c>
      <c r="D568" t="s">
        <v>1407</v>
      </c>
      <c r="E568" t="s">
        <v>73</v>
      </c>
      <c r="F568" t="s">
        <v>74</v>
      </c>
      <c r="G568" t="s">
        <v>27</v>
      </c>
      <c r="H568" t="s">
        <v>75</v>
      </c>
      <c r="I568" t="s">
        <v>76</v>
      </c>
      <c r="J568">
        <v>1</v>
      </c>
      <c r="K568">
        <v>3500</v>
      </c>
      <c r="L568">
        <v>5</v>
      </c>
      <c r="M568">
        <v>3325</v>
      </c>
      <c r="N568">
        <v>2450</v>
      </c>
      <c r="O568">
        <v>875</v>
      </c>
      <c r="P568" t="s">
        <v>30</v>
      </c>
      <c r="Q568" t="s">
        <v>30</v>
      </c>
      <c r="R568" t="s">
        <v>31</v>
      </c>
      <c r="S568" t="s">
        <v>46</v>
      </c>
      <c r="T568" t="s">
        <v>56</v>
      </c>
      <c r="U568" t="s">
        <v>48</v>
      </c>
      <c r="V568">
        <v>3</v>
      </c>
      <c r="W568">
        <f>Table1[[#This Row],[Profit]]/Table1[[#This Row],[Sales]]</f>
        <v>0.26315789473684209</v>
      </c>
    </row>
    <row r="569" spans="1:23" x14ac:dyDescent="0.25">
      <c r="A569" t="s">
        <v>1408</v>
      </c>
      <c r="B569" s="1">
        <v>45903</v>
      </c>
      <c r="C569" t="s">
        <v>119</v>
      </c>
      <c r="D569" t="s">
        <v>313</v>
      </c>
      <c r="E569" t="s">
        <v>67</v>
      </c>
      <c r="F569" t="s">
        <v>68</v>
      </c>
      <c r="G569" t="s">
        <v>27</v>
      </c>
      <c r="H569" t="s">
        <v>28</v>
      </c>
      <c r="I569" t="s">
        <v>69</v>
      </c>
      <c r="J569">
        <v>2</v>
      </c>
      <c r="K569">
        <v>1500</v>
      </c>
      <c r="L569">
        <v>5</v>
      </c>
      <c r="M569">
        <v>2850</v>
      </c>
      <c r="N569">
        <v>2100</v>
      </c>
      <c r="O569">
        <v>750</v>
      </c>
      <c r="P569" t="s">
        <v>30</v>
      </c>
      <c r="Q569" t="s">
        <v>30</v>
      </c>
      <c r="R569" t="s">
        <v>31</v>
      </c>
      <c r="S569" t="s">
        <v>32</v>
      </c>
      <c r="T569" t="s">
        <v>56</v>
      </c>
      <c r="U569" t="s">
        <v>34</v>
      </c>
      <c r="V569">
        <v>5</v>
      </c>
      <c r="W569">
        <f>Table1[[#This Row],[Profit]]/Table1[[#This Row],[Sales]]</f>
        <v>0.26315789473684209</v>
      </c>
    </row>
    <row r="570" spans="1:23" x14ac:dyDescent="0.25">
      <c r="A570" t="s">
        <v>1409</v>
      </c>
      <c r="B570" s="1">
        <v>45898</v>
      </c>
      <c r="C570" t="s">
        <v>1232</v>
      </c>
      <c r="D570" t="s">
        <v>294</v>
      </c>
      <c r="E570" t="s">
        <v>67</v>
      </c>
      <c r="F570" t="s">
        <v>68</v>
      </c>
      <c r="G570" t="s">
        <v>27</v>
      </c>
      <c r="H570" t="s">
        <v>28</v>
      </c>
      <c r="I570" t="s">
        <v>69</v>
      </c>
      <c r="J570">
        <v>2</v>
      </c>
      <c r="K570">
        <v>1500</v>
      </c>
      <c r="L570">
        <v>10</v>
      </c>
      <c r="M570">
        <v>2700</v>
      </c>
      <c r="N570">
        <v>2100</v>
      </c>
      <c r="O570">
        <v>600</v>
      </c>
      <c r="P570" t="s">
        <v>30</v>
      </c>
      <c r="Q570" t="s">
        <v>30</v>
      </c>
      <c r="R570" t="s">
        <v>31</v>
      </c>
      <c r="S570" t="s">
        <v>46</v>
      </c>
      <c r="T570" t="s">
        <v>33</v>
      </c>
      <c r="U570" t="s">
        <v>48</v>
      </c>
      <c r="V570">
        <v>4</v>
      </c>
      <c r="W570">
        <f>Table1[[#This Row],[Profit]]/Table1[[#This Row],[Sales]]</f>
        <v>0.22222222222222221</v>
      </c>
    </row>
    <row r="571" spans="1:23" x14ac:dyDescent="0.25">
      <c r="A571" t="s">
        <v>1410</v>
      </c>
      <c r="B571" s="1">
        <v>45973</v>
      </c>
      <c r="C571" t="s">
        <v>1202</v>
      </c>
      <c r="D571" t="s">
        <v>464</v>
      </c>
      <c r="E571" t="s">
        <v>38</v>
      </c>
      <c r="F571" t="s">
        <v>39</v>
      </c>
      <c r="G571" t="s">
        <v>40</v>
      </c>
      <c r="H571" t="s">
        <v>41</v>
      </c>
      <c r="I571" t="s">
        <v>42</v>
      </c>
      <c r="J571">
        <v>4</v>
      </c>
      <c r="K571">
        <v>4500</v>
      </c>
      <c r="L571">
        <v>0</v>
      </c>
      <c r="M571">
        <v>18000</v>
      </c>
      <c r="N571">
        <v>12600</v>
      </c>
      <c r="O571">
        <v>5400</v>
      </c>
      <c r="P571" t="s">
        <v>43</v>
      </c>
      <c r="Q571" t="s">
        <v>44</v>
      </c>
      <c r="R571" t="s">
        <v>45</v>
      </c>
      <c r="S571" t="s">
        <v>60</v>
      </c>
      <c r="T571" t="s">
        <v>47</v>
      </c>
      <c r="U571" t="s">
        <v>48</v>
      </c>
      <c r="V571">
        <v>1</v>
      </c>
      <c r="W571">
        <f>Table1[[#This Row],[Profit]]/Table1[[#This Row],[Sales]]</f>
        <v>0.3</v>
      </c>
    </row>
    <row r="572" spans="1:23" x14ac:dyDescent="0.25">
      <c r="A572" t="s">
        <v>1411</v>
      </c>
      <c r="B572" s="1">
        <v>45836</v>
      </c>
      <c r="C572" t="s">
        <v>650</v>
      </c>
      <c r="D572" t="s">
        <v>501</v>
      </c>
      <c r="E572" t="s">
        <v>25</v>
      </c>
      <c r="F572" t="s">
        <v>26</v>
      </c>
      <c r="G572" t="s">
        <v>27</v>
      </c>
      <c r="H572" t="s">
        <v>28</v>
      </c>
      <c r="I572" t="s">
        <v>29</v>
      </c>
      <c r="J572">
        <v>5</v>
      </c>
      <c r="K572">
        <v>800</v>
      </c>
      <c r="L572">
        <v>0</v>
      </c>
      <c r="M572">
        <v>4000</v>
      </c>
      <c r="N572">
        <v>2800</v>
      </c>
      <c r="O572">
        <v>1200</v>
      </c>
      <c r="P572" t="s">
        <v>95</v>
      </c>
      <c r="Q572" t="s">
        <v>96</v>
      </c>
      <c r="R572" t="s">
        <v>45</v>
      </c>
      <c r="S572" t="s">
        <v>60</v>
      </c>
      <c r="T572" t="s">
        <v>33</v>
      </c>
      <c r="U572" t="s">
        <v>48</v>
      </c>
      <c r="V572">
        <v>3</v>
      </c>
      <c r="W572">
        <f>Table1[[#This Row],[Profit]]/Table1[[#This Row],[Sales]]</f>
        <v>0.3</v>
      </c>
    </row>
    <row r="573" spans="1:23" x14ac:dyDescent="0.25">
      <c r="A573" t="s">
        <v>1412</v>
      </c>
      <c r="B573" s="1">
        <v>45872</v>
      </c>
      <c r="C573" t="s">
        <v>1413</v>
      </c>
      <c r="D573" t="s">
        <v>223</v>
      </c>
      <c r="E573" t="s">
        <v>52</v>
      </c>
      <c r="F573" t="s">
        <v>53</v>
      </c>
      <c r="G573" t="s">
        <v>27</v>
      </c>
      <c r="H573" t="s">
        <v>54</v>
      </c>
      <c r="I573" t="s">
        <v>55</v>
      </c>
      <c r="J573">
        <v>3</v>
      </c>
      <c r="K573">
        <v>55000</v>
      </c>
      <c r="L573">
        <v>5</v>
      </c>
      <c r="M573">
        <v>156750</v>
      </c>
      <c r="N573">
        <v>115500</v>
      </c>
      <c r="O573">
        <v>41250.000000000007</v>
      </c>
      <c r="P573" t="s">
        <v>30</v>
      </c>
      <c r="Q573" t="s">
        <v>30</v>
      </c>
      <c r="R573" t="s">
        <v>31</v>
      </c>
      <c r="S573" t="s">
        <v>60</v>
      </c>
      <c r="T573" t="s">
        <v>47</v>
      </c>
      <c r="U573" t="s">
        <v>48</v>
      </c>
      <c r="V573">
        <v>3</v>
      </c>
      <c r="W573">
        <f>Table1[[#This Row],[Profit]]/Table1[[#This Row],[Sales]]</f>
        <v>0.26315789473684215</v>
      </c>
    </row>
    <row r="574" spans="1:23" x14ac:dyDescent="0.25">
      <c r="A574" t="s">
        <v>1414</v>
      </c>
      <c r="B574" s="1">
        <v>45862</v>
      </c>
      <c r="C574" t="s">
        <v>1415</v>
      </c>
      <c r="D574" t="s">
        <v>1258</v>
      </c>
      <c r="E574" t="s">
        <v>52</v>
      </c>
      <c r="F574" t="s">
        <v>53</v>
      </c>
      <c r="G574" t="s">
        <v>27</v>
      </c>
      <c r="H574" t="s">
        <v>54</v>
      </c>
      <c r="I574" t="s">
        <v>55</v>
      </c>
      <c r="J574">
        <v>2</v>
      </c>
      <c r="K574">
        <v>55000</v>
      </c>
      <c r="L574">
        <v>5</v>
      </c>
      <c r="M574">
        <v>104500</v>
      </c>
      <c r="N574">
        <v>77000</v>
      </c>
      <c r="O574">
        <v>27500</v>
      </c>
      <c r="P574" t="s">
        <v>109</v>
      </c>
      <c r="Q574" t="s">
        <v>110</v>
      </c>
      <c r="R574" t="s">
        <v>111</v>
      </c>
      <c r="S574" t="s">
        <v>32</v>
      </c>
      <c r="T574" t="s">
        <v>33</v>
      </c>
      <c r="U574" t="s">
        <v>48</v>
      </c>
      <c r="V574">
        <v>4</v>
      </c>
      <c r="W574">
        <f>Table1[[#This Row],[Profit]]/Table1[[#This Row],[Sales]]</f>
        <v>0.26315789473684209</v>
      </c>
    </row>
    <row r="575" spans="1:23" x14ac:dyDescent="0.25">
      <c r="A575" t="s">
        <v>1416</v>
      </c>
      <c r="B575" s="1">
        <v>45800</v>
      </c>
      <c r="C575" t="s">
        <v>1417</v>
      </c>
      <c r="D575" t="s">
        <v>1254</v>
      </c>
      <c r="E575" t="s">
        <v>67</v>
      </c>
      <c r="F575" t="s">
        <v>68</v>
      </c>
      <c r="G575" t="s">
        <v>27</v>
      </c>
      <c r="H575" t="s">
        <v>28</v>
      </c>
      <c r="I575" t="s">
        <v>69</v>
      </c>
      <c r="J575">
        <v>2</v>
      </c>
      <c r="K575">
        <v>1500</v>
      </c>
      <c r="L575">
        <v>15</v>
      </c>
      <c r="M575">
        <v>2550</v>
      </c>
      <c r="N575">
        <v>2100</v>
      </c>
      <c r="O575">
        <v>450</v>
      </c>
      <c r="P575" t="s">
        <v>109</v>
      </c>
      <c r="Q575" t="s">
        <v>110</v>
      </c>
      <c r="R575" t="s">
        <v>111</v>
      </c>
      <c r="S575" t="s">
        <v>46</v>
      </c>
      <c r="T575" t="s">
        <v>33</v>
      </c>
      <c r="U575" t="s">
        <v>48</v>
      </c>
      <c r="V575">
        <v>3</v>
      </c>
      <c r="W575">
        <f>Table1[[#This Row],[Profit]]/Table1[[#This Row],[Sales]]</f>
        <v>0.17647058823529413</v>
      </c>
    </row>
    <row r="576" spans="1:23" x14ac:dyDescent="0.25">
      <c r="A576" t="s">
        <v>1418</v>
      </c>
      <c r="B576" s="1">
        <v>45844</v>
      </c>
      <c r="C576" t="s">
        <v>1419</v>
      </c>
      <c r="D576" t="s">
        <v>330</v>
      </c>
      <c r="E576" t="s">
        <v>67</v>
      </c>
      <c r="F576" t="s">
        <v>68</v>
      </c>
      <c r="G576" t="s">
        <v>27</v>
      </c>
      <c r="H576" t="s">
        <v>28</v>
      </c>
      <c r="I576" t="s">
        <v>69</v>
      </c>
      <c r="J576">
        <v>3</v>
      </c>
      <c r="K576">
        <v>1500</v>
      </c>
      <c r="L576">
        <v>10</v>
      </c>
      <c r="M576">
        <v>4050</v>
      </c>
      <c r="N576">
        <v>3150</v>
      </c>
      <c r="O576">
        <v>900</v>
      </c>
      <c r="P576" t="s">
        <v>109</v>
      </c>
      <c r="Q576" t="s">
        <v>110</v>
      </c>
      <c r="R576" t="s">
        <v>111</v>
      </c>
      <c r="S576" t="s">
        <v>32</v>
      </c>
      <c r="T576" t="s">
        <v>47</v>
      </c>
      <c r="U576" t="s">
        <v>34</v>
      </c>
      <c r="V576">
        <v>2</v>
      </c>
      <c r="W576">
        <f>Table1[[#This Row],[Profit]]/Table1[[#This Row],[Sales]]</f>
        <v>0.22222222222222221</v>
      </c>
    </row>
    <row r="577" spans="1:23" x14ac:dyDescent="0.25">
      <c r="A577" t="s">
        <v>1420</v>
      </c>
      <c r="B577" s="1">
        <v>45928</v>
      </c>
      <c r="C577" t="s">
        <v>1421</v>
      </c>
      <c r="D577" t="s">
        <v>413</v>
      </c>
      <c r="E577" t="s">
        <v>52</v>
      </c>
      <c r="F577" t="s">
        <v>53</v>
      </c>
      <c r="G577" t="s">
        <v>27</v>
      </c>
      <c r="H577" t="s">
        <v>54</v>
      </c>
      <c r="I577" t="s">
        <v>55</v>
      </c>
      <c r="J577">
        <v>4</v>
      </c>
      <c r="K577">
        <v>55000</v>
      </c>
      <c r="L577">
        <v>10</v>
      </c>
      <c r="M577">
        <v>198000</v>
      </c>
      <c r="N577">
        <v>154000</v>
      </c>
      <c r="O577">
        <v>44000</v>
      </c>
      <c r="P577" t="s">
        <v>43</v>
      </c>
      <c r="Q577" t="s">
        <v>44</v>
      </c>
      <c r="R577" t="s">
        <v>45</v>
      </c>
      <c r="S577" t="s">
        <v>32</v>
      </c>
      <c r="T577" t="s">
        <v>47</v>
      </c>
      <c r="U577" t="s">
        <v>48</v>
      </c>
      <c r="V577">
        <v>3</v>
      </c>
      <c r="W577">
        <f>Table1[[#This Row],[Profit]]/Table1[[#This Row],[Sales]]</f>
        <v>0.22222222222222221</v>
      </c>
    </row>
    <row r="578" spans="1:23" x14ac:dyDescent="0.25">
      <c r="A578" t="s">
        <v>1422</v>
      </c>
      <c r="B578" s="1">
        <v>45698</v>
      </c>
      <c r="C578" t="s">
        <v>1423</v>
      </c>
      <c r="D578" t="s">
        <v>1424</v>
      </c>
      <c r="E578" t="s">
        <v>73</v>
      </c>
      <c r="F578" t="s">
        <v>74</v>
      </c>
      <c r="G578" t="s">
        <v>27</v>
      </c>
      <c r="H578" t="s">
        <v>75</v>
      </c>
      <c r="I578" t="s">
        <v>76</v>
      </c>
      <c r="J578">
        <v>1</v>
      </c>
      <c r="K578">
        <v>3500</v>
      </c>
      <c r="L578">
        <v>0</v>
      </c>
      <c r="M578">
        <v>3500</v>
      </c>
      <c r="N578">
        <v>2450</v>
      </c>
      <c r="O578">
        <v>1050</v>
      </c>
      <c r="P578" t="s">
        <v>95</v>
      </c>
      <c r="Q578" t="s">
        <v>96</v>
      </c>
      <c r="R578" t="s">
        <v>45</v>
      </c>
      <c r="S578" t="s">
        <v>46</v>
      </c>
      <c r="T578" t="s">
        <v>56</v>
      </c>
      <c r="U578" t="s">
        <v>48</v>
      </c>
      <c r="V578">
        <v>4</v>
      </c>
      <c r="W578">
        <f>Table1[[#This Row],[Profit]]/Table1[[#This Row],[Sales]]</f>
        <v>0.3</v>
      </c>
    </row>
    <row r="579" spans="1:23" x14ac:dyDescent="0.25">
      <c r="A579" t="s">
        <v>1425</v>
      </c>
      <c r="B579" s="1">
        <v>45943</v>
      </c>
      <c r="C579" t="s">
        <v>1426</v>
      </c>
      <c r="D579" t="s">
        <v>392</v>
      </c>
      <c r="E579" t="s">
        <v>73</v>
      </c>
      <c r="F579" t="s">
        <v>74</v>
      </c>
      <c r="G579" t="s">
        <v>27</v>
      </c>
      <c r="H579" t="s">
        <v>75</v>
      </c>
      <c r="I579" t="s">
        <v>76</v>
      </c>
      <c r="J579">
        <v>5</v>
      </c>
      <c r="K579">
        <v>3500</v>
      </c>
      <c r="L579">
        <v>5</v>
      </c>
      <c r="M579">
        <v>16625</v>
      </c>
      <c r="N579">
        <v>12250</v>
      </c>
      <c r="O579">
        <v>4375</v>
      </c>
      <c r="P579" t="s">
        <v>30</v>
      </c>
      <c r="Q579" t="s">
        <v>30</v>
      </c>
      <c r="R579" t="s">
        <v>31</v>
      </c>
      <c r="S579" t="s">
        <v>60</v>
      </c>
      <c r="T579" t="s">
        <v>33</v>
      </c>
      <c r="U579" t="s">
        <v>48</v>
      </c>
      <c r="V579">
        <v>1</v>
      </c>
      <c r="W579">
        <f>Table1[[#This Row],[Profit]]/Table1[[#This Row],[Sales]]</f>
        <v>0.26315789473684209</v>
      </c>
    </row>
    <row r="580" spans="1:23" x14ac:dyDescent="0.25">
      <c r="A580" t="s">
        <v>1427</v>
      </c>
      <c r="B580" s="1">
        <v>45980</v>
      </c>
      <c r="C580" t="s">
        <v>1105</v>
      </c>
      <c r="D580" t="s">
        <v>1428</v>
      </c>
      <c r="E580" t="s">
        <v>73</v>
      </c>
      <c r="F580" t="s">
        <v>74</v>
      </c>
      <c r="G580" t="s">
        <v>27</v>
      </c>
      <c r="H580" t="s">
        <v>75</v>
      </c>
      <c r="I580" t="s">
        <v>76</v>
      </c>
      <c r="J580">
        <v>5</v>
      </c>
      <c r="K580">
        <v>3500</v>
      </c>
      <c r="L580">
        <v>15</v>
      </c>
      <c r="M580">
        <v>14875</v>
      </c>
      <c r="N580">
        <v>12250</v>
      </c>
      <c r="O580">
        <v>2625</v>
      </c>
      <c r="P580" t="s">
        <v>109</v>
      </c>
      <c r="Q580" t="s">
        <v>110</v>
      </c>
      <c r="R580" t="s">
        <v>111</v>
      </c>
      <c r="S580" t="s">
        <v>46</v>
      </c>
      <c r="T580" t="s">
        <v>56</v>
      </c>
      <c r="U580" t="s">
        <v>48</v>
      </c>
      <c r="V580">
        <v>5</v>
      </c>
      <c r="W580">
        <f>Table1[[#This Row],[Profit]]/Table1[[#This Row],[Sales]]</f>
        <v>0.17647058823529413</v>
      </c>
    </row>
    <row r="581" spans="1:23" x14ac:dyDescent="0.25">
      <c r="A581" t="s">
        <v>1429</v>
      </c>
      <c r="B581" s="1">
        <v>45750</v>
      </c>
      <c r="C581" t="s">
        <v>1430</v>
      </c>
      <c r="D581" t="s">
        <v>1296</v>
      </c>
      <c r="E581" t="s">
        <v>38</v>
      </c>
      <c r="F581" t="s">
        <v>39</v>
      </c>
      <c r="G581" t="s">
        <v>40</v>
      </c>
      <c r="H581" t="s">
        <v>41</v>
      </c>
      <c r="I581" t="s">
        <v>42</v>
      </c>
      <c r="J581">
        <v>1</v>
      </c>
      <c r="K581">
        <v>4500</v>
      </c>
      <c r="L581">
        <v>5</v>
      </c>
      <c r="M581">
        <v>4275</v>
      </c>
      <c r="N581">
        <v>3150</v>
      </c>
      <c r="O581">
        <v>1125</v>
      </c>
      <c r="P581" t="s">
        <v>95</v>
      </c>
      <c r="Q581" t="s">
        <v>96</v>
      </c>
      <c r="R581" t="s">
        <v>45</v>
      </c>
      <c r="S581" t="s">
        <v>46</v>
      </c>
      <c r="T581" t="s">
        <v>56</v>
      </c>
      <c r="U581" t="s">
        <v>48</v>
      </c>
      <c r="V581">
        <v>5</v>
      </c>
      <c r="W581">
        <f>Table1[[#This Row],[Profit]]/Table1[[#This Row],[Sales]]</f>
        <v>0.26315789473684209</v>
      </c>
    </row>
    <row r="582" spans="1:23" x14ac:dyDescent="0.25">
      <c r="A582" t="s">
        <v>1431</v>
      </c>
      <c r="B582" s="1">
        <v>45860</v>
      </c>
      <c r="C582" t="s">
        <v>1432</v>
      </c>
      <c r="D582" t="s">
        <v>79</v>
      </c>
      <c r="E582" t="s">
        <v>73</v>
      </c>
      <c r="F582" t="s">
        <v>74</v>
      </c>
      <c r="G582" t="s">
        <v>27</v>
      </c>
      <c r="H582" t="s">
        <v>75</v>
      </c>
      <c r="I582" t="s">
        <v>76</v>
      </c>
      <c r="J582">
        <v>2</v>
      </c>
      <c r="K582">
        <v>3500</v>
      </c>
      <c r="L582">
        <v>0</v>
      </c>
      <c r="M582">
        <v>7000</v>
      </c>
      <c r="N582">
        <v>4900</v>
      </c>
      <c r="O582">
        <v>2100</v>
      </c>
      <c r="P582" t="s">
        <v>30</v>
      </c>
      <c r="Q582" t="s">
        <v>30</v>
      </c>
      <c r="R582" t="s">
        <v>31</v>
      </c>
      <c r="S582" t="s">
        <v>46</v>
      </c>
      <c r="T582" t="s">
        <v>33</v>
      </c>
      <c r="U582" t="s">
        <v>34</v>
      </c>
      <c r="V582">
        <v>2</v>
      </c>
      <c r="W582">
        <f>Table1[[#This Row],[Profit]]/Table1[[#This Row],[Sales]]</f>
        <v>0.3</v>
      </c>
    </row>
    <row r="583" spans="1:23" x14ac:dyDescent="0.25">
      <c r="A583" t="s">
        <v>1433</v>
      </c>
      <c r="B583" s="1">
        <v>45936</v>
      </c>
      <c r="C583" t="s">
        <v>1434</v>
      </c>
      <c r="D583" t="s">
        <v>961</v>
      </c>
      <c r="E583" t="s">
        <v>38</v>
      </c>
      <c r="F583" t="s">
        <v>39</v>
      </c>
      <c r="G583" t="s">
        <v>40</v>
      </c>
      <c r="H583" t="s">
        <v>41</v>
      </c>
      <c r="I583" t="s">
        <v>42</v>
      </c>
      <c r="J583">
        <v>4</v>
      </c>
      <c r="K583">
        <v>4500</v>
      </c>
      <c r="L583">
        <v>10</v>
      </c>
      <c r="M583">
        <v>16200</v>
      </c>
      <c r="N583">
        <v>12600</v>
      </c>
      <c r="O583">
        <v>3600</v>
      </c>
      <c r="P583" t="s">
        <v>109</v>
      </c>
      <c r="Q583" t="s">
        <v>110</v>
      </c>
      <c r="R583" t="s">
        <v>111</v>
      </c>
      <c r="S583" t="s">
        <v>32</v>
      </c>
      <c r="T583" t="s">
        <v>33</v>
      </c>
      <c r="U583" t="s">
        <v>48</v>
      </c>
      <c r="V583">
        <v>5</v>
      </c>
      <c r="W583">
        <f>Table1[[#This Row],[Profit]]/Table1[[#This Row],[Sales]]</f>
        <v>0.22222222222222221</v>
      </c>
    </row>
    <row r="584" spans="1:23" x14ac:dyDescent="0.25">
      <c r="A584" t="s">
        <v>1435</v>
      </c>
      <c r="B584" s="1">
        <v>45834</v>
      </c>
      <c r="C584" t="s">
        <v>830</v>
      </c>
      <c r="D584" t="s">
        <v>1436</v>
      </c>
      <c r="E584" t="s">
        <v>67</v>
      </c>
      <c r="F584" t="s">
        <v>68</v>
      </c>
      <c r="G584" t="s">
        <v>27</v>
      </c>
      <c r="H584" t="s">
        <v>28</v>
      </c>
      <c r="I584" t="s">
        <v>69</v>
      </c>
      <c r="J584">
        <v>5</v>
      </c>
      <c r="K584">
        <v>1500</v>
      </c>
      <c r="L584">
        <v>0</v>
      </c>
      <c r="M584">
        <v>7500</v>
      </c>
      <c r="N584">
        <v>5250</v>
      </c>
      <c r="O584">
        <v>2250</v>
      </c>
      <c r="P584" t="s">
        <v>109</v>
      </c>
      <c r="Q584" t="s">
        <v>110</v>
      </c>
      <c r="R584" t="s">
        <v>111</v>
      </c>
      <c r="S584" t="s">
        <v>46</v>
      </c>
      <c r="T584" t="s">
        <v>47</v>
      </c>
      <c r="U584" t="s">
        <v>48</v>
      </c>
      <c r="V584">
        <v>2</v>
      </c>
      <c r="W584">
        <f>Table1[[#This Row],[Profit]]/Table1[[#This Row],[Sales]]</f>
        <v>0.3</v>
      </c>
    </row>
    <row r="585" spans="1:23" x14ac:dyDescent="0.25">
      <c r="A585" t="s">
        <v>1437</v>
      </c>
      <c r="B585" s="1">
        <v>45894</v>
      </c>
      <c r="C585" t="s">
        <v>1438</v>
      </c>
      <c r="D585" t="s">
        <v>105</v>
      </c>
      <c r="E585" t="s">
        <v>52</v>
      </c>
      <c r="F585" t="s">
        <v>53</v>
      </c>
      <c r="G585" t="s">
        <v>27</v>
      </c>
      <c r="H585" t="s">
        <v>54</v>
      </c>
      <c r="I585" t="s">
        <v>55</v>
      </c>
      <c r="J585">
        <v>4</v>
      </c>
      <c r="K585">
        <v>55000</v>
      </c>
      <c r="L585">
        <v>15</v>
      </c>
      <c r="M585">
        <v>187000</v>
      </c>
      <c r="N585">
        <v>154000</v>
      </c>
      <c r="O585">
        <v>33000</v>
      </c>
      <c r="P585" t="s">
        <v>95</v>
      </c>
      <c r="Q585" t="s">
        <v>96</v>
      </c>
      <c r="R585" t="s">
        <v>45</v>
      </c>
      <c r="S585" t="s">
        <v>46</v>
      </c>
      <c r="T585" t="s">
        <v>56</v>
      </c>
      <c r="U585" t="s">
        <v>48</v>
      </c>
      <c r="V585">
        <v>1</v>
      </c>
      <c r="W585">
        <f>Table1[[#This Row],[Profit]]/Table1[[#This Row],[Sales]]</f>
        <v>0.17647058823529413</v>
      </c>
    </row>
    <row r="586" spans="1:23" x14ac:dyDescent="0.25">
      <c r="A586" t="s">
        <v>1439</v>
      </c>
      <c r="B586" s="1">
        <v>45919</v>
      </c>
      <c r="C586" t="s">
        <v>1440</v>
      </c>
      <c r="D586" t="s">
        <v>389</v>
      </c>
      <c r="E586" t="s">
        <v>73</v>
      </c>
      <c r="F586" t="s">
        <v>74</v>
      </c>
      <c r="G586" t="s">
        <v>27</v>
      </c>
      <c r="H586" t="s">
        <v>75</v>
      </c>
      <c r="I586" t="s">
        <v>76</v>
      </c>
      <c r="J586">
        <v>2</v>
      </c>
      <c r="K586">
        <v>3500</v>
      </c>
      <c r="L586">
        <v>5</v>
      </c>
      <c r="M586">
        <v>6650</v>
      </c>
      <c r="N586">
        <v>4900</v>
      </c>
      <c r="O586">
        <v>1750</v>
      </c>
      <c r="P586" t="s">
        <v>109</v>
      </c>
      <c r="Q586" t="s">
        <v>110</v>
      </c>
      <c r="R586" t="s">
        <v>111</v>
      </c>
      <c r="S586" t="s">
        <v>60</v>
      </c>
      <c r="T586" t="s">
        <v>56</v>
      </c>
      <c r="U586" t="s">
        <v>34</v>
      </c>
      <c r="V586">
        <v>5</v>
      </c>
      <c r="W586">
        <f>Table1[[#This Row],[Profit]]/Table1[[#This Row],[Sales]]</f>
        <v>0.26315789473684209</v>
      </c>
    </row>
    <row r="587" spans="1:23" x14ac:dyDescent="0.25">
      <c r="A587" t="s">
        <v>1441</v>
      </c>
      <c r="B587" s="1">
        <v>45721</v>
      </c>
      <c r="C587" t="s">
        <v>689</v>
      </c>
      <c r="D587" t="s">
        <v>490</v>
      </c>
      <c r="E587" t="s">
        <v>73</v>
      </c>
      <c r="F587" t="s">
        <v>74</v>
      </c>
      <c r="G587" t="s">
        <v>27</v>
      </c>
      <c r="H587" t="s">
        <v>75</v>
      </c>
      <c r="I587" t="s">
        <v>76</v>
      </c>
      <c r="J587">
        <v>2</v>
      </c>
      <c r="K587">
        <v>3500</v>
      </c>
      <c r="L587">
        <v>15</v>
      </c>
      <c r="M587">
        <v>5950</v>
      </c>
      <c r="N587">
        <v>4900</v>
      </c>
      <c r="O587">
        <v>1050</v>
      </c>
      <c r="P587" t="s">
        <v>43</v>
      </c>
      <c r="Q587" t="s">
        <v>44</v>
      </c>
      <c r="R587" t="s">
        <v>45</v>
      </c>
      <c r="S587" t="s">
        <v>32</v>
      </c>
      <c r="T587" t="s">
        <v>56</v>
      </c>
      <c r="U587" t="s">
        <v>34</v>
      </c>
      <c r="V587">
        <v>4</v>
      </c>
      <c r="W587">
        <f>Table1[[#This Row],[Profit]]/Table1[[#This Row],[Sales]]</f>
        <v>0.17647058823529413</v>
      </c>
    </row>
    <row r="588" spans="1:23" x14ac:dyDescent="0.25">
      <c r="A588" t="s">
        <v>1442</v>
      </c>
      <c r="B588" s="1">
        <v>45707</v>
      </c>
      <c r="C588" t="s">
        <v>1443</v>
      </c>
      <c r="D588" t="s">
        <v>432</v>
      </c>
      <c r="E588" t="s">
        <v>52</v>
      </c>
      <c r="F588" t="s">
        <v>53</v>
      </c>
      <c r="G588" t="s">
        <v>27</v>
      </c>
      <c r="H588" t="s">
        <v>54</v>
      </c>
      <c r="I588" t="s">
        <v>55</v>
      </c>
      <c r="J588">
        <v>5</v>
      </c>
      <c r="K588">
        <v>55000</v>
      </c>
      <c r="L588">
        <v>15</v>
      </c>
      <c r="M588">
        <v>233750</v>
      </c>
      <c r="N588">
        <v>192500</v>
      </c>
      <c r="O588">
        <v>41250</v>
      </c>
      <c r="P588" t="s">
        <v>95</v>
      </c>
      <c r="Q588" t="s">
        <v>96</v>
      </c>
      <c r="R588" t="s">
        <v>45</v>
      </c>
      <c r="S588" t="s">
        <v>32</v>
      </c>
      <c r="T588" t="s">
        <v>47</v>
      </c>
      <c r="U588" t="s">
        <v>48</v>
      </c>
      <c r="V588">
        <v>2</v>
      </c>
      <c r="W588">
        <f>Table1[[#This Row],[Profit]]/Table1[[#This Row],[Sales]]</f>
        <v>0.17647058823529413</v>
      </c>
    </row>
    <row r="589" spans="1:23" x14ac:dyDescent="0.25">
      <c r="A589" t="s">
        <v>1444</v>
      </c>
      <c r="B589" s="1">
        <v>45695</v>
      </c>
      <c r="C589" t="s">
        <v>1445</v>
      </c>
      <c r="D589" t="s">
        <v>1446</v>
      </c>
      <c r="E589" t="s">
        <v>52</v>
      </c>
      <c r="F589" t="s">
        <v>53</v>
      </c>
      <c r="G589" t="s">
        <v>27</v>
      </c>
      <c r="H589" t="s">
        <v>54</v>
      </c>
      <c r="I589" t="s">
        <v>55</v>
      </c>
      <c r="J589">
        <v>3</v>
      </c>
      <c r="K589">
        <v>55000</v>
      </c>
      <c r="L589">
        <v>5</v>
      </c>
      <c r="M589">
        <v>156750</v>
      </c>
      <c r="N589">
        <v>115500</v>
      </c>
      <c r="O589">
        <v>41250.000000000007</v>
      </c>
      <c r="P589" t="s">
        <v>109</v>
      </c>
      <c r="Q589" t="s">
        <v>110</v>
      </c>
      <c r="R589" t="s">
        <v>111</v>
      </c>
      <c r="S589" t="s">
        <v>32</v>
      </c>
      <c r="T589" t="s">
        <v>33</v>
      </c>
      <c r="U589" t="s">
        <v>48</v>
      </c>
      <c r="V589">
        <v>3</v>
      </c>
      <c r="W589">
        <f>Table1[[#This Row],[Profit]]/Table1[[#This Row],[Sales]]</f>
        <v>0.26315789473684215</v>
      </c>
    </row>
    <row r="590" spans="1:23" x14ac:dyDescent="0.25">
      <c r="A590" t="s">
        <v>1447</v>
      </c>
      <c r="B590" s="1">
        <v>45965</v>
      </c>
      <c r="C590" t="s">
        <v>1448</v>
      </c>
      <c r="D590" t="s">
        <v>1018</v>
      </c>
      <c r="E590" t="s">
        <v>73</v>
      </c>
      <c r="F590" t="s">
        <v>74</v>
      </c>
      <c r="G590" t="s">
        <v>27</v>
      </c>
      <c r="H590" t="s">
        <v>75</v>
      </c>
      <c r="I590" t="s">
        <v>76</v>
      </c>
      <c r="J590">
        <v>4</v>
      </c>
      <c r="K590">
        <v>3500</v>
      </c>
      <c r="L590">
        <v>15</v>
      </c>
      <c r="M590">
        <v>11900</v>
      </c>
      <c r="N590">
        <v>9800</v>
      </c>
      <c r="O590">
        <v>2100</v>
      </c>
      <c r="P590" t="s">
        <v>43</v>
      </c>
      <c r="Q590" t="s">
        <v>44</v>
      </c>
      <c r="R590" t="s">
        <v>45</v>
      </c>
      <c r="S590" t="s">
        <v>60</v>
      </c>
      <c r="T590" t="s">
        <v>56</v>
      </c>
      <c r="U590" t="s">
        <v>48</v>
      </c>
      <c r="V590">
        <v>2</v>
      </c>
      <c r="W590">
        <f>Table1[[#This Row],[Profit]]/Table1[[#This Row],[Sales]]</f>
        <v>0.17647058823529413</v>
      </c>
    </row>
    <row r="591" spans="1:23" x14ac:dyDescent="0.25">
      <c r="A591" t="s">
        <v>1449</v>
      </c>
      <c r="B591" s="1">
        <v>45728</v>
      </c>
      <c r="C591" t="s">
        <v>254</v>
      </c>
      <c r="D591" t="s">
        <v>1146</v>
      </c>
      <c r="E591" t="s">
        <v>73</v>
      </c>
      <c r="F591" t="s">
        <v>74</v>
      </c>
      <c r="G591" t="s">
        <v>27</v>
      </c>
      <c r="H591" t="s">
        <v>75</v>
      </c>
      <c r="I591" t="s">
        <v>76</v>
      </c>
      <c r="J591">
        <v>5</v>
      </c>
      <c r="K591">
        <v>3500</v>
      </c>
      <c r="L591">
        <v>15</v>
      </c>
      <c r="M591">
        <v>14875</v>
      </c>
      <c r="N591">
        <v>12250</v>
      </c>
      <c r="O591">
        <v>2625</v>
      </c>
      <c r="P591" t="s">
        <v>30</v>
      </c>
      <c r="Q591" t="s">
        <v>30</v>
      </c>
      <c r="R591" t="s">
        <v>31</v>
      </c>
      <c r="S591" t="s">
        <v>32</v>
      </c>
      <c r="T591" t="s">
        <v>33</v>
      </c>
      <c r="U591" t="s">
        <v>48</v>
      </c>
      <c r="V591">
        <v>4</v>
      </c>
      <c r="W591">
        <f>Table1[[#This Row],[Profit]]/Table1[[#This Row],[Sales]]</f>
        <v>0.17647058823529413</v>
      </c>
    </row>
    <row r="592" spans="1:23" x14ac:dyDescent="0.25">
      <c r="A592" t="s">
        <v>1450</v>
      </c>
      <c r="B592" s="1">
        <v>45905</v>
      </c>
      <c r="C592" t="s">
        <v>1451</v>
      </c>
      <c r="D592" t="s">
        <v>999</v>
      </c>
      <c r="E592" t="s">
        <v>73</v>
      </c>
      <c r="F592" t="s">
        <v>74</v>
      </c>
      <c r="G592" t="s">
        <v>27</v>
      </c>
      <c r="H592" t="s">
        <v>75</v>
      </c>
      <c r="I592" t="s">
        <v>76</v>
      </c>
      <c r="J592">
        <v>3</v>
      </c>
      <c r="K592">
        <v>3500</v>
      </c>
      <c r="L592">
        <v>10</v>
      </c>
      <c r="M592">
        <v>9450</v>
      </c>
      <c r="N592">
        <v>7349.9999999999991</v>
      </c>
      <c r="O592">
        <v>2100.0000000000009</v>
      </c>
      <c r="P592" t="s">
        <v>109</v>
      </c>
      <c r="Q592" t="s">
        <v>110</v>
      </c>
      <c r="R592" t="s">
        <v>111</v>
      </c>
      <c r="S592" t="s">
        <v>60</v>
      </c>
      <c r="T592" t="s">
        <v>33</v>
      </c>
      <c r="U592" t="s">
        <v>48</v>
      </c>
      <c r="V592">
        <v>1</v>
      </c>
      <c r="W592">
        <f>Table1[[#This Row],[Profit]]/Table1[[#This Row],[Sales]]</f>
        <v>0.22222222222222232</v>
      </c>
    </row>
    <row r="593" spans="1:23" x14ac:dyDescent="0.25">
      <c r="A593" t="s">
        <v>1452</v>
      </c>
      <c r="B593" s="1">
        <v>45779</v>
      </c>
      <c r="C593" t="s">
        <v>1453</v>
      </c>
      <c r="D593" t="s">
        <v>1454</v>
      </c>
      <c r="E593" t="s">
        <v>25</v>
      </c>
      <c r="F593" t="s">
        <v>26</v>
      </c>
      <c r="G593" t="s">
        <v>27</v>
      </c>
      <c r="H593" t="s">
        <v>28</v>
      </c>
      <c r="I593" t="s">
        <v>29</v>
      </c>
      <c r="J593">
        <v>2</v>
      </c>
      <c r="K593">
        <v>800</v>
      </c>
      <c r="L593">
        <v>5</v>
      </c>
      <c r="M593">
        <v>1520</v>
      </c>
      <c r="N593">
        <v>1120</v>
      </c>
      <c r="O593">
        <v>400</v>
      </c>
      <c r="P593" t="s">
        <v>43</v>
      </c>
      <c r="Q593" t="s">
        <v>44</v>
      </c>
      <c r="R593" t="s">
        <v>45</v>
      </c>
      <c r="S593" t="s">
        <v>32</v>
      </c>
      <c r="T593" t="s">
        <v>56</v>
      </c>
      <c r="U593" t="s">
        <v>34</v>
      </c>
      <c r="V593">
        <v>2</v>
      </c>
      <c r="W593">
        <f>Table1[[#This Row],[Profit]]/Table1[[#This Row],[Sales]]</f>
        <v>0.26315789473684209</v>
      </c>
    </row>
    <row r="594" spans="1:23" x14ac:dyDescent="0.25">
      <c r="A594" t="s">
        <v>1455</v>
      </c>
      <c r="B594" s="1">
        <v>45957</v>
      </c>
      <c r="C594" t="s">
        <v>901</v>
      </c>
      <c r="D594" t="s">
        <v>304</v>
      </c>
      <c r="E594" t="s">
        <v>25</v>
      </c>
      <c r="F594" t="s">
        <v>26</v>
      </c>
      <c r="G594" t="s">
        <v>27</v>
      </c>
      <c r="H594" t="s">
        <v>28</v>
      </c>
      <c r="I594" t="s">
        <v>29</v>
      </c>
      <c r="J594">
        <v>4</v>
      </c>
      <c r="K594">
        <v>800</v>
      </c>
      <c r="L594">
        <v>0</v>
      </c>
      <c r="M594">
        <v>3200</v>
      </c>
      <c r="N594">
        <v>2240</v>
      </c>
      <c r="O594">
        <v>960</v>
      </c>
      <c r="P594" t="s">
        <v>95</v>
      </c>
      <c r="Q594" t="s">
        <v>96</v>
      </c>
      <c r="R594" t="s">
        <v>45</v>
      </c>
      <c r="S594" t="s">
        <v>60</v>
      </c>
      <c r="T594" t="s">
        <v>33</v>
      </c>
      <c r="U594" t="s">
        <v>48</v>
      </c>
      <c r="V594">
        <v>4</v>
      </c>
      <c r="W594">
        <f>Table1[[#This Row],[Profit]]/Table1[[#This Row],[Sales]]</f>
        <v>0.3</v>
      </c>
    </row>
    <row r="595" spans="1:23" x14ac:dyDescent="0.25">
      <c r="A595" t="s">
        <v>1456</v>
      </c>
      <c r="B595" s="1">
        <v>45756</v>
      </c>
      <c r="C595" t="s">
        <v>1457</v>
      </c>
      <c r="D595" t="s">
        <v>1458</v>
      </c>
      <c r="E595" t="s">
        <v>67</v>
      </c>
      <c r="F595" t="s">
        <v>68</v>
      </c>
      <c r="G595" t="s">
        <v>27</v>
      </c>
      <c r="H595" t="s">
        <v>28</v>
      </c>
      <c r="I595" t="s">
        <v>69</v>
      </c>
      <c r="J595">
        <v>2</v>
      </c>
      <c r="K595">
        <v>1500</v>
      </c>
      <c r="L595">
        <v>15</v>
      </c>
      <c r="M595">
        <v>2550</v>
      </c>
      <c r="N595">
        <v>2100</v>
      </c>
      <c r="O595">
        <v>450</v>
      </c>
      <c r="P595" t="s">
        <v>109</v>
      </c>
      <c r="Q595" t="s">
        <v>110</v>
      </c>
      <c r="R595" t="s">
        <v>111</v>
      </c>
      <c r="S595" t="s">
        <v>60</v>
      </c>
      <c r="T595" t="s">
        <v>47</v>
      </c>
      <c r="U595" t="s">
        <v>34</v>
      </c>
      <c r="V595">
        <v>3</v>
      </c>
      <c r="W595">
        <f>Table1[[#This Row],[Profit]]/Table1[[#This Row],[Sales]]</f>
        <v>0.17647058823529413</v>
      </c>
    </row>
    <row r="596" spans="1:23" x14ac:dyDescent="0.25">
      <c r="A596" t="s">
        <v>1459</v>
      </c>
      <c r="B596" s="1">
        <v>46006</v>
      </c>
      <c r="C596" t="s">
        <v>1151</v>
      </c>
      <c r="D596" t="s">
        <v>461</v>
      </c>
      <c r="E596" t="s">
        <v>25</v>
      </c>
      <c r="F596" t="s">
        <v>26</v>
      </c>
      <c r="G596" t="s">
        <v>27</v>
      </c>
      <c r="H596" t="s">
        <v>28</v>
      </c>
      <c r="I596" t="s">
        <v>29</v>
      </c>
      <c r="J596">
        <v>4</v>
      </c>
      <c r="K596">
        <v>800</v>
      </c>
      <c r="L596">
        <v>0</v>
      </c>
      <c r="M596">
        <v>3200</v>
      </c>
      <c r="N596">
        <v>2240</v>
      </c>
      <c r="O596">
        <v>960</v>
      </c>
      <c r="P596" t="s">
        <v>95</v>
      </c>
      <c r="Q596" t="s">
        <v>96</v>
      </c>
      <c r="R596" t="s">
        <v>45</v>
      </c>
      <c r="S596" t="s">
        <v>32</v>
      </c>
      <c r="T596" t="s">
        <v>47</v>
      </c>
      <c r="U596" t="s">
        <v>48</v>
      </c>
      <c r="V596">
        <v>1</v>
      </c>
      <c r="W596">
        <f>Table1[[#This Row],[Profit]]/Table1[[#This Row],[Sales]]</f>
        <v>0.3</v>
      </c>
    </row>
    <row r="597" spans="1:23" x14ac:dyDescent="0.25">
      <c r="A597" t="s">
        <v>1460</v>
      </c>
      <c r="B597" s="1">
        <v>45726</v>
      </c>
      <c r="C597" t="s">
        <v>236</v>
      </c>
      <c r="D597" t="s">
        <v>291</v>
      </c>
      <c r="E597" t="s">
        <v>67</v>
      </c>
      <c r="F597" t="s">
        <v>68</v>
      </c>
      <c r="G597" t="s">
        <v>27</v>
      </c>
      <c r="H597" t="s">
        <v>28</v>
      </c>
      <c r="I597" t="s">
        <v>69</v>
      </c>
      <c r="J597">
        <v>4</v>
      </c>
      <c r="K597">
        <v>1500</v>
      </c>
      <c r="L597">
        <v>0</v>
      </c>
      <c r="M597">
        <v>6000</v>
      </c>
      <c r="N597">
        <v>4200</v>
      </c>
      <c r="O597">
        <v>1800</v>
      </c>
      <c r="P597" t="s">
        <v>30</v>
      </c>
      <c r="Q597" t="s">
        <v>30</v>
      </c>
      <c r="R597" t="s">
        <v>31</v>
      </c>
      <c r="S597" t="s">
        <v>60</v>
      </c>
      <c r="T597" t="s">
        <v>47</v>
      </c>
      <c r="U597" t="s">
        <v>34</v>
      </c>
      <c r="V597">
        <v>3</v>
      </c>
      <c r="W597">
        <f>Table1[[#This Row],[Profit]]/Table1[[#This Row],[Sales]]</f>
        <v>0.3</v>
      </c>
    </row>
    <row r="598" spans="1:23" x14ac:dyDescent="0.25">
      <c r="A598" t="s">
        <v>1461</v>
      </c>
      <c r="B598" s="1">
        <v>45955</v>
      </c>
      <c r="C598" t="s">
        <v>1462</v>
      </c>
      <c r="D598" t="s">
        <v>1016</v>
      </c>
      <c r="E598" t="s">
        <v>73</v>
      </c>
      <c r="F598" t="s">
        <v>74</v>
      </c>
      <c r="G598" t="s">
        <v>27</v>
      </c>
      <c r="H598" t="s">
        <v>75</v>
      </c>
      <c r="I598" t="s">
        <v>76</v>
      </c>
      <c r="J598">
        <v>4</v>
      </c>
      <c r="K598">
        <v>3500</v>
      </c>
      <c r="L598">
        <v>15</v>
      </c>
      <c r="M598">
        <v>11900</v>
      </c>
      <c r="N598">
        <v>9800</v>
      </c>
      <c r="O598">
        <v>2100</v>
      </c>
      <c r="P598" t="s">
        <v>95</v>
      </c>
      <c r="Q598" t="s">
        <v>96</v>
      </c>
      <c r="R598" t="s">
        <v>45</v>
      </c>
      <c r="S598" t="s">
        <v>46</v>
      </c>
      <c r="T598" t="s">
        <v>47</v>
      </c>
      <c r="U598" t="s">
        <v>48</v>
      </c>
      <c r="V598">
        <v>4</v>
      </c>
      <c r="W598">
        <f>Table1[[#This Row],[Profit]]/Table1[[#This Row],[Sales]]</f>
        <v>0.17647058823529413</v>
      </c>
    </row>
    <row r="599" spans="1:23" x14ac:dyDescent="0.25">
      <c r="A599" t="s">
        <v>1463</v>
      </c>
      <c r="B599" s="1">
        <v>45892</v>
      </c>
      <c r="C599" t="s">
        <v>892</v>
      </c>
      <c r="D599" t="s">
        <v>379</v>
      </c>
      <c r="E599" t="s">
        <v>38</v>
      </c>
      <c r="F599" t="s">
        <v>39</v>
      </c>
      <c r="G599" t="s">
        <v>40</v>
      </c>
      <c r="H599" t="s">
        <v>41</v>
      </c>
      <c r="I599" t="s">
        <v>42</v>
      </c>
      <c r="J599">
        <v>5</v>
      </c>
      <c r="K599">
        <v>4500</v>
      </c>
      <c r="L599">
        <v>5</v>
      </c>
      <c r="M599">
        <v>21375</v>
      </c>
      <c r="N599">
        <v>15750</v>
      </c>
      <c r="O599">
        <v>5625.0000000000018</v>
      </c>
      <c r="P599" t="s">
        <v>109</v>
      </c>
      <c r="Q599" t="s">
        <v>110</v>
      </c>
      <c r="R599" t="s">
        <v>111</v>
      </c>
      <c r="S599" t="s">
        <v>32</v>
      </c>
      <c r="T599" t="s">
        <v>56</v>
      </c>
      <c r="U599" t="s">
        <v>48</v>
      </c>
      <c r="V599">
        <v>4</v>
      </c>
      <c r="W599">
        <f>Table1[[#This Row],[Profit]]/Table1[[#This Row],[Sales]]</f>
        <v>0.2631578947368422</v>
      </c>
    </row>
    <row r="600" spans="1:23" x14ac:dyDescent="0.25">
      <c r="A600" t="s">
        <v>1464</v>
      </c>
      <c r="B600" s="1">
        <v>45943</v>
      </c>
      <c r="C600" t="s">
        <v>1465</v>
      </c>
      <c r="D600" t="s">
        <v>679</v>
      </c>
      <c r="E600" t="s">
        <v>73</v>
      </c>
      <c r="F600" t="s">
        <v>74</v>
      </c>
      <c r="G600" t="s">
        <v>27</v>
      </c>
      <c r="H600" t="s">
        <v>75</v>
      </c>
      <c r="I600" t="s">
        <v>76</v>
      </c>
      <c r="J600">
        <v>1</v>
      </c>
      <c r="K600">
        <v>3500</v>
      </c>
      <c r="L600">
        <v>15</v>
      </c>
      <c r="M600">
        <v>2975</v>
      </c>
      <c r="N600">
        <v>2450</v>
      </c>
      <c r="O600">
        <v>525</v>
      </c>
      <c r="P600" t="s">
        <v>109</v>
      </c>
      <c r="Q600" t="s">
        <v>110</v>
      </c>
      <c r="R600" t="s">
        <v>111</v>
      </c>
      <c r="S600" t="s">
        <v>46</v>
      </c>
      <c r="T600" t="s">
        <v>47</v>
      </c>
      <c r="U600" t="s">
        <v>34</v>
      </c>
      <c r="V600">
        <v>2</v>
      </c>
      <c r="W600">
        <f>Table1[[#This Row],[Profit]]/Table1[[#This Row],[Sales]]</f>
        <v>0.17647058823529413</v>
      </c>
    </row>
    <row r="601" spans="1:23" x14ac:dyDescent="0.25">
      <c r="A601" t="s">
        <v>1466</v>
      </c>
      <c r="B601" s="1">
        <v>45963</v>
      </c>
      <c r="C601" t="s">
        <v>1467</v>
      </c>
      <c r="D601" t="s">
        <v>906</v>
      </c>
      <c r="E601" t="s">
        <v>73</v>
      </c>
      <c r="F601" t="s">
        <v>74</v>
      </c>
      <c r="G601" t="s">
        <v>27</v>
      </c>
      <c r="H601" t="s">
        <v>75</v>
      </c>
      <c r="I601" t="s">
        <v>76</v>
      </c>
      <c r="J601">
        <v>2</v>
      </c>
      <c r="K601">
        <v>3500</v>
      </c>
      <c r="L601">
        <v>15</v>
      </c>
      <c r="M601">
        <v>5950</v>
      </c>
      <c r="N601">
        <v>4900</v>
      </c>
      <c r="O601">
        <v>1050</v>
      </c>
      <c r="P601" t="s">
        <v>43</v>
      </c>
      <c r="Q601" t="s">
        <v>44</v>
      </c>
      <c r="R601" t="s">
        <v>45</v>
      </c>
      <c r="S601" t="s">
        <v>32</v>
      </c>
      <c r="T601" t="s">
        <v>56</v>
      </c>
      <c r="U601" t="s">
        <v>34</v>
      </c>
      <c r="V601">
        <v>3</v>
      </c>
      <c r="W601">
        <f>Table1[[#This Row],[Profit]]/Table1[[#This Row],[Sales]]</f>
        <v>0.17647058823529413</v>
      </c>
    </row>
    <row r="602" spans="1:23" x14ac:dyDescent="0.25">
      <c r="A602" t="s">
        <v>1468</v>
      </c>
      <c r="B602" s="1">
        <v>45845</v>
      </c>
      <c r="C602" t="s">
        <v>712</v>
      </c>
      <c r="D602" t="s">
        <v>595</v>
      </c>
      <c r="E602" t="s">
        <v>73</v>
      </c>
      <c r="F602" t="s">
        <v>74</v>
      </c>
      <c r="G602" t="s">
        <v>27</v>
      </c>
      <c r="H602" t="s">
        <v>75</v>
      </c>
      <c r="I602" t="s">
        <v>76</v>
      </c>
      <c r="J602">
        <v>4</v>
      </c>
      <c r="K602">
        <v>3500</v>
      </c>
      <c r="L602">
        <v>5</v>
      </c>
      <c r="M602">
        <v>13300</v>
      </c>
      <c r="N602">
        <v>9800</v>
      </c>
      <c r="O602">
        <v>3500</v>
      </c>
      <c r="P602" t="s">
        <v>43</v>
      </c>
      <c r="Q602" t="s">
        <v>44</v>
      </c>
      <c r="R602" t="s">
        <v>45</v>
      </c>
      <c r="S602" t="s">
        <v>32</v>
      </c>
      <c r="T602" t="s">
        <v>56</v>
      </c>
      <c r="U602" t="s">
        <v>48</v>
      </c>
      <c r="V602">
        <v>2</v>
      </c>
      <c r="W602">
        <f>Table1[[#This Row],[Profit]]/Table1[[#This Row],[Sales]]</f>
        <v>0.26315789473684209</v>
      </c>
    </row>
    <row r="603" spans="1:23" x14ac:dyDescent="0.25">
      <c r="A603" t="s">
        <v>1469</v>
      </c>
      <c r="B603" s="1">
        <v>45918</v>
      </c>
      <c r="C603" t="s">
        <v>1470</v>
      </c>
      <c r="D603" t="s">
        <v>1471</v>
      </c>
      <c r="E603" t="s">
        <v>38</v>
      </c>
      <c r="F603" t="s">
        <v>39</v>
      </c>
      <c r="G603" t="s">
        <v>40</v>
      </c>
      <c r="H603" t="s">
        <v>41</v>
      </c>
      <c r="I603" t="s">
        <v>42</v>
      </c>
      <c r="J603">
        <v>2</v>
      </c>
      <c r="K603">
        <v>4500</v>
      </c>
      <c r="L603">
        <v>0</v>
      </c>
      <c r="M603">
        <v>9000</v>
      </c>
      <c r="N603">
        <v>6300</v>
      </c>
      <c r="O603">
        <v>2700</v>
      </c>
      <c r="P603" t="s">
        <v>109</v>
      </c>
      <c r="Q603" t="s">
        <v>110</v>
      </c>
      <c r="R603" t="s">
        <v>111</v>
      </c>
      <c r="S603" t="s">
        <v>46</v>
      </c>
      <c r="T603" t="s">
        <v>47</v>
      </c>
      <c r="U603" t="s">
        <v>34</v>
      </c>
      <c r="V603">
        <v>4</v>
      </c>
      <c r="W603">
        <f>Table1[[#This Row],[Profit]]/Table1[[#This Row],[Sales]]</f>
        <v>0.3</v>
      </c>
    </row>
    <row r="604" spans="1:23" x14ac:dyDescent="0.25">
      <c r="A604" t="s">
        <v>1472</v>
      </c>
      <c r="B604" s="1">
        <v>45900</v>
      </c>
      <c r="C604" t="s">
        <v>1415</v>
      </c>
      <c r="D604" t="s">
        <v>159</v>
      </c>
      <c r="E604" t="s">
        <v>73</v>
      </c>
      <c r="F604" t="s">
        <v>74</v>
      </c>
      <c r="G604" t="s">
        <v>27</v>
      </c>
      <c r="H604" t="s">
        <v>75</v>
      </c>
      <c r="I604" t="s">
        <v>76</v>
      </c>
      <c r="J604">
        <v>4</v>
      </c>
      <c r="K604">
        <v>3500</v>
      </c>
      <c r="L604">
        <v>10</v>
      </c>
      <c r="M604">
        <v>12600</v>
      </c>
      <c r="N604">
        <v>9800</v>
      </c>
      <c r="O604">
        <v>2800</v>
      </c>
      <c r="P604" t="s">
        <v>30</v>
      </c>
      <c r="Q604" t="s">
        <v>30</v>
      </c>
      <c r="R604" t="s">
        <v>31</v>
      </c>
      <c r="S604" t="s">
        <v>60</v>
      </c>
      <c r="T604" t="s">
        <v>33</v>
      </c>
      <c r="U604" t="s">
        <v>48</v>
      </c>
      <c r="V604">
        <v>2</v>
      </c>
      <c r="W604">
        <f>Table1[[#This Row],[Profit]]/Table1[[#This Row],[Sales]]</f>
        <v>0.22222222222222221</v>
      </c>
    </row>
    <row r="605" spans="1:23" x14ac:dyDescent="0.25">
      <c r="A605" t="s">
        <v>1473</v>
      </c>
      <c r="B605" s="1">
        <v>45817</v>
      </c>
      <c r="C605" t="s">
        <v>723</v>
      </c>
      <c r="D605" t="s">
        <v>1155</v>
      </c>
      <c r="E605" t="s">
        <v>38</v>
      </c>
      <c r="F605" t="s">
        <v>39</v>
      </c>
      <c r="G605" t="s">
        <v>40</v>
      </c>
      <c r="H605" t="s">
        <v>41</v>
      </c>
      <c r="I605" t="s">
        <v>42</v>
      </c>
      <c r="J605">
        <v>4</v>
      </c>
      <c r="K605">
        <v>4500</v>
      </c>
      <c r="L605">
        <v>10</v>
      </c>
      <c r="M605">
        <v>16200</v>
      </c>
      <c r="N605">
        <v>12600</v>
      </c>
      <c r="O605">
        <v>3600</v>
      </c>
      <c r="P605" t="s">
        <v>95</v>
      </c>
      <c r="Q605" t="s">
        <v>96</v>
      </c>
      <c r="R605" t="s">
        <v>45</v>
      </c>
      <c r="S605" t="s">
        <v>32</v>
      </c>
      <c r="T605" t="s">
        <v>33</v>
      </c>
      <c r="U605" t="s">
        <v>34</v>
      </c>
      <c r="V605">
        <v>5</v>
      </c>
      <c r="W605">
        <f>Table1[[#This Row],[Profit]]/Table1[[#This Row],[Sales]]</f>
        <v>0.22222222222222221</v>
      </c>
    </row>
    <row r="606" spans="1:23" x14ac:dyDescent="0.25">
      <c r="A606" t="s">
        <v>1474</v>
      </c>
      <c r="B606" s="1">
        <v>45730</v>
      </c>
      <c r="C606" t="s">
        <v>1475</v>
      </c>
      <c r="D606" t="s">
        <v>1237</v>
      </c>
      <c r="E606" t="s">
        <v>52</v>
      </c>
      <c r="F606" t="s">
        <v>53</v>
      </c>
      <c r="G606" t="s">
        <v>27</v>
      </c>
      <c r="H606" t="s">
        <v>54</v>
      </c>
      <c r="I606" t="s">
        <v>55</v>
      </c>
      <c r="J606">
        <v>4</v>
      </c>
      <c r="K606">
        <v>55000</v>
      </c>
      <c r="L606">
        <v>10</v>
      </c>
      <c r="M606">
        <v>198000</v>
      </c>
      <c r="N606">
        <v>154000</v>
      </c>
      <c r="O606">
        <v>44000</v>
      </c>
      <c r="P606" t="s">
        <v>109</v>
      </c>
      <c r="Q606" t="s">
        <v>110</v>
      </c>
      <c r="R606" t="s">
        <v>111</v>
      </c>
      <c r="S606" t="s">
        <v>46</v>
      </c>
      <c r="T606" t="s">
        <v>56</v>
      </c>
      <c r="U606" t="s">
        <v>48</v>
      </c>
      <c r="V606">
        <v>4</v>
      </c>
      <c r="W606">
        <f>Table1[[#This Row],[Profit]]/Table1[[#This Row],[Sales]]</f>
        <v>0.22222222222222221</v>
      </c>
    </row>
    <row r="607" spans="1:23" x14ac:dyDescent="0.25">
      <c r="A607" t="s">
        <v>1476</v>
      </c>
      <c r="B607" s="1">
        <v>45849</v>
      </c>
      <c r="C607" t="s">
        <v>1477</v>
      </c>
      <c r="D607" t="s">
        <v>1478</v>
      </c>
      <c r="E607" t="s">
        <v>67</v>
      </c>
      <c r="F607" t="s">
        <v>68</v>
      </c>
      <c r="G607" t="s">
        <v>27</v>
      </c>
      <c r="H607" t="s">
        <v>28</v>
      </c>
      <c r="I607" t="s">
        <v>69</v>
      </c>
      <c r="J607">
        <v>5</v>
      </c>
      <c r="K607">
        <v>1500</v>
      </c>
      <c r="L607">
        <v>15</v>
      </c>
      <c r="M607">
        <v>6375</v>
      </c>
      <c r="N607">
        <v>5250</v>
      </c>
      <c r="O607">
        <v>1125</v>
      </c>
      <c r="P607" t="s">
        <v>30</v>
      </c>
      <c r="Q607" t="s">
        <v>30</v>
      </c>
      <c r="R607" t="s">
        <v>31</v>
      </c>
      <c r="S607" t="s">
        <v>46</v>
      </c>
      <c r="T607" t="s">
        <v>33</v>
      </c>
      <c r="U607" t="s">
        <v>34</v>
      </c>
      <c r="V607">
        <v>3</v>
      </c>
      <c r="W607">
        <f>Table1[[#This Row],[Profit]]/Table1[[#This Row],[Sales]]</f>
        <v>0.17647058823529413</v>
      </c>
    </row>
    <row r="608" spans="1:23" x14ac:dyDescent="0.25">
      <c r="A608" t="s">
        <v>1479</v>
      </c>
      <c r="B608" s="1">
        <v>45729</v>
      </c>
      <c r="C608" t="s">
        <v>1227</v>
      </c>
      <c r="D608" t="s">
        <v>1480</v>
      </c>
      <c r="E608" t="s">
        <v>73</v>
      </c>
      <c r="F608" t="s">
        <v>74</v>
      </c>
      <c r="G608" t="s">
        <v>27</v>
      </c>
      <c r="H608" t="s">
        <v>75</v>
      </c>
      <c r="I608" t="s">
        <v>76</v>
      </c>
      <c r="J608">
        <v>3</v>
      </c>
      <c r="K608">
        <v>3500</v>
      </c>
      <c r="L608">
        <v>0</v>
      </c>
      <c r="M608">
        <v>10500</v>
      </c>
      <c r="N608">
        <v>7349.9999999999991</v>
      </c>
      <c r="O608">
        <v>3150.0000000000009</v>
      </c>
      <c r="P608" t="s">
        <v>109</v>
      </c>
      <c r="Q608" t="s">
        <v>110</v>
      </c>
      <c r="R608" t="s">
        <v>111</v>
      </c>
      <c r="S608" t="s">
        <v>46</v>
      </c>
      <c r="T608" t="s">
        <v>47</v>
      </c>
      <c r="U608" t="s">
        <v>48</v>
      </c>
      <c r="V608">
        <v>2</v>
      </c>
      <c r="W608">
        <f>Table1[[#This Row],[Profit]]/Table1[[#This Row],[Sales]]</f>
        <v>0.3000000000000001</v>
      </c>
    </row>
    <row r="609" spans="1:23" x14ac:dyDescent="0.25">
      <c r="A609" t="s">
        <v>1481</v>
      </c>
      <c r="B609" s="1">
        <v>45758</v>
      </c>
      <c r="C609" t="s">
        <v>134</v>
      </c>
      <c r="D609" t="s">
        <v>1482</v>
      </c>
      <c r="E609" t="s">
        <v>67</v>
      </c>
      <c r="F609" t="s">
        <v>68</v>
      </c>
      <c r="G609" t="s">
        <v>27</v>
      </c>
      <c r="H609" t="s">
        <v>28</v>
      </c>
      <c r="I609" t="s">
        <v>69</v>
      </c>
      <c r="J609">
        <v>4</v>
      </c>
      <c r="K609">
        <v>1500</v>
      </c>
      <c r="L609">
        <v>10</v>
      </c>
      <c r="M609">
        <v>5400</v>
      </c>
      <c r="N609">
        <v>4200</v>
      </c>
      <c r="O609">
        <v>1200</v>
      </c>
      <c r="P609" t="s">
        <v>109</v>
      </c>
      <c r="Q609" t="s">
        <v>110</v>
      </c>
      <c r="R609" t="s">
        <v>111</v>
      </c>
      <c r="S609" t="s">
        <v>32</v>
      </c>
      <c r="T609" t="s">
        <v>33</v>
      </c>
      <c r="U609" t="s">
        <v>48</v>
      </c>
      <c r="V609">
        <v>1</v>
      </c>
      <c r="W609">
        <f>Table1[[#This Row],[Profit]]/Table1[[#This Row],[Sales]]</f>
        <v>0.22222222222222221</v>
      </c>
    </row>
    <row r="610" spans="1:23" x14ac:dyDescent="0.25">
      <c r="A610" t="s">
        <v>1483</v>
      </c>
      <c r="B610" s="1">
        <v>45703</v>
      </c>
      <c r="C610" t="s">
        <v>1484</v>
      </c>
      <c r="D610" t="s">
        <v>655</v>
      </c>
      <c r="E610" t="s">
        <v>67</v>
      </c>
      <c r="F610" t="s">
        <v>68</v>
      </c>
      <c r="G610" t="s">
        <v>27</v>
      </c>
      <c r="H610" t="s">
        <v>28</v>
      </c>
      <c r="I610" t="s">
        <v>69</v>
      </c>
      <c r="J610">
        <v>2</v>
      </c>
      <c r="K610">
        <v>1500</v>
      </c>
      <c r="L610">
        <v>5</v>
      </c>
      <c r="M610">
        <v>2850</v>
      </c>
      <c r="N610">
        <v>2100</v>
      </c>
      <c r="O610">
        <v>750</v>
      </c>
      <c r="P610" t="s">
        <v>30</v>
      </c>
      <c r="Q610" t="s">
        <v>30</v>
      </c>
      <c r="R610" t="s">
        <v>31</v>
      </c>
      <c r="S610" t="s">
        <v>46</v>
      </c>
      <c r="T610" t="s">
        <v>33</v>
      </c>
      <c r="U610" t="s">
        <v>48</v>
      </c>
      <c r="V610">
        <v>5</v>
      </c>
      <c r="W610">
        <f>Table1[[#This Row],[Profit]]/Table1[[#This Row],[Sales]]</f>
        <v>0.26315789473684209</v>
      </c>
    </row>
    <row r="611" spans="1:23" x14ac:dyDescent="0.25">
      <c r="A611" t="s">
        <v>1485</v>
      </c>
      <c r="B611" s="1">
        <v>45945</v>
      </c>
      <c r="C611" t="s">
        <v>1486</v>
      </c>
      <c r="D611" t="s">
        <v>1487</v>
      </c>
      <c r="E611" t="s">
        <v>67</v>
      </c>
      <c r="F611" t="s">
        <v>68</v>
      </c>
      <c r="G611" t="s">
        <v>27</v>
      </c>
      <c r="H611" t="s">
        <v>28</v>
      </c>
      <c r="I611" t="s">
        <v>69</v>
      </c>
      <c r="J611">
        <v>3</v>
      </c>
      <c r="K611">
        <v>1500</v>
      </c>
      <c r="L611">
        <v>0</v>
      </c>
      <c r="M611">
        <v>4500</v>
      </c>
      <c r="N611">
        <v>3150</v>
      </c>
      <c r="O611">
        <v>1350</v>
      </c>
      <c r="P611" t="s">
        <v>43</v>
      </c>
      <c r="Q611" t="s">
        <v>44</v>
      </c>
      <c r="R611" t="s">
        <v>45</v>
      </c>
      <c r="S611" t="s">
        <v>46</v>
      </c>
      <c r="T611" t="s">
        <v>47</v>
      </c>
      <c r="U611" t="s">
        <v>34</v>
      </c>
      <c r="V611">
        <v>4</v>
      </c>
      <c r="W611">
        <f>Table1[[#This Row],[Profit]]/Table1[[#This Row],[Sales]]</f>
        <v>0.3</v>
      </c>
    </row>
    <row r="612" spans="1:23" x14ac:dyDescent="0.25">
      <c r="A612" t="s">
        <v>1488</v>
      </c>
      <c r="B612" s="1">
        <v>45965</v>
      </c>
      <c r="C612" t="s">
        <v>778</v>
      </c>
      <c r="D612" t="s">
        <v>1489</v>
      </c>
      <c r="E612" t="s">
        <v>25</v>
      </c>
      <c r="F612" t="s">
        <v>26</v>
      </c>
      <c r="G612" t="s">
        <v>27</v>
      </c>
      <c r="H612" t="s">
        <v>28</v>
      </c>
      <c r="I612" t="s">
        <v>29</v>
      </c>
      <c r="J612">
        <v>3</v>
      </c>
      <c r="K612">
        <v>800</v>
      </c>
      <c r="L612">
        <v>5</v>
      </c>
      <c r="M612">
        <v>2280</v>
      </c>
      <c r="N612">
        <v>1680</v>
      </c>
      <c r="O612">
        <v>600</v>
      </c>
      <c r="P612" t="s">
        <v>95</v>
      </c>
      <c r="Q612" t="s">
        <v>96</v>
      </c>
      <c r="R612" t="s">
        <v>45</v>
      </c>
      <c r="S612" t="s">
        <v>32</v>
      </c>
      <c r="T612" t="s">
        <v>47</v>
      </c>
      <c r="U612" t="s">
        <v>34</v>
      </c>
      <c r="V612">
        <v>2</v>
      </c>
      <c r="W612">
        <f>Table1[[#This Row],[Profit]]/Table1[[#This Row],[Sales]]</f>
        <v>0.26315789473684209</v>
      </c>
    </row>
    <row r="613" spans="1:23" x14ac:dyDescent="0.25">
      <c r="A613" t="s">
        <v>1490</v>
      </c>
      <c r="B613" s="1">
        <v>45946</v>
      </c>
      <c r="C613" t="s">
        <v>1491</v>
      </c>
      <c r="D613" t="s">
        <v>976</v>
      </c>
      <c r="E613" t="s">
        <v>25</v>
      </c>
      <c r="F613" t="s">
        <v>26</v>
      </c>
      <c r="G613" t="s">
        <v>27</v>
      </c>
      <c r="H613" t="s">
        <v>28</v>
      </c>
      <c r="I613" t="s">
        <v>29</v>
      </c>
      <c r="J613">
        <v>3</v>
      </c>
      <c r="K613">
        <v>800</v>
      </c>
      <c r="L613">
        <v>15</v>
      </c>
      <c r="M613">
        <v>2040</v>
      </c>
      <c r="N613">
        <v>1680</v>
      </c>
      <c r="O613">
        <v>360</v>
      </c>
      <c r="P613" t="s">
        <v>109</v>
      </c>
      <c r="Q613" t="s">
        <v>110</v>
      </c>
      <c r="R613" t="s">
        <v>111</v>
      </c>
      <c r="S613" t="s">
        <v>32</v>
      </c>
      <c r="T613" t="s">
        <v>33</v>
      </c>
      <c r="U613" t="s">
        <v>48</v>
      </c>
      <c r="V613">
        <v>3</v>
      </c>
      <c r="W613">
        <f>Table1[[#This Row],[Profit]]/Table1[[#This Row],[Sales]]</f>
        <v>0.17647058823529413</v>
      </c>
    </row>
    <row r="614" spans="1:23" x14ac:dyDescent="0.25">
      <c r="A614" t="s">
        <v>1492</v>
      </c>
      <c r="B614" s="1">
        <v>45727</v>
      </c>
      <c r="C614" t="s">
        <v>1493</v>
      </c>
      <c r="D614" t="s">
        <v>1494</v>
      </c>
      <c r="E614" t="s">
        <v>25</v>
      </c>
      <c r="F614" t="s">
        <v>26</v>
      </c>
      <c r="G614" t="s">
        <v>27</v>
      </c>
      <c r="H614" t="s">
        <v>28</v>
      </c>
      <c r="I614" t="s">
        <v>29</v>
      </c>
      <c r="J614">
        <v>3</v>
      </c>
      <c r="K614">
        <v>800</v>
      </c>
      <c r="L614">
        <v>5</v>
      </c>
      <c r="M614">
        <v>2280</v>
      </c>
      <c r="N614">
        <v>1680</v>
      </c>
      <c r="O614">
        <v>600</v>
      </c>
      <c r="P614" t="s">
        <v>30</v>
      </c>
      <c r="Q614" t="s">
        <v>30</v>
      </c>
      <c r="R614" t="s">
        <v>31</v>
      </c>
      <c r="S614" t="s">
        <v>60</v>
      </c>
      <c r="T614" t="s">
        <v>47</v>
      </c>
      <c r="U614" t="s">
        <v>34</v>
      </c>
      <c r="V614">
        <v>4</v>
      </c>
      <c r="W614">
        <f>Table1[[#This Row],[Profit]]/Table1[[#This Row],[Sales]]</f>
        <v>0.26315789473684209</v>
      </c>
    </row>
    <row r="615" spans="1:23" x14ac:dyDescent="0.25">
      <c r="A615" t="s">
        <v>1495</v>
      </c>
      <c r="B615" s="1">
        <v>45921</v>
      </c>
      <c r="C615" t="s">
        <v>1210</v>
      </c>
      <c r="D615" t="s">
        <v>313</v>
      </c>
      <c r="E615" t="s">
        <v>25</v>
      </c>
      <c r="F615" t="s">
        <v>26</v>
      </c>
      <c r="G615" t="s">
        <v>27</v>
      </c>
      <c r="H615" t="s">
        <v>28</v>
      </c>
      <c r="I615" t="s">
        <v>29</v>
      </c>
      <c r="J615">
        <v>4</v>
      </c>
      <c r="K615">
        <v>800</v>
      </c>
      <c r="L615">
        <v>15</v>
      </c>
      <c r="M615">
        <v>2720</v>
      </c>
      <c r="N615">
        <v>2240</v>
      </c>
      <c r="O615">
        <v>480</v>
      </c>
      <c r="P615" t="s">
        <v>95</v>
      </c>
      <c r="Q615" t="s">
        <v>96</v>
      </c>
      <c r="R615" t="s">
        <v>45</v>
      </c>
      <c r="S615" t="s">
        <v>32</v>
      </c>
      <c r="T615" t="s">
        <v>47</v>
      </c>
      <c r="U615" t="s">
        <v>48</v>
      </c>
      <c r="V615">
        <v>5</v>
      </c>
      <c r="W615">
        <f>Table1[[#This Row],[Profit]]/Table1[[#This Row],[Sales]]</f>
        <v>0.17647058823529413</v>
      </c>
    </row>
    <row r="616" spans="1:23" x14ac:dyDescent="0.25">
      <c r="A616" t="s">
        <v>1496</v>
      </c>
      <c r="B616" s="1">
        <v>45987</v>
      </c>
      <c r="C616" t="s">
        <v>1497</v>
      </c>
      <c r="D616" t="s">
        <v>526</v>
      </c>
      <c r="E616" t="s">
        <v>25</v>
      </c>
      <c r="F616" t="s">
        <v>26</v>
      </c>
      <c r="G616" t="s">
        <v>27</v>
      </c>
      <c r="H616" t="s">
        <v>28</v>
      </c>
      <c r="I616" t="s">
        <v>29</v>
      </c>
      <c r="J616">
        <v>1</v>
      </c>
      <c r="K616">
        <v>800</v>
      </c>
      <c r="L616">
        <v>15</v>
      </c>
      <c r="M616">
        <v>680</v>
      </c>
      <c r="N616">
        <v>560</v>
      </c>
      <c r="O616">
        <v>120</v>
      </c>
      <c r="P616" t="s">
        <v>30</v>
      </c>
      <c r="Q616" t="s">
        <v>30</v>
      </c>
      <c r="R616" t="s">
        <v>31</v>
      </c>
      <c r="S616" t="s">
        <v>60</v>
      </c>
      <c r="T616" t="s">
        <v>56</v>
      </c>
      <c r="U616" t="s">
        <v>34</v>
      </c>
      <c r="V616">
        <v>3</v>
      </c>
      <c r="W616">
        <f>Table1[[#This Row],[Profit]]/Table1[[#This Row],[Sales]]</f>
        <v>0.17647058823529413</v>
      </c>
    </row>
    <row r="617" spans="1:23" x14ac:dyDescent="0.25">
      <c r="A617" t="s">
        <v>1498</v>
      </c>
      <c r="B617" s="1">
        <v>45892</v>
      </c>
      <c r="C617" t="s">
        <v>1499</v>
      </c>
      <c r="D617" t="s">
        <v>162</v>
      </c>
      <c r="E617" t="s">
        <v>52</v>
      </c>
      <c r="F617" t="s">
        <v>53</v>
      </c>
      <c r="G617" t="s">
        <v>27</v>
      </c>
      <c r="H617" t="s">
        <v>54</v>
      </c>
      <c r="I617" t="s">
        <v>55</v>
      </c>
      <c r="J617">
        <v>3</v>
      </c>
      <c r="K617">
        <v>55000</v>
      </c>
      <c r="L617">
        <v>5</v>
      </c>
      <c r="M617">
        <v>156750</v>
      </c>
      <c r="N617">
        <v>115500</v>
      </c>
      <c r="O617">
        <v>41250.000000000007</v>
      </c>
      <c r="P617" t="s">
        <v>43</v>
      </c>
      <c r="Q617" t="s">
        <v>44</v>
      </c>
      <c r="R617" t="s">
        <v>45</v>
      </c>
      <c r="S617" t="s">
        <v>32</v>
      </c>
      <c r="T617" t="s">
        <v>47</v>
      </c>
      <c r="U617" t="s">
        <v>48</v>
      </c>
      <c r="V617">
        <v>3</v>
      </c>
      <c r="W617">
        <f>Table1[[#This Row],[Profit]]/Table1[[#This Row],[Sales]]</f>
        <v>0.26315789473684215</v>
      </c>
    </row>
    <row r="618" spans="1:23" x14ac:dyDescent="0.25">
      <c r="A618" t="s">
        <v>1500</v>
      </c>
      <c r="B618" s="1">
        <v>45706</v>
      </c>
      <c r="C618" t="s">
        <v>340</v>
      </c>
      <c r="D618" t="s">
        <v>1501</v>
      </c>
      <c r="E618" t="s">
        <v>38</v>
      </c>
      <c r="F618" t="s">
        <v>39</v>
      </c>
      <c r="G618" t="s">
        <v>40</v>
      </c>
      <c r="H618" t="s">
        <v>41</v>
      </c>
      <c r="I618" t="s">
        <v>42</v>
      </c>
      <c r="J618">
        <v>4</v>
      </c>
      <c r="K618">
        <v>4500</v>
      </c>
      <c r="L618">
        <v>10</v>
      </c>
      <c r="M618">
        <v>16200</v>
      </c>
      <c r="N618">
        <v>12600</v>
      </c>
      <c r="O618">
        <v>3600</v>
      </c>
      <c r="P618" t="s">
        <v>30</v>
      </c>
      <c r="Q618" t="s">
        <v>30</v>
      </c>
      <c r="R618" t="s">
        <v>31</v>
      </c>
      <c r="S618" t="s">
        <v>46</v>
      </c>
      <c r="T618" t="s">
        <v>47</v>
      </c>
      <c r="U618" t="s">
        <v>48</v>
      </c>
      <c r="V618">
        <v>5</v>
      </c>
      <c r="W618">
        <f>Table1[[#This Row],[Profit]]/Table1[[#This Row],[Sales]]</f>
        <v>0.22222222222222221</v>
      </c>
    </row>
    <row r="619" spans="1:23" x14ac:dyDescent="0.25">
      <c r="A619" t="s">
        <v>1502</v>
      </c>
      <c r="B619" s="1">
        <v>45971</v>
      </c>
      <c r="C619" t="s">
        <v>1348</v>
      </c>
      <c r="D619" t="s">
        <v>946</v>
      </c>
      <c r="E619" t="s">
        <v>52</v>
      </c>
      <c r="F619" t="s">
        <v>53</v>
      </c>
      <c r="G619" t="s">
        <v>27</v>
      </c>
      <c r="H619" t="s">
        <v>54</v>
      </c>
      <c r="I619" t="s">
        <v>55</v>
      </c>
      <c r="J619">
        <v>3</v>
      </c>
      <c r="K619">
        <v>55000</v>
      </c>
      <c r="L619">
        <v>0</v>
      </c>
      <c r="M619">
        <v>165000</v>
      </c>
      <c r="N619">
        <v>115500</v>
      </c>
      <c r="O619">
        <v>49500.000000000007</v>
      </c>
      <c r="P619" t="s">
        <v>30</v>
      </c>
      <c r="Q619" t="s">
        <v>30</v>
      </c>
      <c r="R619" t="s">
        <v>31</v>
      </c>
      <c r="S619" t="s">
        <v>46</v>
      </c>
      <c r="T619" t="s">
        <v>56</v>
      </c>
      <c r="U619" t="s">
        <v>34</v>
      </c>
      <c r="V619">
        <v>5</v>
      </c>
      <c r="W619">
        <f>Table1[[#This Row],[Profit]]/Table1[[#This Row],[Sales]]</f>
        <v>0.30000000000000004</v>
      </c>
    </row>
    <row r="620" spans="1:23" x14ac:dyDescent="0.25">
      <c r="A620" t="s">
        <v>1503</v>
      </c>
      <c r="B620" s="1">
        <v>45843</v>
      </c>
      <c r="C620" t="s">
        <v>1504</v>
      </c>
      <c r="D620" t="s">
        <v>438</v>
      </c>
      <c r="E620" t="s">
        <v>73</v>
      </c>
      <c r="F620" t="s">
        <v>74</v>
      </c>
      <c r="G620" t="s">
        <v>27</v>
      </c>
      <c r="H620" t="s">
        <v>75</v>
      </c>
      <c r="I620" t="s">
        <v>76</v>
      </c>
      <c r="J620">
        <v>3</v>
      </c>
      <c r="K620">
        <v>3500</v>
      </c>
      <c r="L620">
        <v>10</v>
      </c>
      <c r="M620">
        <v>9450</v>
      </c>
      <c r="N620">
        <v>7349.9999999999991</v>
      </c>
      <c r="O620">
        <v>2100.0000000000009</v>
      </c>
      <c r="P620" t="s">
        <v>95</v>
      </c>
      <c r="Q620" t="s">
        <v>96</v>
      </c>
      <c r="R620" t="s">
        <v>45</v>
      </c>
      <c r="S620" t="s">
        <v>60</v>
      </c>
      <c r="T620" t="s">
        <v>47</v>
      </c>
      <c r="U620" t="s">
        <v>48</v>
      </c>
      <c r="V620">
        <v>3</v>
      </c>
      <c r="W620">
        <f>Table1[[#This Row],[Profit]]/Table1[[#This Row],[Sales]]</f>
        <v>0.22222222222222232</v>
      </c>
    </row>
    <row r="621" spans="1:23" x14ac:dyDescent="0.25">
      <c r="A621" t="s">
        <v>1505</v>
      </c>
      <c r="B621" s="1">
        <v>45909</v>
      </c>
      <c r="C621" t="s">
        <v>1506</v>
      </c>
      <c r="D621" t="s">
        <v>904</v>
      </c>
      <c r="E621" t="s">
        <v>38</v>
      </c>
      <c r="F621" t="s">
        <v>39</v>
      </c>
      <c r="G621" t="s">
        <v>40</v>
      </c>
      <c r="H621" t="s">
        <v>41</v>
      </c>
      <c r="I621" t="s">
        <v>42</v>
      </c>
      <c r="J621">
        <v>5</v>
      </c>
      <c r="K621">
        <v>4500</v>
      </c>
      <c r="L621">
        <v>0</v>
      </c>
      <c r="M621">
        <v>22500</v>
      </c>
      <c r="N621">
        <v>15750</v>
      </c>
      <c r="O621">
        <v>6750.0000000000018</v>
      </c>
      <c r="P621" t="s">
        <v>30</v>
      </c>
      <c r="Q621" t="s">
        <v>30</v>
      </c>
      <c r="R621" t="s">
        <v>31</v>
      </c>
      <c r="S621" t="s">
        <v>46</v>
      </c>
      <c r="T621" t="s">
        <v>47</v>
      </c>
      <c r="U621" t="s">
        <v>34</v>
      </c>
      <c r="V621">
        <v>3</v>
      </c>
      <c r="W621">
        <f>Table1[[#This Row],[Profit]]/Table1[[#This Row],[Sales]]</f>
        <v>0.3000000000000001</v>
      </c>
    </row>
    <row r="622" spans="1:23" x14ac:dyDescent="0.25">
      <c r="A622" t="s">
        <v>1507</v>
      </c>
      <c r="B622" s="1">
        <v>45666</v>
      </c>
      <c r="C622" t="s">
        <v>1508</v>
      </c>
      <c r="D622" t="s">
        <v>920</v>
      </c>
      <c r="E622" t="s">
        <v>73</v>
      </c>
      <c r="F622" t="s">
        <v>74</v>
      </c>
      <c r="G622" t="s">
        <v>27</v>
      </c>
      <c r="H622" t="s">
        <v>75</v>
      </c>
      <c r="I622" t="s">
        <v>76</v>
      </c>
      <c r="J622">
        <v>1</v>
      </c>
      <c r="K622">
        <v>3500</v>
      </c>
      <c r="L622">
        <v>0</v>
      </c>
      <c r="M622">
        <v>3500</v>
      </c>
      <c r="N622">
        <v>2450</v>
      </c>
      <c r="O622">
        <v>1050</v>
      </c>
      <c r="P622" t="s">
        <v>43</v>
      </c>
      <c r="Q622" t="s">
        <v>44</v>
      </c>
      <c r="R622" t="s">
        <v>45</v>
      </c>
      <c r="S622" t="s">
        <v>32</v>
      </c>
      <c r="T622" t="s">
        <v>56</v>
      </c>
      <c r="U622" t="s">
        <v>34</v>
      </c>
      <c r="V622">
        <v>2</v>
      </c>
      <c r="W622">
        <f>Table1[[#This Row],[Profit]]/Table1[[#This Row],[Sales]]</f>
        <v>0.3</v>
      </c>
    </row>
    <row r="623" spans="1:23" x14ac:dyDescent="0.25">
      <c r="A623" t="s">
        <v>1509</v>
      </c>
      <c r="B623" s="1">
        <v>45857</v>
      </c>
      <c r="C623" t="s">
        <v>1510</v>
      </c>
      <c r="D623" t="s">
        <v>1290</v>
      </c>
      <c r="E623" t="s">
        <v>73</v>
      </c>
      <c r="F623" t="s">
        <v>74</v>
      </c>
      <c r="G623" t="s">
        <v>27</v>
      </c>
      <c r="H623" t="s">
        <v>75</v>
      </c>
      <c r="I623" t="s">
        <v>76</v>
      </c>
      <c r="J623">
        <v>3</v>
      </c>
      <c r="K623">
        <v>3500</v>
      </c>
      <c r="L623">
        <v>5</v>
      </c>
      <c r="M623">
        <v>9975</v>
      </c>
      <c r="N623">
        <v>7349.9999999999991</v>
      </c>
      <c r="O623">
        <v>2625.0000000000009</v>
      </c>
      <c r="P623" t="s">
        <v>30</v>
      </c>
      <c r="Q623" t="s">
        <v>30</v>
      </c>
      <c r="R623" t="s">
        <v>31</v>
      </c>
      <c r="S623" t="s">
        <v>46</v>
      </c>
      <c r="T623" t="s">
        <v>56</v>
      </c>
      <c r="U623" t="s">
        <v>34</v>
      </c>
      <c r="V623">
        <v>4</v>
      </c>
      <c r="W623">
        <f>Table1[[#This Row],[Profit]]/Table1[[#This Row],[Sales]]</f>
        <v>0.2631578947368422</v>
      </c>
    </row>
    <row r="624" spans="1:23" x14ac:dyDescent="0.25">
      <c r="A624" t="s">
        <v>1511</v>
      </c>
      <c r="B624" s="1">
        <v>45832</v>
      </c>
      <c r="C624" t="s">
        <v>1088</v>
      </c>
      <c r="D624" t="s">
        <v>316</v>
      </c>
      <c r="E624" t="s">
        <v>73</v>
      </c>
      <c r="F624" t="s">
        <v>74</v>
      </c>
      <c r="G624" t="s">
        <v>27</v>
      </c>
      <c r="H624" t="s">
        <v>75</v>
      </c>
      <c r="I624" t="s">
        <v>76</v>
      </c>
      <c r="J624">
        <v>1</v>
      </c>
      <c r="K624">
        <v>3500</v>
      </c>
      <c r="L624">
        <v>15</v>
      </c>
      <c r="M624">
        <v>2975</v>
      </c>
      <c r="N624">
        <v>2450</v>
      </c>
      <c r="O624">
        <v>525</v>
      </c>
      <c r="P624" t="s">
        <v>30</v>
      </c>
      <c r="Q624" t="s">
        <v>30</v>
      </c>
      <c r="R624" t="s">
        <v>31</v>
      </c>
      <c r="S624" t="s">
        <v>60</v>
      </c>
      <c r="T624" t="s">
        <v>47</v>
      </c>
      <c r="U624" t="s">
        <v>34</v>
      </c>
      <c r="V624">
        <v>2</v>
      </c>
      <c r="W624">
        <f>Table1[[#This Row],[Profit]]/Table1[[#This Row],[Sales]]</f>
        <v>0.17647058823529413</v>
      </c>
    </row>
    <row r="625" spans="1:23" x14ac:dyDescent="0.25">
      <c r="A625" t="s">
        <v>1512</v>
      </c>
      <c r="B625" s="1">
        <v>45803</v>
      </c>
      <c r="C625" t="s">
        <v>517</v>
      </c>
      <c r="D625" t="s">
        <v>231</v>
      </c>
      <c r="E625" t="s">
        <v>25</v>
      </c>
      <c r="F625" t="s">
        <v>26</v>
      </c>
      <c r="G625" t="s">
        <v>27</v>
      </c>
      <c r="H625" t="s">
        <v>28</v>
      </c>
      <c r="I625" t="s">
        <v>29</v>
      </c>
      <c r="J625">
        <v>4</v>
      </c>
      <c r="K625">
        <v>800</v>
      </c>
      <c r="L625">
        <v>15</v>
      </c>
      <c r="M625">
        <v>2720</v>
      </c>
      <c r="N625">
        <v>2240</v>
      </c>
      <c r="O625">
        <v>480</v>
      </c>
      <c r="P625" t="s">
        <v>43</v>
      </c>
      <c r="Q625" t="s">
        <v>44</v>
      </c>
      <c r="R625" t="s">
        <v>45</v>
      </c>
      <c r="S625" t="s">
        <v>46</v>
      </c>
      <c r="T625" t="s">
        <v>56</v>
      </c>
      <c r="U625" t="s">
        <v>48</v>
      </c>
      <c r="V625">
        <v>5</v>
      </c>
      <c r="W625">
        <f>Table1[[#This Row],[Profit]]/Table1[[#This Row],[Sales]]</f>
        <v>0.17647058823529413</v>
      </c>
    </row>
    <row r="626" spans="1:23" x14ac:dyDescent="0.25">
      <c r="A626" t="s">
        <v>1513</v>
      </c>
      <c r="B626" s="1">
        <v>45828</v>
      </c>
      <c r="C626" t="s">
        <v>1272</v>
      </c>
      <c r="D626" t="s">
        <v>209</v>
      </c>
      <c r="E626" t="s">
        <v>38</v>
      </c>
      <c r="F626" t="s">
        <v>39</v>
      </c>
      <c r="G626" t="s">
        <v>40</v>
      </c>
      <c r="H626" t="s">
        <v>41</v>
      </c>
      <c r="I626" t="s">
        <v>42</v>
      </c>
      <c r="J626">
        <v>1</v>
      </c>
      <c r="K626">
        <v>4500</v>
      </c>
      <c r="L626">
        <v>15</v>
      </c>
      <c r="M626">
        <v>3825</v>
      </c>
      <c r="N626">
        <v>3150</v>
      </c>
      <c r="O626">
        <v>675</v>
      </c>
      <c r="P626" t="s">
        <v>30</v>
      </c>
      <c r="Q626" t="s">
        <v>30</v>
      </c>
      <c r="R626" t="s">
        <v>31</v>
      </c>
      <c r="S626" t="s">
        <v>32</v>
      </c>
      <c r="T626" t="s">
        <v>47</v>
      </c>
      <c r="U626" t="s">
        <v>48</v>
      </c>
      <c r="V626">
        <v>2</v>
      </c>
      <c r="W626">
        <f>Table1[[#This Row],[Profit]]/Table1[[#This Row],[Sales]]</f>
        <v>0.17647058823529413</v>
      </c>
    </row>
    <row r="627" spans="1:23" x14ac:dyDescent="0.25">
      <c r="A627" t="s">
        <v>1514</v>
      </c>
      <c r="B627" s="1">
        <v>45971</v>
      </c>
      <c r="C627" t="s">
        <v>445</v>
      </c>
      <c r="D627" t="s">
        <v>1515</v>
      </c>
      <c r="E627" t="s">
        <v>25</v>
      </c>
      <c r="F627" t="s">
        <v>26</v>
      </c>
      <c r="G627" t="s">
        <v>27</v>
      </c>
      <c r="H627" t="s">
        <v>28</v>
      </c>
      <c r="I627" t="s">
        <v>29</v>
      </c>
      <c r="J627">
        <v>3</v>
      </c>
      <c r="K627">
        <v>800</v>
      </c>
      <c r="L627">
        <v>10</v>
      </c>
      <c r="M627">
        <v>2160</v>
      </c>
      <c r="N627">
        <v>1680</v>
      </c>
      <c r="O627">
        <v>480</v>
      </c>
      <c r="P627" t="s">
        <v>43</v>
      </c>
      <c r="Q627" t="s">
        <v>44</v>
      </c>
      <c r="R627" t="s">
        <v>45</v>
      </c>
      <c r="S627" t="s">
        <v>60</v>
      </c>
      <c r="T627" t="s">
        <v>56</v>
      </c>
      <c r="U627" t="s">
        <v>34</v>
      </c>
      <c r="V627">
        <v>1</v>
      </c>
      <c r="W627">
        <f>Table1[[#This Row],[Profit]]/Table1[[#This Row],[Sales]]</f>
        <v>0.22222222222222221</v>
      </c>
    </row>
    <row r="628" spans="1:23" x14ac:dyDescent="0.25">
      <c r="A628" t="s">
        <v>1516</v>
      </c>
      <c r="B628" s="1">
        <v>45957</v>
      </c>
      <c r="C628" t="s">
        <v>1517</v>
      </c>
      <c r="D628" t="s">
        <v>1518</v>
      </c>
      <c r="E628" t="s">
        <v>38</v>
      </c>
      <c r="F628" t="s">
        <v>39</v>
      </c>
      <c r="G628" t="s">
        <v>40</v>
      </c>
      <c r="H628" t="s">
        <v>41</v>
      </c>
      <c r="I628" t="s">
        <v>42</v>
      </c>
      <c r="J628">
        <v>3</v>
      </c>
      <c r="K628">
        <v>4500</v>
      </c>
      <c r="L628">
        <v>15</v>
      </c>
      <c r="M628">
        <v>11475</v>
      </c>
      <c r="N628">
        <v>9450</v>
      </c>
      <c r="O628">
        <v>2025</v>
      </c>
      <c r="P628" t="s">
        <v>109</v>
      </c>
      <c r="Q628" t="s">
        <v>110</v>
      </c>
      <c r="R628" t="s">
        <v>111</v>
      </c>
      <c r="S628" t="s">
        <v>60</v>
      </c>
      <c r="T628" t="s">
        <v>33</v>
      </c>
      <c r="U628" t="s">
        <v>34</v>
      </c>
      <c r="V628">
        <v>2</v>
      </c>
      <c r="W628">
        <f>Table1[[#This Row],[Profit]]/Table1[[#This Row],[Sales]]</f>
        <v>0.17647058823529413</v>
      </c>
    </row>
    <row r="629" spans="1:23" x14ac:dyDescent="0.25">
      <c r="A629" t="s">
        <v>1519</v>
      </c>
      <c r="B629" s="1">
        <v>45691</v>
      </c>
      <c r="C629" t="s">
        <v>1127</v>
      </c>
      <c r="D629" t="s">
        <v>1494</v>
      </c>
      <c r="E629" t="s">
        <v>25</v>
      </c>
      <c r="F629" t="s">
        <v>26</v>
      </c>
      <c r="G629" t="s">
        <v>27</v>
      </c>
      <c r="H629" t="s">
        <v>28</v>
      </c>
      <c r="I629" t="s">
        <v>29</v>
      </c>
      <c r="J629">
        <v>4</v>
      </c>
      <c r="K629">
        <v>800</v>
      </c>
      <c r="L629">
        <v>5</v>
      </c>
      <c r="M629">
        <v>3040</v>
      </c>
      <c r="N629">
        <v>2240</v>
      </c>
      <c r="O629">
        <v>800</v>
      </c>
      <c r="P629" t="s">
        <v>43</v>
      </c>
      <c r="Q629" t="s">
        <v>44</v>
      </c>
      <c r="R629" t="s">
        <v>45</v>
      </c>
      <c r="S629" t="s">
        <v>46</v>
      </c>
      <c r="T629" t="s">
        <v>33</v>
      </c>
      <c r="U629" t="s">
        <v>34</v>
      </c>
      <c r="V629">
        <v>3</v>
      </c>
      <c r="W629">
        <f>Table1[[#This Row],[Profit]]/Table1[[#This Row],[Sales]]</f>
        <v>0.26315789473684209</v>
      </c>
    </row>
    <row r="630" spans="1:23" x14ac:dyDescent="0.25">
      <c r="A630" t="s">
        <v>1520</v>
      </c>
      <c r="B630" s="1">
        <v>45969</v>
      </c>
      <c r="C630" t="s">
        <v>1110</v>
      </c>
      <c r="D630" t="s">
        <v>313</v>
      </c>
      <c r="E630" t="s">
        <v>25</v>
      </c>
      <c r="F630" t="s">
        <v>26</v>
      </c>
      <c r="G630" t="s">
        <v>27</v>
      </c>
      <c r="H630" t="s">
        <v>28</v>
      </c>
      <c r="I630" t="s">
        <v>29</v>
      </c>
      <c r="J630">
        <v>2</v>
      </c>
      <c r="K630">
        <v>800</v>
      </c>
      <c r="L630">
        <v>5</v>
      </c>
      <c r="M630">
        <v>1520</v>
      </c>
      <c r="N630">
        <v>1120</v>
      </c>
      <c r="O630">
        <v>400</v>
      </c>
      <c r="P630" t="s">
        <v>95</v>
      </c>
      <c r="Q630" t="s">
        <v>96</v>
      </c>
      <c r="R630" t="s">
        <v>45</v>
      </c>
      <c r="S630" t="s">
        <v>32</v>
      </c>
      <c r="T630" t="s">
        <v>33</v>
      </c>
      <c r="U630" t="s">
        <v>34</v>
      </c>
      <c r="V630">
        <v>1</v>
      </c>
      <c r="W630">
        <f>Table1[[#This Row],[Profit]]/Table1[[#This Row],[Sales]]</f>
        <v>0.26315789473684209</v>
      </c>
    </row>
    <row r="631" spans="1:23" x14ac:dyDescent="0.25">
      <c r="A631" t="s">
        <v>1521</v>
      </c>
      <c r="B631" s="1">
        <v>45752</v>
      </c>
      <c r="C631" t="s">
        <v>1522</v>
      </c>
      <c r="D631" t="s">
        <v>925</v>
      </c>
      <c r="E631" t="s">
        <v>38</v>
      </c>
      <c r="F631" t="s">
        <v>39</v>
      </c>
      <c r="G631" t="s">
        <v>40</v>
      </c>
      <c r="H631" t="s">
        <v>41</v>
      </c>
      <c r="I631" t="s">
        <v>42</v>
      </c>
      <c r="J631">
        <v>5</v>
      </c>
      <c r="K631">
        <v>4500</v>
      </c>
      <c r="L631">
        <v>10</v>
      </c>
      <c r="M631">
        <v>20250</v>
      </c>
      <c r="N631">
        <v>15750</v>
      </c>
      <c r="O631">
        <v>4500.0000000000018</v>
      </c>
      <c r="P631" t="s">
        <v>95</v>
      </c>
      <c r="Q631" t="s">
        <v>96</v>
      </c>
      <c r="R631" t="s">
        <v>45</v>
      </c>
      <c r="S631" t="s">
        <v>60</v>
      </c>
      <c r="T631" t="s">
        <v>56</v>
      </c>
      <c r="U631" t="s">
        <v>34</v>
      </c>
      <c r="V631">
        <v>2</v>
      </c>
      <c r="W631">
        <f>Table1[[#This Row],[Profit]]/Table1[[#This Row],[Sales]]</f>
        <v>0.22222222222222232</v>
      </c>
    </row>
    <row r="632" spans="1:23" x14ac:dyDescent="0.25">
      <c r="A632" t="s">
        <v>1523</v>
      </c>
      <c r="B632" s="1">
        <v>45692</v>
      </c>
      <c r="C632" t="s">
        <v>431</v>
      </c>
      <c r="D632" t="s">
        <v>1153</v>
      </c>
      <c r="E632" t="s">
        <v>52</v>
      </c>
      <c r="F632" t="s">
        <v>53</v>
      </c>
      <c r="G632" t="s">
        <v>27</v>
      </c>
      <c r="H632" t="s">
        <v>54</v>
      </c>
      <c r="I632" t="s">
        <v>55</v>
      </c>
      <c r="J632">
        <v>3</v>
      </c>
      <c r="K632">
        <v>55000</v>
      </c>
      <c r="L632">
        <v>5</v>
      </c>
      <c r="M632">
        <v>156750</v>
      </c>
      <c r="N632">
        <v>115500</v>
      </c>
      <c r="O632">
        <v>41250.000000000007</v>
      </c>
      <c r="P632" t="s">
        <v>109</v>
      </c>
      <c r="Q632" t="s">
        <v>110</v>
      </c>
      <c r="R632" t="s">
        <v>111</v>
      </c>
      <c r="S632" t="s">
        <v>32</v>
      </c>
      <c r="T632" t="s">
        <v>33</v>
      </c>
      <c r="U632" t="s">
        <v>48</v>
      </c>
      <c r="V632">
        <v>5</v>
      </c>
      <c r="W632">
        <f>Table1[[#This Row],[Profit]]/Table1[[#This Row],[Sales]]</f>
        <v>0.26315789473684215</v>
      </c>
    </row>
    <row r="633" spans="1:23" x14ac:dyDescent="0.25">
      <c r="A633" t="s">
        <v>1524</v>
      </c>
      <c r="B633" s="1">
        <v>45988</v>
      </c>
      <c r="C633" t="s">
        <v>631</v>
      </c>
      <c r="D633" t="s">
        <v>1525</v>
      </c>
      <c r="E633" t="s">
        <v>52</v>
      </c>
      <c r="F633" t="s">
        <v>53</v>
      </c>
      <c r="G633" t="s">
        <v>27</v>
      </c>
      <c r="H633" t="s">
        <v>54</v>
      </c>
      <c r="I633" t="s">
        <v>55</v>
      </c>
      <c r="J633">
        <v>4</v>
      </c>
      <c r="K633">
        <v>55000</v>
      </c>
      <c r="L633">
        <v>10</v>
      </c>
      <c r="M633">
        <v>198000</v>
      </c>
      <c r="N633">
        <v>154000</v>
      </c>
      <c r="O633">
        <v>44000</v>
      </c>
      <c r="P633" t="s">
        <v>30</v>
      </c>
      <c r="Q633" t="s">
        <v>30</v>
      </c>
      <c r="R633" t="s">
        <v>31</v>
      </c>
      <c r="S633" t="s">
        <v>60</v>
      </c>
      <c r="T633" t="s">
        <v>33</v>
      </c>
      <c r="U633" t="s">
        <v>48</v>
      </c>
      <c r="V633">
        <v>3</v>
      </c>
      <c r="W633">
        <f>Table1[[#This Row],[Profit]]/Table1[[#This Row],[Sales]]</f>
        <v>0.22222222222222221</v>
      </c>
    </row>
    <row r="634" spans="1:23" x14ac:dyDescent="0.25">
      <c r="A634" t="s">
        <v>1526</v>
      </c>
      <c r="B634" s="1">
        <v>45864</v>
      </c>
      <c r="C634" t="s">
        <v>1261</v>
      </c>
      <c r="D634" t="s">
        <v>150</v>
      </c>
      <c r="E634" t="s">
        <v>67</v>
      </c>
      <c r="F634" t="s">
        <v>68</v>
      </c>
      <c r="G634" t="s">
        <v>27</v>
      </c>
      <c r="H634" t="s">
        <v>28</v>
      </c>
      <c r="I634" t="s">
        <v>69</v>
      </c>
      <c r="J634">
        <v>5</v>
      </c>
      <c r="K634">
        <v>1500</v>
      </c>
      <c r="L634">
        <v>10</v>
      </c>
      <c r="M634">
        <v>6750</v>
      </c>
      <c r="N634">
        <v>5250</v>
      </c>
      <c r="O634">
        <v>1500</v>
      </c>
      <c r="P634" t="s">
        <v>43</v>
      </c>
      <c r="Q634" t="s">
        <v>44</v>
      </c>
      <c r="R634" t="s">
        <v>45</v>
      </c>
      <c r="S634" t="s">
        <v>60</v>
      </c>
      <c r="T634" t="s">
        <v>33</v>
      </c>
      <c r="U634" t="s">
        <v>34</v>
      </c>
      <c r="V634">
        <v>4</v>
      </c>
      <c r="W634">
        <f>Table1[[#This Row],[Profit]]/Table1[[#This Row],[Sales]]</f>
        <v>0.22222222222222221</v>
      </c>
    </row>
    <row r="635" spans="1:23" x14ac:dyDescent="0.25">
      <c r="A635" t="s">
        <v>1527</v>
      </c>
      <c r="B635" s="1">
        <v>45764</v>
      </c>
      <c r="C635" t="s">
        <v>1528</v>
      </c>
      <c r="D635" t="s">
        <v>126</v>
      </c>
      <c r="E635" t="s">
        <v>38</v>
      </c>
      <c r="F635" t="s">
        <v>39</v>
      </c>
      <c r="G635" t="s">
        <v>40</v>
      </c>
      <c r="H635" t="s">
        <v>41</v>
      </c>
      <c r="I635" t="s">
        <v>42</v>
      </c>
      <c r="J635">
        <v>1</v>
      </c>
      <c r="K635">
        <v>4500</v>
      </c>
      <c r="L635">
        <v>5</v>
      </c>
      <c r="M635">
        <v>4275</v>
      </c>
      <c r="N635">
        <v>3150</v>
      </c>
      <c r="O635">
        <v>1125</v>
      </c>
      <c r="P635" t="s">
        <v>95</v>
      </c>
      <c r="Q635" t="s">
        <v>96</v>
      </c>
      <c r="R635" t="s">
        <v>45</v>
      </c>
      <c r="S635" t="s">
        <v>46</v>
      </c>
      <c r="T635" t="s">
        <v>56</v>
      </c>
      <c r="U635" t="s">
        <v>34</v>
      </c>
      <c r="V635">
        <v>5</v>
      </c>
      <c r="W635">
        <f>Table1[[#This Row],[Profit]]/Table1[[#This Row],[Sales]]</f>
        <v>0.26315789473684209</v>
      </c>
    </row>
    <row r="636" spans="1:23" x14ac:dyDescent="0.25">
      <c r="A636" t="s">
        <v>1529</v>
      </c>
      <c r="B636" s="1">
        <v>45868</v>
      </c>
      <c r="C636" t="s">
        <v>1484</v>
      </c>
      <c r="D636" t="s">
        <v>1530</v>
      </c>
      <c r="E636" t="s">
        <v>25</v>
      </c>
      <c r="F636" t="s">
        <v>26</v>
      </c>
      <c r="G636" t="s">
        <v>27</v>
      </c>
      <c r="H636" t="s">
        <v>28</v>
      </c>
      <c r="I636" t="s">
        <v>29</v>
      </c>
      <c r="J636">
        <v>2</v>
      </c>
      <c r="K636">
        <v>800</v>
      </c>
      <c r="L636">
        <v>5</v>
      </c>
      <c r="M636">
        <v>1520</v>
      </c>
      <c r="N636">
        <v>1120</v>
      </c>
      <c r="O636">
        <v>400</v>
      </c>
      <c r="P636" t="s">
        <v>95</v>
      </c>
      <c r="Q636" t="s">
        <v>96</v>
      </c>
      <c r="R636" t="s">
        <v>45</v>
      </c>
      <c r="S636" t="s">
        <v>46</v>
      </c>
      <c r="T636" t="s">
        <v>56</v>
      </c>
      <c r="U636" t="s">
        <v>48</v>
      </c>
      <c r="V636">
        <v>2</v>
      </c>
      <c r="W636">
        <f>Table1[[#This Row],[Profit]]/Table1[[#This Row],[Sales]]</f>
        <v>0.26315789473684209</v>
      </c>
    </row>
    <row r="637" spans="1:23" x14ac:dyDescent="0.25">
      <c r="A637" t="s">
        <v>1531</v>
      </c>
      <c r="B637" s="1">
        <v>45854</v>
      </c>
      <c r="C637" t="s">
        <v>1532</v>
      </c>
      <c r="D637" t="s">
        <v>1533</v>
      </c>
      <c r="E637" t="s">
        <v>52</v>
      </c>
      <c r="F637" t="s">
        <v>53</v>
      </c>
      <c r="G637" t="s">
        <v>27</v>
      </c>
      <c r="H637" t="s">
        <v>54</v>
      </c>
      <c r="I637" t="s">
        <v>55</v>
      </c>
      <c r="J637">
        <v>1</v>
      </c>
      <c r="K637">
        <v>55000</v>
      </c>
      <c r="L637">
        <v>5</v>
      </c>
      <c r="M637">
        <v>52250</v>
      </c>
      <c r="N637">
        <v>38500</v>
      </c>
      <c r="O637">
        <v>13750</v>
      </c>
      <c r="P637" t="s">
        <v>95</v>
      </c>
      <c r="Q637" t="s">
        <v>96</v>
      </c>
      <c r="R637" t="s">
        <v>45</v>
      </c>
      <c r="S637" t="s">
        <v>46</v>
      </c>
      <c r="T637" t="s">
        <v>33</v>
      </c>
      <c r="U637" t="s">
        <v>48</v>
      </c>
      <c r="V637">
        <v>1</v>
      </c>
      <c r="W637">
        <f>Table1[[#This Row],[Profit]]/Table1[[#This Row],[Sales]]</f>
        <v>0.26315789473684209</v>
      </c>
    </row>
    <row r="638" spans="1:23" x14ac:dyDescent="0.25">
      <c r="A638" t="s">
        <v>1534</v>
      </c>
      <c r="B638" s="1">
        <v>46013</v>
      </c>
      <c r="C638" t="s">
        <v>648</v>
      </c>
      <c r="D638" t="s">
        <v>200</v>
      </c>
      <c r="E638" t="s">
        <v>52</v>
      </c>
      <c r="F638" t="s">
        <v>53</v>
      </c>
      <c r="G638" t="s">
        <v>27</v>
      </c>
      <c r="H638" t="s">
        <v>54</v>
      </c>
      <c r="I638" t="s">
        <v>55</v>
      </c>
      <c r="J638">
        <v>5</v>
      </c>
      <c r="K638">
        <v>55000</v>
      </c>
      <c r="L638">
        <v>15</v>
      </c>
      <c r="M638">
        <v>233750</v>
      </c>
      <c r="N638">
        <v>192500</v>
      </c>
      <c r="O638">
        <v>41250</v>
      </c>
      <c r="P638" t="s">
        <v>43</v>
      </c>
      <c r="Q638" t="s">
        <v>44</v>
      </c>
      <c r="R638" t="s">
        <v>45</v>
      </c>
      <c r="S638" t="s">
        <v>46</v>
      </c>
      <c r="T638" t="s">
        <v>47</v>
      </c>
      <c r="U638" t="s">
        <v>34</v>
      </c>
      <c r="V638">
        <v>1</v>
      </c>
      <c r="W638">
        <f>Table1[[#This Row],[Profit]]/Table1[[#This Row],[Sales]]</f>
        <v>0.17647058823529413</v>
      </c>
    </row>
    <row r="639" spans="1:23" x14ac:dyDescent="0.25">
      <c r="A639" t="s">
        <v>1535</v>
      </c>
      <c r="B639" s="1">
        <v>45933</v>
      </c>
      <c r="C639" t="s">
        <v>847</v>
      </c>
      <c r="D639" t="s">
        <v>925</v>
      </c>
      <c r="E639" t="s">
        <v>25</v>
      </c>
      <c r="F639" t="s">
        <v>26</v>
      </c>
      <c r="G639" t="s">
        <v>27</v>
      </c>
      <c r="H639" t="s">
        <v>28</v>
      </c>
      <c r="I639" t="s">
        <v>29</v>
      </c>
      <c r="J639">
        <v>3</v>
      </c>
      <c r="K639">
        <v>800</v>
      </c>
      <c r="L639">
        <v>10</v>
      </c>
      <c r="M639">
        <v>2160</v>
      </c>
      <c r="N639">
        <v>1680</v>
      </c>
      <c r="O639">
        <v>480</v>
      </c>
      <c r="P639" t="s">
        <v>95</v>
      </c>
      <c r="Q639" t="s">
        <v>96</v>
      </c>
      <c r="R639" t="s">
        <v>45</v>
      </c>
      <c r="S639" t="s">
        <v>32</v>
      </c>
      <c r="T639" t="s">
        <v>56</v>
      </c>
      <c r="U639" t="s">
        <v>48</v>
      </c>
      <c r="V639">
        <v>4</v>
      </c>
      <c r="W639">
        <f>Table1[[#This Row],[Profit]]/Table1[[#This Row],[Sales]]</f>
        <v>0.22222222222222221</v>
      </c>
    </row>
    <row r="640" spans="1:23" x14ac:dyDescent="0.25">
      <c r="A640" t="s">
        <v>1536</v>
      </c>
      <c r="B640" s="1">
        <v>45694</v>
      </c>
      <c r="C640" t="s">
        <v>621</v>
      </c>
      <c r="D640" t="s">
        <v>501</v>
      </c>
      <c r="E640" t="s">
        <v>38</v>
      </c>
      <c r="F640" t="s">
        <v>39</v>
      </c>
      <c r="G640" t="s">
        <v>40</v>
      </c>
      <c r="H640" t="s">
        <v>41</v>
      </c>
      <c r="I640" t="s">
        <v>42</v>
      </c>
      <c r="J640">
        <v>2</v>
      </c>
      <c r="K640">
        <v>4500</v>
      </c>
      <c r="L640">
        <v>5</v>
      </c>
      <c r="M640">
        <v>8550</v>
      </c>
      <c r="N640">
        <v>6300</v>
      </c>
      <c r="O640">
        <v>2250</v>
      </c>
      <c r="P640" t="s">
        <v>95</v>
      </c>
      <c r="Q640" t="s">
        <v>96</v>
      </c>
      <c r="R640" t="s">
        <v>45</v>
      </c>
      <c r="S640" t="s">
        <v>32</v>
      </c>
      <c r="T640" t="s">
        <v>47</v>
      </c>
      <c r="U640" t="s">
        <v>34</v>
      </c>
      <c r="V640">
        <v>2</v>
      </c>
      <c r="W640">
        <f>Table1[[#This Row],[Profit]]/Table1[[#This Row],[Sales]]</f>
        <v>0.26315789473684209</v>
      </c>
    </row>
    <row r="641" spans="1:23" x14ac:dyDescent="0.25">
      <c r="A641" t="s">
        <v>1537</v>
      </c>
      <c r="B641" s="1">
        <v>45860</v>
      </c>
      <c r="C641" t="s">
        <v>98</v>
      </c>
      <c r="D641" t="s">
        <v>640</v>
      </c>
      <c r="E641" t="s">
        <v>38</v>
      </c>
      <c r="F641" t="s">
        <v>39</v>
      </c>
      <c r="G641" t="s">
        <v>40</v>
      </c>
      <c r="H641" t="s">
        <v>41</v>
      </c>
      <c r="I641" t="s">
        <v>42</v>
      </c>
      <c r="J641">
        <v>2</v>
      </c>
      <c r="K641">
        <v>4500</v>
      </c>
      <c r="L641">
        <v>5</v>
      </c>
      <c r="M641">
        <v>8550</v>
      </c>
      <c r="N641">
        <v>6300</v>
      </c>
      <c r="O641">
        <v>2250</v>
      </c>
      <c r="P641" t="s">
        <v>109</v>
      </c>
      <c r="Q641" t="s">
        <v>110</v>
      </c>
      <c r="R641" t="s">
        <v>111</v>
      </c>
      <c r="S641" t="s">
        <v>46</v>
      </c>
      <c r="T641" t="s">
        <v>33</v>
      </c>
      <c r="U641" t="s">
        <v>34</v>
      </c>
      <c r="V641">
        <v>1</v>
      </c>
      <c r="W641">
        <f>Table1[[#This Row],[Profit]]/Table1[[#This Row],[Sales]]</f>
        <v>0.26315789473684209</v>
      </c>
    </row>
    <row r="642" spans="1:23" x14ac:dyDescent="0.25">
      <c r="A642" t="s">
        <v>1538</v>
      </c>
      <c r="B642" s="1">
        <v>45994</v>
      </c>
      <c r="C642" t="s">
        <v>1539</v>
      </c>
      <c r="D642" t="s">
        <v>674</v>
      </c>
      <c r="E642" t="s">
        <v>67</v>
      </c>
      <c r="F642" t="s">
        <v>68</v>
      </c>
      <c r="G642" t="s">
        <v>27</v>
      </c>
      <c r="H642" t="s">
        <v>28</v>
      </c>
      <c r="I642" t="s">
        <v>69</v>
      </c>
      <c r="J642">
        <v>4</v>
      </c>
      <c r="K642">
        <v>1500</v>
      </c>
      <c r="L642">
        <v>0</v>
      </c>
      <c r="M642">
        <v>6000</v>
      </c>
      <c r="N642">
        <v>4200</v>
      </c>
      <c r="O642">
        <v>1800</v>
      </c>
      <c r="P642" t="s">
        <v>30</v>
      </c>
      <c r="Q642" t="s">
        <v>30</v>
      </c>
      <c r="R642" t="s">
        <v>31</v>
      </c>
      <c r="S642" t="s">
        <v>32</v>
      </c>
      <c r="T642" t="s">
        <v>56</v>
      </c>
      <c r="U642" t="s">
        <v>34</v>
      </c>
      <c r="V642">
        <v>5</v>
      </c>
      <c r="W642">
        <f>Table1[[#This Row],[Profit]]/Table1[[#This Row],[Sales]]</f>
        <v>0.3</v>
      </c>
    </row>
    <row r="643" spans="1:23" x14ac:dyDescent="0.25">
      <c r="A643" t="s">
        <v>1540</v>
      </c>
      <c r="B643" s="1">
        <v>45882</v>
      </c>
      <c r="C643" t="s">
        <v>517</v>
      </c>
      <c r="D643" t="s">
        <v>756</v>
      </c>
      <c r="E643" t="s">
        <v>25</v>
      </c>
      <c r="F643" t="s">
        <v>26</v>
      </c>
      <c r="G643" t="s">
        <v>27</v>
      </c>
      <c r="H643" t="s">
        <v>28</v>
      </c>
      <c r="I643" t="s">
        <v>29</v>
      </c>
      <c r="J643">
        <v>2</v>
      </c>
      <c r="K643">
        <v>800</v>
      </c>
      <c r="L643">
        <v>5</v>
      </c>
      <c r="M643">
        <v>1520</v>
      </c>
      <c r="N643">
        <v>1120</v>
      </c>
      <c r="O643">
        <v>400</v>
      </c>
      <c r="P643" t="s">
        <v>95</v>
      </c>
      <c r="Q643" t="s">
        <v>96</v>
      </c>
      <c r="R643" t="s">
        <v>45</v>
      </c>
      <c r="S643" t="s">
        <v>32</v>
      </c>
      <c r="T643" t="s">
        <v>47</v>
      </c>
      <c r="U643" t="s">
        <v>48</v>
      </c>
      <c r="V643">
        <v>2</v>
      </c>
      <c r="W643">
        <f>Table1[[#This Row],[Profit]]/Table1[[#This Row],[Sales]]</f>
        <v>0.26315789473684209</v>
      </c>
    </row>
    <row r="644" spans="1:23" x14ac:dyDescent="0.25">
      <c r="A644" t="s">
        <v>1541</v>
      </c>
      <c r="B644" s="1">
        <v>45822</v>
      </c>
      <c r="C644" t="s">
        <v>1045</v>
      </c>
      <c r="D644" t="s">
        <v>1043</v>
      </c>
      <c r="E644" t="s">
        <v>38</v>
      </c>
      <c r="F644" t="s">
        <v>39</v>
      </c>
      <c r="G644" t="s">
        <v>40</v>
      </c>
      <c r="H644" t="s">
        <v>41</v>
      </c>
      <c r="I644" t="s">
        <v>42</v>
      </c>
      <c r="J644">
        <v>4</v>
      </c>
      <c r="K644">
        <v>4500</v>
      </c>
      <c r="L644">
        <v>10</v>
      </c>
      <c r="M644">
        <v>16200</v>
      </c>
      <c r="N644">
        <v>12600</v>
      </c>
      <c r="O644">
        <v>3600</v>
      </c>
      <c r="P644" t="s">
        <v>95</v>
      </c>
      <c r="Q644" t="s">
        <v>96</v>
      </c>
      <c r="R644" t="s">
        <v>45</v>
      </c>
      <c r="S644" t="s">
        <v>32</v>
      </c>
      <c r="T644" t="s">
        <v>47</v>
      </c>
      <c r="U644" t="s">
        <v>34</v>
      </c>
      <c r="V644">
        <v>2</v>
      </c>
      <c r="W644">
        <f>Table1[[#This Row],[Profit]]/Table1[[#This Row],[Sales]]</f>
        <v>0.22222222222222221</v>
      </c>
    </row>
    <row r="645" spans="1:23" x14ac:dyDescent="0.25">
      <c r="A645" t="s">
        <v>1542</v>
      </c>
      <c r="B645" s="1">
        <v>45914</v>
      </c>
      <c r="C645" t="s">
        <v>1391</v>
      </c>
      <c r="D645" t="s">
        <v>589</v>
      </c>
      <c r="E645" t="s">
        <v>67</v>
      </c>
      <c r="F645" t="s">
        <v>68</v>
      </c>
      <c r="G645" t="s">
        <v>27</v>
      </c>
      <c r="H645" t="s">
        <v>28</v>
      </c>
      <c r="I645" t="s">
        <v>69</v>
      </c>
      <c r="J645">
        <v>2</v>
      </c>
      <c r="K645">
        <v>1500</v>
      </c>
      <c r="L645">
        <v>15</v>
      </c>
      <c r="M645">
        <v>2550</v>
      </c>
      <c r="N645">
        <v>2100</v>
      </c>
      <c r="O645">
        <v>450</v>
      </c>
      <c r="P645" t="s">
        <v>30</v>
      </c>
      <c r="Q645" t="s">
        <v>30</v>
      </c>
      <c r="R645" t="s">
        <v>31</v>
      </c>
      <c r="S645" t="s">
        <v>60</v>
      </c>
      <c r="T645" t="s">
        <v>56</v>
      </c>
      <c r="U645" t="s">
        <v>34</v>
      </c>
      <c r="V645">
        <v>2</v>
      </c>
      <c r="W645">
        <f>Table1[[#This Row],[Profit]]/Table1[[#This Row],[Sales]]</f>
        <v>0.17647058823529413</v>
      </c>
    </row>
    <row r="646" spans="1:23" x14ac:dyDescent="0.25">
      <c r="A646" t="s">
        <v>1543</v>
      </c>
      <c r="B646" s="1">
        <v>45927</v>
      </c>
      <c r="C646" t="s">
        <v>1544</v>
      </c>
      <c r="D646" t="s">
        <v>1299</v>
      </c>
      <c r="E646" t="s">
        <v>38</v>
      </c>
      <c r="F646" t="s">
        <v>39</v>
      </c>
      <c r="G646" t="s">
        <v>40</v>
      </c>
      <c r="H646" t="s">
        <v>41</v>
      </c>
      <c r="I646" t="s">
        <v>42</v>
      </c>
      <c r="J646">
        <v>5</v>
      </c>
      <c r="K646">
        <v>4500</v>
      </c>
      <c r="L646">
        <v>10</v>
      </c>
      <c r="M646">
        <v>20250</v>
      </c>
      <c r="N646">
        <v>15750</v>
      </c>
      <c r="O646">
        <v>4500.0000000000018</v>
      </c>
      <c r="P646" t="s">
        <v>95</v>
      </c>
      <c r="Q646" t="s">
        <v>96</v>
      </c>
      <c r="R646" t="s">
        <v>45</v>
      </c>
      <c r="S646" t="s">
        <v>60</v>
      </c>
      <c r="T646" t="s">
        <v>47</v>
      </c>
      <c r="U646" t="s">
        <v>34</v>
      </c>
      <c r="V646">
        <v>3</v>
      </c>
      <c r="W646">
        <f>Table1[[#This Row],[Profit]]/Table1[[#This Row],[Sales]]</f>
        <v>0.22222222222222232</v>
      </c>
    </row>
    <row r="647" spans="1:23" x14ac:dyDescent="0.25">
      <c r="A647" t="s">
        <v>1545</v>
      </c>
      <c r="B647" s="1">
        <v>45881</v>
      </c>
      <c r="C647" t="s">
        <v>125</v>
      </c>
      <c r="D647" t="s">
        <v>904</v>
      </c>
      <c r="E647" t="s">
        <v>52</v>
      </c>
      <c r="F647" t="s">
        <v>53</v>
      </c>
      <c r="G647" t="s">
        <v>27</v>
      </c>
      <c r="H647" t="s">
        <v>54</v>
      </c>
      <c r="I647" t="s">
        <v>55</v>
      </c>
      <c r="J647">
        <v>2</v>
      </c>
      <c r="K647">
        <v>55000</v>
      </c>
      <c r="L647">
        <v>5</v>
      </c>
      <c r="M647">
        <v>104500</v>
      </c>
      <c r="N647">
        <v>77000</v>
      </c>
      <c r="O647">
        <v>27500</v>
      </c>
      <c r="P647" t="s">
        <v>109</v>
      </c>
      <c r="Q647" t="s">
        <v>110</v>
      </c>
      <c r="R647" t="s">
        <v>111</v>
      </c>
      <c r="S647" t="s">
        <v>46</v>
      </c>
      <c r="T647" t="s">
        <v>47</v>
      </c>
      <c r="U647" t="s">
        <v>48</v>
      </c>
      <c r="V647">
        <v>3</v>
      </c>
      <c r="W647">
        <f>Table1[[#This Row],[Profit]]/Table1[[#This Row],[Sales]]</f>
        <v>0.26315789473684209</v>
      </c>
    </row>
    <row r="648" spans="1:23" x14ac:dyDescent="0.25">
      <c r="A648" t="s">
        <v>1546</v>
      </c>
      <c r="B648" s="1">
        <v>45666</v>
      </c>
      <c r="C648" t="s">
        <v>1547</v>
      </c>
      <c r="D648" t="s">
        <v>1548</v>
      </c>
      <c r="E648" t="s">
        <v>73</v>
      </c>
      <c r="F648" t="s">
        <v>74</v>
      </c>
      <c r="G648" t="s">
        <v>27</v>
      </c>
      <c r="H648" t="s">
        <v>75</v>
      </c>
      <c r="I648" t="s">
        <v>76</v>
      </c>
      <c r="J648">
        <v>3</v>
      </c>
      <c r="K648">
        <v>3500</v>
      </c>
      <c r="L648">
        <v>15</v>
      </c>
      <c r="M648">
        <v>8925</v>
      </c>
      <c r="N648">
        <v>7349.9999999999991</v>
      </c>
      <c r="O648">
        <v>1575.0000000000009</v>
      </c>
      <c r="P648" t="s">
        <v>30</v>
      </c>
      <c r="Q648" t="s">
        <v>30</v>
      </c>
      <c r="R648" t="s">
        <v>31</v>
      </c>
      <c r="S648" t="s">
        <v>60</v>
      </c>
      <c r="T648" t="s">
        <v>56</v>
      </c>
      <c r="U648" t="s">
        <v>48</v>
      </c>
      <c r="V648">
        <v>5</v>
      </c>
      <c r="W648">
        <f>Table1[[#This Row],[Profit]]/Table1[[#This Row],[Sales]]</f>
        <v>0.17647058823529421</v>
      </c>
    </row>
    <row r="649" spans="1:23" x14ac:dyDescent="0.25">
      <c r="A649" t="s">
        <v>1549</v>
      </c>
      <c r="B649" s="1">
        <v>45847</v>
      </c>
      <c r="C649" t="s">
        <v>1550</v>
      </c>
      <c r="D649" t="s">
        <v>162</v>
      </c>
      <c r="E649" t="s">
        <v>25</v>
      </c>
      <c r="F649" t="s">
        <v>26</v>
      </c>
      <c r="G649" t="s">
        <v>27</v>
      </c>
      <c r="H649" t="s">
        <v>28</v>
      </c>
      <c r="I649" t="s">
        <v>29</v>
      </c>
      <c r="J649">
        <v>4</v>
      </c>
      <c r="K649">
        <v>800</v>
      </c>
      <c r="L649">
        <v>5</v>
      </c>
      <c r="M649">
        <v>3040</v>
      </c>
      <c r="N649">
        <v>2240</v>
      </c>
      <c r="O649">
        <v>800</v>
      </c>
      <c r="P649" t="s">
        <v>109</v>
      </c>
      <c r="Q649" t="s">
        <v>110</v>
      </c>
      <c r="R649" t="s">
        <v>111</v>
      </c>
      <c r="S649" t="s">
        <v>32</v>
      </c>
      <c r="T649" t="s">
        <v>56</v>
      </c>
      <c r="U649" t="s">
        <v>48</v>
      </c>
      <c r="V649">
        <v>2</v>
      </c>
      <c r="W649">
        <f>Table1[[#This Row],[Profit]]/Table1[[#This Row],[Sales]]</f>
        <v>0.26315789473684209</v>
      </c>
    </row>
    <row r="650" spans="1:23" x14ac:dyDescent="0.25">
      <c r="A650" t="s">
        <v>1551</v>
      </c>
      <c r="B650" s="1">
        <v>45989</v>
      </c>
      <c r="C650" t="s">
        <v>625</v>
      </c>
      <c r="D650" t="s">
        <v>640</v>
      </c>
      <c r="E650" t="s">
        <v>52</v>
      </c>
      <c r="F650" t="s">
        <v>53</v>
      </c>
      <c r="G650" t="s">
        <v>27</v>
      </c>
      <c r="H650" t="s">
        <v>54</v>
      </c>
      <c r="I650" t="s">
        <v>55</v>
      </c>
      <c r="J650">
        <v>2</v>
      </c>
      <c r="K650">
        <v>55000</v>
      </c>
      <c r="L650">
        <v>0</v>
      </c>
      <c r="M650">
        <v>110000</v>
      </c>
      <c r="N650">
        <v>77000</v>
      </c>
      <c r="O650">
        <v>33000</v>
      </c>
      <c r="P650" t="s">
        <v>30</v>
      </c>
      <c r="Q650" t="s">
        <v>30</v>
      </c>
      <c r="R650" t="s">
        <v>31</v>
      </c>
      <c r="S650" t="s">
        <v>46</v>
      </c>
      <c r="T650" t="s">
        <v>47</v>
      </c>
      <c r="U650" t="s">
        <v>34</v>
      </c>
      <c r="V650">
        <v>2</v>
      </c>
      <c r="W650">
        <f>Table1[[#This Row],[Profit]]/Table1[[#This Row],[Sales]]</f>
        <v>0.3</v>
      </c>
    </row>
    <row r="651" spans="1:23" x14ac:dyDescent="0.25">
      <c r="A651" t="s">
        <v>1552</v>
      </c>
      <c r="B651" s="1">
        <v>45903</v>
      </c>
      <c r="C651" t="s">
        <v>652</v>
      </c>
      <c r="D651" t="s">
        <v>1458</v>
      </c>
      <c r="E651" t="s">
        <v>73</v>
      </c>
      <c r="F651" t="s">
        <v>74</v>
      </c>
      <c r="G651" t="s">
        <v>27</v>
      </c>
      <c r="H651" t="s">
        <v>75</v>
      </c>
      <c r="I651" t="s">
        <v>76</v>
      </c>
      <c r="J651">
        <v>2</v>
      </c>
      <c r="K651">
        <v>3500</v>
      </c>
      <c r="L651">
        <v>0</v>
      </c>
      <c r="M651">
        <v>7000</v>
      </c>
      <c r="N651">
        <v>4900</v>
      </c>
      <c r="O651">
        <v>2100</v>
      </c>
      <c r="P651" t="s">
        <v>95</v>
      </c>
      <c r="Q651" t="s">
        <v>96</v>
      </c>
      <c r="R651" t="s">
        <v>45</v>
      </c>
      <c r="S651" t="s">
        <v>46</v>
      </c>
      <c r="T651" t="s">
        <v>47</v>
      </c>
      <c r="U651" t="s">
        <v>34</v>
      </c>
      <c r="V651">
        <v>2</v>
      </c>
      <c r="W651">
        <f>Table1[[#This Row],[Profit]]/Table1[[#This Row],[Sales]]</f>
        <v>0.3</v>
      </c>
    </row>
    <row r="652" spans="1:23" x14ac:dyDescent="0.25">
      <c r="A652" t="s">
        <v>1553</v>
      </c>
      <c r="B652" s="1">
        <v>46000</v>
      </c>
      <c r="C652" t="s">
        <v>819</v>
      </c>
      <c r="D652" t="s">
        <v>464</v>
      </c>
      <c r="E652" t="s">
        <v>73</v>
      </c>
      <c r="F652" t="s">
        <v>74</v>
      </c>
      <c r="G652" t="s">
        <v>27</v>
      </c>
      <c r="H652" t="s">
        <v>75</v>
      </c>
      <c r="I652" t="s">
        <v>76</v>
      </c>
      <c r="J652">
        <v>5</v>
      </c>
      <c r="K652">
        <v>3500</v>
      </c>
      <c r="L652">
        <v>10</v>
      </c>
      <c r="M652">
        <v>15750</v>
      </c>
      <c r="N652">
        <v>12250</v>
      </c>
      <c r="O652">
        <v>3500</v>
      </c>
      <c r="P652" t="s">
        <v>109</v>
      </c>
      <c r="Q652" t="s">
        <v>110</v>
      </c>
      <c r="R652" t="s">
        <v>111</v>
      </c>
      <c r="S652" t="s">
        <v>46</v>
      </c>
      <c r="T652" t="s">
        <v>56</v>
      </c>
      <c r="U652" t="s">
        <v>48</v>
      </c>
      <c r="V652">
        <v>2</v>
      </c>
      <c r="W652">
        <f>Table1[[#This Row],[Profit]]/Table1[[#This Row],[Sales]]</f>
        <v>0.22222222222222221</v>
      </c>
    </row>
    <row r="653" spans="1:23" x14ac:dyDescent="0.25">
      <c r="A653" t="s">
        <v>1554</v>
      </c>
      <c r="B653" s="1">
        <v>45754</v>
      </c>
      <c r="C653" t="s">
        <v>1555</v>
      </c>
      <c r="D653" t="s">
        <v>1556</v>
      </c>
      <c r="E653" t="s">
        <v>73</v>
      </c>
      <c r="F653" t="s">
        <v>74</v>
      </c>
      <c r="G653" t="s">
        <v>27</v>
      </c>
      <c r="H653" t="s">
        <v>75</v>
      </c>
      <c r="I653" t="s">
        <v>76</v>
      </c>
      <c r="J653">
        <v>3</v>
      </c>
      <c r="K653">
        <v>3500</v>
      </c>
      <c r="L653">
        <v>10</v>
      </c>
      <c r="M653">
        <v>9450</v>
      </c>
      <c r="N653">
        <v>7349.9999999999991</v>
      </c>
      <c r="O653">
        <v>2100.0000000000009</v>
      </c>
      <c r="P653" t="s">
        <v>109</v>
      </c>
      <c r="Q653" t="s">
        <v>110</v>
      </c>
      <c r="R653" t="s">
        <v>111</v>
      </c>
      <c r="S653" t="s">
        <v>60</v>
      </c>
      <c r="T653" t="s">
        <v>33</v>
      </c>
      <c r="U653" t="s">
        <v>48</v>
      </c>
      <c r="V653">
        <v>5</v>
      </c>
      <c r="W653">
        <f>Table1[[#This Row],[Profit]]/Table1[[#This Row],[Sales]]</f>
        <v>0.22222222222222232</v>
      </c>
    </row>
    <row r="654" spans="1:23" x14ac:dyDescent="0.25">
      <c r="A654" t="s">
        <v>1557</v>
      </c>
      <c r="B654" s="1">
        <v>45893</v>
      </c>
      <c r="C654" t="s">
        <v>1558</v>
      </c>
      <c r="D654" t="s">
        <v>1559</v>
      </c>
      <c r="E654" t="s">
        <v>52</v>
      </c>
      <c r="F654" t="s">
        <v>53</v>
      </c>
      <c r="G654" t="s">
        <v>27</v>
      </c>
      <c r="H654" t="s">
        <v>54</v>
      </c>
      <c r="I654" t="s">
        <v>55</v>
      </c>
      <c r="J654">
        <v>1</v>
      </c>
      <c r="K654">
        <v>55000</v>
      </c>
      <c r="L654">
        <v>15</v>
      </c>
      <c r="M654">
        <v>46750</v>
      </c>
      <c r="N654">
        <v>38500</v>
      </c>
      <c r="O654">
        <v>8250</v>
      </c>
      <c r="P654" t="s">
        <v>30</v>
      </c>
      <c r="Q654" t="s">
        <v>30</v>
      </c>
      <c r="R654" t="s">
        <v>31</v>
      </c>
      <c r="S654" t="s">
        <v>46</v>
      </c>
      <c r="T654" t="s">
        <v>33</v>
      </c>
      <c r="U654" t="s">
        <v>34</v>
      </c>
      <c r="V654">
        <v>4</v>
      </c>
      <c r="W654">
        <f>Table1[[#This Row],[Profit]]/Table1[[#This Row],[Sales]]</f>
        <v>0.17647058823529413</v>
      </c>
    </row>
    <row r="655" spans="1:23" x14ac:dyDescent="0.25">
      <c r="A655" t="s">
        <v>1560</v>
      </c>
      <c r="B655" s="1">
        <v>45814</v>
      </c>
      <c r="C655" t="s">
        <v>1561</v>
      </c>
      <c r="D655" t="s">
        <v>1562</v>
      </c>
      <c r="E655" t="s">
        <v>67</v>
      </c>
      <c r="F655" t="s">
        <v>68</v>
      </c>
      <c r="G655" t="s">
        <v>27</v>
      </c>
      <c r="H655" t="s">
        <v>28</v>
      </c>
      <c r="I655" t="s">
        <v>69</v>
      </c>
      <c r="J655">
        <v>4</v>
      </c>
      <c r="K655">
        <v>1500</v>
      </c>
      <c r="L655">
        <v>0</v>
      </c>
      <c r="M655">
        <v>6000</v>
      </c>
      <c r="N655">
        <v>4200</v>
      </c>
      <c r="O655">
        <v>1800</v>
      </c>
      <c r="P655" t="s">
        <v>30</v>
      </c>
      <c r="Q655" t="s">
        <v>30</v>
      </c>
      <c r="R655" t="s">
        <v>31</v>
      </c>
      <c r="S655" t="s">
        <v>46</v>
      </c>
      <c r="T655" t="s">
        <v>33</v>
      </c>
      <c r="U655" t="s">
        <v>34</v>
      </c>
      <c r="V655">
        <v>3</v>
      </c>
      <c r="W655">
        <f>Table1[[#This Row],[Profit]]/Table1[[#This Row],[Sales]]</f>
        <v>0.3</v>
      </c>
    </row>
    <row r="656" spans="1:23" x14ac:dyDescent="0.25">
      <c r="A656" t="s">
        <v>1563</v>
      </c>
      <c r="B656" s="1">
        <v>45659</v>
      </c>
      <c r="C656" t="s">
        <v>236</v>
      </c>
      <c r="D656" t="s">
        <v>595</v>
      </c>
      <c r="E656" t="s">
        <v>73</v>
      </c>
      <c r="F656" t="s">
        <v>74</v>
      </c>
      <c r="G656" t="s">
        <v>27</v>
      </c>
      <c r="H656" t="s">
        <v>75</v>
      </c>
      <c r="I656" t="s">
        <v>76</v>
      </c>
      <c r="J656">
        <v>2</v>
      </c>
      <c r="K656">
        <v>3500</v>
      </c>
      <c r="L656">
        <v>15</v>
      </c>
      <c r="M656">
        <v>5950</v>
      </c>
      <c r="N656">
        <v>4900</v>
      </c>
      <c r="O656">
        <v>1050</v>
      </c>
      <c r="P656" t="s">
        <v>43</v>
      </c>
      <c r="Q656" t="s">
        <v>44</v>
      </c>
      <c r="R656" t="s">
        <v>45</v>
      </c>
      <c r="S656" t="s">
        <v>46</v>
      </c>
      <c r="T656" t="s">
        <v>56</v>
      </c>
      <c r="U656" t="s">
        <v>48</v>
      </c>
      <c r="V656">
        <v>5</v>
      </c>
      <c r="W656">
        <f>Table1[[#This Row],[Profit]]/Table1[[#This Row],[Sales]]</f>
        <v>0.17647058823529413</v>
      </c>
    </row>
    <row r="657" spans="1:23" x14ac:dyDescent="0.25">
      <c r="A657" t="s">
        <v>1564</v>
      </c>
      <c r="B657" s="1">
        <v>45993</v>
      </c>
      <c r="C657" t="s">
        <v>1565</v>
      </c>
      <c r="D657" t="s">
        <v>1079</v>
      </c>
      <c r="E657" t="s">
        <v>52</v>
      </c>
      <c r="F657" t="s">
        <v>53</v>
      </c>
      <c r="G657" t="s">
        <v>27</v>
      </c>
      <c r="H657" t="s">
        <v>54</v>
      </c>
      <c r="I657" t="s">
        <v>55</v>
      </c>
      <c r="J657">
        <v>5</v>
      </c>
      <c r="K657">
        <v>55000</v>
      </c>
      <c r="L657">
        <v>0</v>
      </c>
      <c r="M657">
        <v>275000</v>
      </c>
      <c r="N657">
        <v>192500</v>
      </c>
      <c r="O657">
        <v>82500</v>
      </c>
      <c r="P657" t="s">
        <v>95</v>
      </c>
      <c r="Q657" t="s">
        <v>96</v>
      </c>
      <c r="R657" t="s">
        <v>45</v>
      </c>
      <c r="S657" t="s">
        <v>60</v>
      </c>
      <c r="T657" t="s">
        <v>33</v>
      </c>
      <c r="U657" t="s">
        <v>34</v>
      </c>
      <c r="V657">
        <v>1</v>
      </c>
      <c r="W657">
        <f>Table1[[#This Row],[Profit]]/Table1[[#This Row],[Sales]]</f>
        <v>0.3</v>
      </c>
    </row>
    <row r="658" spans="1:23" x14ac:dyDescent="0.25">
      <c r="A658" t="s">
        <v>1566</v>
      </c>
      <c r="B658" s="1">
        <v>45791</v>
      </c>
      <c r="C658" t="s">
        <v>1567</v>
      </c>
      <c r="D658" t="s">
        <v>1568</v>
      </c>
      <c r="E658" t="s">
        <v>73</v>
      </c>
      <c r="F658" t="s">
        <v>74</v>
      </c>
      <c r="G658" t="s">
        <v>27</v>
      </c>
      <c r="H658" t="s">
        <v>75</v>
      </c>
      <c r="I658" t="s">
        <v>76</v>
      </c>
      <c r="J658">
        <v>3</v>
      </c>
      <c r="K658">
        <v>3500</v>
      </c>
      <c r="L658">
        <v>15</v>
      </c>
      <c r="M658">
        <v>8925</v>
      </c>
      <c r="N658">
        <v>7349.9999999999991</v>
      </c>
      <c r="O658">
        <v>1575.0000000000009</v>
      </c>
      <c r="P658" t="s">
        <v>95</v>
      </c>
      <c r="Q658" t="s">
        <v>96</v>
      </c>
      <c r="R658" t="s">
        <v>45</v>
      </c>
      <c r="S658" t="s">
        <v>32</v>
      </c>
      <c r="T658" t="s">
        <v>47</v>
      </c>
      <c r="U658" t="s">
        <v>48</v>
      </c>
      <c r="V658">
        <v>2</v>
      </c>
      <c r="W658">
        <f>Table1[[#This Row],[Profit]]/Table1[[#This Row],[Sales]]</f>
        <v>0.17647058823529421</v>
      </c>
    </row>
    <row r="659" spans="1:23" x14ac:dyDescent="0.25">
      <c r="A659" t="s">
        <v>1569</v>
      </c>
      <c r="B659" s="1">
        <v>45713</v>
      </c>
      <c r="C659" t="s">
        <v>1232</v>
      </c>
      <c r="D659" t="s">
        <v>1136</v>
      </c>
      <c r="E659" t="s">
        <v>73</v>
      </c>
      <c r="F659" t="s">
        <v>74</v>
      </c>
      <c r="G659" t="s">
        <v>27</v>
      </c>
      <c r="H659" t="s">
        <v>75</v>
      </c>
      <c r="I659" t="s">
        <v>76</v>
      </c>
      <c r="J659">
        <v>3</v>
      </c>
      <c r="K659">
        <v>3500</v>
      </c>
      <c r="L659">
        <v>10</v>
      </c>
      <c r="M659">
        <v>9450</v>
      </c>
      <c r="N659">
        <v>7349.9999999999991</v>
      </c>
      <c r="O659">
        <v>2100.0000000000009</v>
      </c>
      <c r="P659" t="s">
        <v>43</v>
      </c>
      <c r="Q659" t="s">
        <v>44</v>
      </c>
      <c r="R659" t="s">
        <v>45</v>
      </c>
      <c r="S659" t="s">
        <v>46</v>
      </c>
      <c r="T659" t="s">
        <v>33</v>
      </c>
      <c r="U659" t="s">
        <v>34</v>
      </c>
      <c r="V659">
        <v>1</v>
      </c>
      <c r="W659">
        <f>Table1[[#This Row],[Profit]]/Table1[[#This Row],[Sales]]</f>
        <v>0.22222222222222232</v>
      </c>
    </row>
    <row r="660" spans="1:23" x14ac:dyDescent="0.25">
      <c r="A660" t="s">
        <v>1570</v>
      </c>
      <c r="B660" s="1">
        <v>46004</v>
      </c>
      <c r="C660" t="s">
        <v>1571</v>
      </c>
      <c r="D660" t="s">
        <v>1518</v>
      </c>
      <c r="E660" t="s">
        <v>52</v>
      </c>
      <c r="F660" t="s">
        <v>53</v>
      </c>
      <c r="G660" t="s">
        <v>27</v>
      </c>
      <c r="H660" t="s">
        <v>54</v>
      </c>
      <c r="I660" t="s">
        <v>55</v>
      </c>
      <c r="J660">
        <v>3</v>
      </c>
      <c r="K660">
        <v>55000</v>
      </c>
      <c r="L660">
        <v>10</v>
      </c>
      <c r="M660">
        <v>148500</v>
      </c>
      <c r="N660">
        <v>115500</v>
      </c>
      <c r="O660">
        <v>33000.000000000007</v>
      </c>
      <c r="P660" t="s">
        <v>95</v>
      </c>
      <c r="Q660" t="s">
        <v>96</v>
      </c>
      <c r="R660" t="s">
        <v>45</v>
      </c>
      <c r="S660" t="s">
        <v>32</v>
      </c>
      <c r="T660" t="s">
        <v>47</v>
      </c>
      <c r="U660" t="s">
        <v>34</v>
      </c>
      <c r="V660">
        <v>4</v>
      </c>
      <c r="W660">
        <f>Table1[[#This Row],[Profit]]/Table1[[#This Row],[Sales]]</f>
        <v>0.22222222222222227</v>
      </c>
    </row>
    <row r="661" spans="1:23" x14ac:dyDescent="0.25">
      <c r="A661" t="s">
        <v>1572</v>
      </c>
      <c r="B661" s="1">
        <v>45849</v>
      </c>
      <c r="C661" t="s">
        <v>819</v>
      </c>
      <c r="D661" t="s">
        <v>1573</v>
      </c>
      <c r="E661" t="s">
        <v>25</v>
      </c>
      <c r="F661" t="s">
        <v>26</v>
      </c>
      <c r="G661" t="s">
        <v>27</v>
      </c>
      <c r="H661" t="s">
        <v>28</v>
      </c>
      <c r="I661" t="s">
        <v>29</v>
      </c>
      <c r="J661">
        <v>3</v>
      </c>
      <c r="K661">
        <v>800</v>
      </c>
      <c r="L661">
        <v>5</v>
      </c>
      <c r="M661">
        <v>2280</v>
      </c>
      <c r="N661">
        <v>1680</v>
      </c>
      <c r="O661">
        <v>600</v>
      </c>
      <c r="P661" t="s">
        <v>109</v>
      </c>
      <c r="Q661" t="s">
        <v>110</v>
      </c>
      <c r="R661" t="s">
        <v>111</v>
      </c>
      <c r="S661" t="s">
        <v>60</v>
      </c>
      <c r="T661" t="s">
        <v>33</v>
      </c>
      <c r="U661" t="s">
        <v>34</v>
      </c>
      <c r="V661">
        <v>1</v>
      </c>
      <c r="W661">
        <f>Table1[[#This Row],[Profit]]/Table1[[#This Row],[Sales]]</f>
        <v>0.26315789473684209</v>
      </c>
    </row>
    <row r="662" spans="1:23" x14ac:dyDescent="0.25">
      <c r="A662" t="s">
        <v>1574</v>
      </c>
      <c r="B662" s="1">
        <v>45858</v>
      </c>
      <c r="C662" t="s">
        <v>1575</v>
      </c>
      <c r="D662" t="s">
        <v>737</v>
      </c>
      <c r="E662" t="s">
        <v>73</v>
      </c>
      <c r="F662" t="s">
        <v>74</v>
      </c>
      <c r="G662" t="s">
        <v>27</v>
      </c>
      <c r="H662" t="s">
        <v>75</v>
      </c>
      <c r="I662" t="s">
        <v>76</v>
      </c>
      <c r="J662">
        <v>2</v>
      </c>
      <c r="K662">
        <v>3500</v>
      </c>
      <c r="L662">
        <v>10</v>
      </c>
      <c r="M662">
        <v>6300</v>
      </c>
      <c r="N662">
        <v>4900</v>
      </c>
      <c r="O662">
        <v>1400</v>
      </c>
      <c r="P662" t="s">
        <v>30</v>
      </c>
      <c r="Q662" t="s">
        <v>30</v>
      </c>
      <c r="R662" t="s">
        <v>31</v>
      </c>
      <c r="S662" t="s">
        <v>32</v>
      </c>
      <c r="T662" t="s">
        <v>47</v>
      </c>
      <c r="U662" t="s">
        <v>34</v>
      </c>
      <c r="V662">
        <v>1</v>
      </c>
      <c r="W662">
        <f>Table1[[#This Row],[Profit]]/Table1[[#This Row],[Sales]]</f>
        <v>0.22222222222222221</v>
      </c>
    </row>
    <row r="663" spans="1:23" x14ac:dyDescent="0.25">
      <c r="A663" t="s">
        <v>1576</v>
      </c>
      <c r="B663" s="1">
        <v>45755</v>
      </c>
      <c r="C663" t="s">
        <v>1417</v>
      </c>
      <c r="D663" t="s">
        <v>1158</v>
      </c>
      <c r="E663" t="s">
        <v>73</v>
      </c>
      <c r="F663" t="s">
        <v>74</v>
      </c>
      <c r="G663" t="s">
        <v>27</v>
      </c>
      <c r="H663" t="s">
        <v>75</v>
      </c>
      <c r="I663" t="s">
        <v>76</v>
      </c>
      <c r="J663">
        <v>4</v>
      </c>
      <c r="K663">
        <v>3500</v>
      </c>
      <c r="L663">
        <v>10</v>
      </c>
      <c r="M663">
        <v>12600</v>
      </c>
      <c r="N663">
        <v>9800</v>
      </c>
      <c r="O663">
        <v>2800</v>
      </c>
      <c r="P663" t="s">
        <v>109</v>
      </c>
      <c r="Q663" t="s">
        <v>110</v>
      </c>
      <c r="R663" t="s">
        <v>111</v>
      </c>
      <c r="S663" t="s">
        <v>46</v>
      </c>
      <c r="T663" t="s">
        <v>33</v>
      </c>
      <c r="U663" t="s">
        <v>48</v>
      </c>
      <c r="V663">
        <v>3</v>
      </c>
      <c r="W663">
        <f>Table1[[#This Row],[Profit]]/Table1[[#This Row],[Sales]]</f>
        <v>0.22222222222222221</v>
      </c>
    </row>
    <row r="664" spans="1:23" x14ac:dyDescent="0.25">
      <c r="A664" t="s">
        <v>1577</v>
      </c>
      <c r="B664" s="1">
        <v>45749</v>
      </c>
      <c r="C664" t="s">
        <v>1578</v>
      </c>
      <c r="D664" t="s">
        <v>1579</v>
      </c>
      <c r="E664" t="s">
        <v>67</v>
      </c>
      <c r="F664" t="s">
        <v>68</v>
      </c>
      <c r="G664" t="s">
        <v>27</v>
      </c>
      <c r="H664" t="s">
        <v>28</v>
      </c>
      <c r="I664" t="s">
        <v>69</v>
      </c>
      <c r="J664">
        <v>3</v>
      </c>
      <c r="K664">
        <v>1500</v>
      </c>
      <c r="L664">
        <v>5</v>
      </c>
      <c r="M664">
        <v>4275</v>
      </c>
      <c r="N664">
        <v>3150</v>
      </c>
      <c r="O664">
        <v>1125</v>
      </c>
      <c r="P664" t="s">
        <v>95</v>
      </c>
      <c r="Q664" t="s">
        <v>96</v>
      </c>
      <c r="R664" t="s">
        <v>45</v>
      </c>
      <c r="S664" t="s">
        <v>60</v>
      </c>
      <c r="T664" t="s">
        <v>47</v>
      </c>
      <c r="U664" t="s">
        <v>34</v>
      </c>
      <c r="V664">
        <v>5</v>
      </c>
      <c r="W664">
        <f>Table1[[#This Row],[Profit]]/Table1[[#This Row],[Sales]]</f>
        <v>0.26315789473684209</v>
      </c>
    </row>
    <row r="665" spans="1:23" x14ac:dyDescent="0.25">
      <c r="A665" t="s">
        <v>1580</v>
      </c>
      <c r="B665" s="1">
        <v>45807</v>
      </c>
      <c r="C665" t="s">
        <v>104</v>
      </c>
      <c r="D665" t="s">
        <v>1372</v>
      </c>
      <c r="E665" t="s">
        <v>52</v>
      </c>
      <c r="F665" t="s">
        <v>53</v>
      </c>
      <c r="G665" t="s">
        <v>27</v>
      </c>
      <c r="H665" t="s">
        <v>54</v>
      </c>
      <c r="I665" t="s">
        <v>55</v>
      </c>
      <c r="J665">
        <v>5</v>
      </c>
      <c r="K665">
        <v>55000</v>
      </c>
      <c r="L665">
        <v>15</v>
      </c>
      <c r="M665">
        <v>233750</v>
      </c>
      <c r="N665">
        <v>192500</v>
      </c>
      <c r="O665">
        <v>41250</v>
      </c>
      <c r="P665" t="s">
        <v>109</v>
      </c>
      <c r="Q665" t="s">
        <v>110</v>
      </c>
      <c r="R665" t="s">
        <v>111</v>
      </c>
      <c r="S665" t="s">
        <v>60</v>
      </c>
      <c r="T665" t="s">
        <v>33</v>
      </c>
      <c r="U665" t="s">
        <v>34</v>
      </c>
      <c r="V665">
        <v>4</v>
      </c>
      <c r="W665">
        <f>Table1[[#This Row],[Profit]]/Table1[[#This Row],[Sales]]</f>
        <v>0.17647058823529413</v>
      </c>
    </row>
    <row r="666" spans="1:23" x14ac:dyDescent="0.25">
      <c r="A666" t="s">
        <v>1581</v>
      </c>
      <c r="B666" s="1">
        <v>45972</v>
      </c>
      <c r="C666" t="s">
        <v>1582</v>
      </c>
      <c r="D666" t="s">
        <v>1111</v>
      </c>
      <c r="E666" t="s">
        <v>25</v>
      </c>
      <c r="F666" t="s">
        <v>26</v>
      </c>
      <c r="G666" t="s">
        <v>27</v>
      </c>
      <c r="H666" t="s">
        <v>28</v>
      </c>
      <c r="I666" t="s">
        <v>29</v>
      </c>
      <c r="J666">
        <v>1</v>
      </c>
      <c r="K666">
        <v>800</v>
      </c>
      <c r="L666">
        <v>15</v>
      </c>
      <c r="M666">
        <v>680</v>
      </c>
      <c r="N666">
        <v>560</v>
      </c>
      <c r="O666">
        <v>120</v>
      </c>
      <c r="P666" t="s">
        <v>43</v>
      </c>
      <c r="Q666" t="s">
        <v>44</v>
      </c>
      <c r="R666" t="s">
        <v>45</v>
      </c>
      <c r="S666" t="s">
        <v>60</v>
      </c>
      <c r="T666" t="s">
        <v>33</v>
      </c>
      <c r="U666" t="s">
        <v>48</v>
      </c>
      <c r="V666">
        <v>1</v>
      </c>
      <c r="W666">
        <f>Table1[[#This Row],[Profit]]/Table1[[#This Row],[Sales]]</f>
        <v>0.17647058823529413</v>
      </c>
    </row>
    <row r="667" spans="1:23" x14ac:dyDescent="0.25">
      <c r="A667" t="s">
        <v>1583</v>
      </c>
      <c r="B667" s="1">
        <v>45967</v>
      </c>
      <c r="C667" t="s">
        <v>181</v>
      </c>
      <c r="D667" t="s">
        <v>223</v>
      </c>
      <c r="E667" t="s">
        <v>67</v>
      </c>
      <c r="F667" t="s">
        <v>68</v>
      </c>
      <c r="G667" t="s">
        <v>27</v>
      </c>
      <c r="H667" t="s">
        <v>28</v>
      </c>
      <c r="I667" t="s">
        <v>69</v>
      </c>
      <c r="J667">
        <v>3</v>
      </c>
      <c r="K667">
        <v>1500</v>
      </c>
      <c r="L667">
        <v>15</v>
      </c>
      <c r="M667">
        <v>3825</v>
      </c>
      <c r="N667">
        <v>3150</v>
      </c>
      <c r="O667">
        <v>675</v>
      </c>
      <c r="P667" t="s">
        <v>30</v>
      </c>
      <c r="Q667" t="s">
        <v>30</v>
      </c>
      <c r="R667" t="s">
        <v>31</v>
      </c>
      <c r="S667" t="s">
        <v>60</v>
      </c>
      <c r="T667" t="s">
        <v>47</v>
      </c>
      <c r="U667" t="s">
        <v>48</v>
      </c>
      <c r="V667">
        <v>2</v>
      </c>
      <c r="W667">
        <f>Table1[[#This Row],[Profit]]/Table1[[#This Row],[Sales]]</f>
        <v>0.17647058823529413</v>
      </c>
    </row>
    <row r="668" spans="1:23" x14ac:dyDescent="0.25">
      <c r="A668" t="s">
        <v>1584</v>
      </c>
      <c r="B668" s="1">
        <v>45855</v>
      </c>
      <c r="C668" t="s">
        <v>728</v>
      </c>
      <c r="D668" t="s">
        <v>1585</v>
      </c>
      <c r="E668" t="s">
        <v>52</v>
      </c>
      <c r="F668" t="s">
        <v>53</v>
      </c>
      <c r="G668" t="s">
        <v>27</v>
      </c>
      <c r="H668" t="s">
        <v>54</v>
      </c>
      <c r="I668" t="s">
        <v>55</v>
      </c>
      <c r="J668">
        <v>2</v>
      </c>
      <c r="K668">
        <v>55000</v>
      </c>
      <c r="L668">
        <v>5</v>
      </c>
      <c r="M668">
        <v>104500</v>
      </c>
      <c r="N668">
        <v>77000</v>
      </c>
      <c r="O668">
        <v>27500</v>
      </c>
      <c r="P668" t="s">
        <v>43</v>
      </c>
      <c r="Q668" t="s">
        <v>44</v>
      </c>
      <c r="R668" t="s">
        <v>45</v>
      </c>
      <c r="S668" t="s">
        <v>46</v>
      </c>
      <c r="T668" t="s">
        <v>47</v>
      </c>
      <c r="U668" t="s">
        <v>34</v>
      </c>
      <c r="V668">
        <v>3</v>
      </c>
      <c r="W668">
        <f>Table1[[#This Row],[Profit]]/Table1[[#This Row],[Sales]]</f>
        <v>0.26315789473684209</v>
      </c>
    </row>
    <row r="669" spans="1:23" x14ac:dyDescent="0.25">
      <c r="A669" t="s">
        <v>1586</v>
      </c>
      <c r="B669" s="1">
        <v>45743</v>
      </c>
      <c r="C669" t="s">
        <v>1587</v>
      </c>
      <c r="D669" t="s">
        <v>1588</v>
      </c>
      <c r="E669" t="s">
        <v>52</v>
      </c>
      <c r="F669" t="s">
        <v>53</v>
      </c>
      <c r="G669" t="s">
        <v>27</v>
      </c>
      <c r="H669" t="s">
        <v>54</v>
      </c>
      <c r="I669" t="s">
        <v>55</v>
      </c>
      <c r="J669">
        <v>5</v>
      </c>
      <c r="K669">
        <v>55000</v>
      </c>
      <c r="L669">
        <v>0</v>
      </c>
      <c r="M669">
        <v>275000</v>
      </c>
      <c r="N669">
        <v>192500</v>
      </c>
      <c r="O669">
        <v>82500</v>
      </c>
      <c r="P669" t="s">
        <v>109</v>
      </c>
      <c r="Q669" t="s">
        <v>110</v>
      </c>
      <c r="R669" t="s">
        <v>111</v>
      </c>
      <c r="S669" t="s">
        <v>32</v>
      </c>
      <c r="T669" t="s">
        <v>56</v>
      </c>
      <c r="U669" t="s">
        <v>34</v>
      </c>
      <c r="V669">
        <v>3</v>
      </c>
      <c r="W669">
        <f>Table1[[#This Row],[Profit]]/Table1[[#This Row],[Sales]]</f>
        <v>0.3</v>
      </c>
    </row>
    <row r="670" spans="1:23" x14ac:dyDescent="0.25">
      <c r="A670" t="s">
        <v>1589</v>
      </c>
      <c r="B670" s="1">
        <v>46018</v>
      </c>
      <c r="C670" t="s">
        <v>582</v>
      </c>
      <c r="D670" t="s">
        <v>1590</v>
      </c>
      <c r="E670" t="s">
        <v>38</v>
      </c>
      <c r="F670" t="s">
        <v>39</v>
      </c>
      <c r="G670" t="s">
        <v>40</v>
      </c>
      <c r="H670" t="s">
        <v>41</v>
      </c>
      <c r="I670" t="s">
        <v>42</v>
      </c>
      <c r="J670">
        <v>4</v>
      </c>
      <c r="K670">
        <v>4500</v>
      </c>
      <c r="L670">
        <v>15</v>
      </c>
      <c r="M670">
        <v>15300</v>
      </c>
      <c r="N670">
        <v>12600</v>
      </c>
      <c r="O670">
        <v>2700</v>
      </c>
      <c r="P670" t="s">
        <v>43</v>
      </c>
      <c r="Q670" t="s">
        <v>44</v>
      </c>
      <c r="R670" t="s">
        <v>45</v>
      </c>
      <c r="S670" t="s">
        <v>46</v>
      </c>
      <c r="T670" t="s">
        <v>33</v>
      </c>
      <c r="U670" t="s">
        <v>48</v>
      </c>
      <c r="V670">
        <v>4</v>
      </c>
      <c r="W670">
        <f>Table1[[#This Row],[Profit]]/Table1[[#This Row],[Sales]]</f>
        <v>0.17647058823529413</v>
      </c>
    </row>
    <row r="671" spans="1:23" x14ac:dyDescent="0.25">
      <c r="A671" t="s">
        <v>1591</v>
      </c>
      <c r="B671" s="1">
        <v>45759</v>
      </c>
      <c r="C671" t="s">
        <v>1103</v>
      </c>
      <c r="D671" t="s">
        <v>1061</v>
      </c>
      <c r="E671" t="s">
        <v>25</v>
      </c>
      <c r="F671" t="s">
        <v>26</v>
      </c>
      <c r="G671" t="s">
        <v>27</v>
      </c>
      <c r="H671" t="s">
        <v>28</v>
      </c>
      <c r="I671" t="s">
        <v>29</v>
      </c>
      <c r="J671">
        <v>5</v>
      </c>
      <c r="K671">
        <v>800</v>
      </c>
      <c r="L671">
        <v>15</v>
      </c>
      <c r="M671">
        <v>3400</v>
      </c>
      <c r="N671">
        <v>2800</v>
      </c>
      <c r="O671">
        <v>600</v>
      </c>
      <c r="P671" t="s">
        <v>30</v>
      </c>
      <c r="Q671" t="s">
        <v>30</v>
      </c>
      <c r="R671" t="s">
        <v>31</v>
      </c>
      <c r="S671" t="s">
        <v>32</v>
      </c>
      <c r="T671" t="s">
        <v>47</v>
      </c>
      <c r="U671" t="s">
        <v>48</v>
      </c>
      <c r="V671">
        <v>1</v>
      </c>
      <c r="W671">
        <f>Table1[[#This Row],[Profit]]/Table1[[#This Row],[Sales]]</f>
        <v>0.17647058823529413</v>
      </c>
    </row>
    <row r="672" spans="1:23" x14ac:dyDescent="0.25">
      <c r="A672" t="s">
        <v>1592</v>
      </c>
      <c r="B672" s="1">
        <v>45911</v>
      </c>
      <c r="C672" t="s">
        <v>944</v>
      </c>
      <c r="D672" t="s">
        <v>523</v>
      </c>
      <c r="E672" t="s">
        <v>73</v>
      </c>
      <c r="F672" t="s">
        <v>74</v>
      </c>
      <c r="G672" t="s">
        <v>27</v>
      </c>
      <c r="H672" t="s">
        <v>75</v>
      </c>
      <c r="I672" t="s">
        <v>76</v>
      </c>
      <c r="J672">
        <v>2</v>
      </c>
      <c r="K672">
        <v>3500</v>
      </c>
      <c r="L672">
        <v>0</v>
      </c>
      <c r="M672">
        <v>7000</v>
      </c>
      <c r="N672">
        <v>4900</v>
      </c>
      <c r="O672">
        <v>2100</v>
      </c>
      <c r="P672" t="s">
        <v>95</v>
      </c>
      <c r="Q672" t="s">
        <v>96</v>
      </c>
      <c r="R672" t="s">
        <v>45</v>
      </c>
      <c r="S672" t="s">
        <v>32</v>
      </c>
      <c r="T672" t="s">
        <v>56</v>
      </c>
      <c r="U672" t="s">
        <v>34</v>
      </c>
      <c r="V672">
        <v>3</v>
      </c>
      <c r="W672">
        <f>Table1[[#This Row],[Profit]]/Table1[[#This Row],[Sales]]</f>
        <v>0.3</v>
      </c>
    </row>
    <row r="673" spans="1:23" x14ac:dyDescent="0.25">
      <c r="A673" t="s">
        <v>1593</v>
      </c>
      <c r="B673" s="1">
        <v>45951</v>
      </c>
      <c r="C673" t="s">
        <v>944</v>
      </c>
      <c r="D673" t="s">
        <v>1594</v>
      </c>
      <c r="E673" t="s">
        <v>52</v>
      </c>
      <c r="F673" t="s">
        <v>53</v>
      </c>
      <c r="G673" t="s">
        <v>27</v>
      </c>
      <c r="H673" t="s">
        <v>54</v>
      </c>
      <c r="I673" t="s">
        <v>55</v>
      </c>
      <c r="J673">
        <v>4</v>
      </c>
      <c r="K673">
        <v>55000</v>
      </c>
      <c r="L673">
        <v>0</v>
      </c>
      <c r="M673">
        <v>220000</v>
      </c>
      <c r="N673">
        <v>154000</v>
      </c>
      <c r="O673">
        <v>66000</v>
      </c>
      <c r="P673" t="s">
        <v>95</v>
      </c>
      <c r="Q673" t="s">
        <v>96</v>
      </c>
      <c r="R673" t="s">
        <v>45</v>
      </c>
      <c r="S673" t="s">
        <v>46</v>
      </c>
      <c r="T673" t="s">
        <v>33</v>
      </c>
      <c r="U673" t="s">
        <v>48</v>
      </c>
      <c r="V673">
        <v>5</v>
      </c>
      <c r="W673">
        <f>Table1[[#This Row],[Profit]]/Table1[[#This Row],[Sales]]</f>
        <v>0.3</v>
      </c>
    </row>
    <row r="674" spans="1:23" x14ac:dyDescent="0.25">
      <c r="A674" t="s">
        <v>1595</v>
      </c>
      <c r="B674" s="1">
        <v>45731</v>
      </c>
      <c r="C674" t="s">
        <v>1167</v>
      </c>
      <c r="D674" t="s">
        <v>129</v>
      </c>
      <c r="E674" t="s">
        <v>38</v>
      </c>
      <c r="F674" t="s">
        <v>39</v>
      </c>
      <c r="G674" t="s">
        <v>40</v>
      </c>
      <c r="H674" t="s">
        <v>41</v>
      </c>
      <c r="I674" t="s">
        <v>42</v>
      </c>
      <c r="J674">
        <v>4</v>
      </c>
      <c r="K674">
        <v>4500</v>
      </c>
      <c r="L674">
        <v>15</v>
      </c>
      <c r="M674">
        <v>15300</v>
      </c>
      <c r="N674">
        <v>12600</v>
      </c>
      <c r="O674">
        <v>2700</v>
      </c>
      <c r="P674" t="s">
        <v>43</v>
      </c>
      <c r="Q674" t="s">
        <v>44</v>
      </c>
      <c r="R674" t="s">
        <v>45</v>
      </c>
      <c r="S674" t="s">
        <v>60</v>
      </c>
      <c r="T674" t="s">
        <v>47</v>
      </c>
      <c r="U674" t="s">
        <v>48</v>
      </c>
      <c r="V674">
        <v>1</v>
      </c>
      <c r="W674">
        <f>Table1[[#This Row],[Profit]]/Table1[[#This Row],[Sales]]</f>
        <v>0.17647058823529413</v>
      </c>
    </row>
    <row r="675" spans="1:23" x14ac:dyDescent="0.25">
      <c r="A675" t="s">
        <v>1596</v>
      </c>
      <c r="B675" s="1">
        <v>45944</v>
      </c>
      <c r="C675" t="s">
        <v>611</v>
      </c>
      <c r="D675" t="s">
        <v>200</v>
      </c>
      <c r="E675" t="s">
        <v>73</v>
      </c>
      <c r="F675" t="s">
        <v>74</v>
      </c>
      <c r="G675" t="s">
        <v>27</v>
      </c>
      <c r="H675" t="s">
        <v>75</v>
      </c>
      <c r="I675" t="s">
        <v>76</v>
      </c>
      <c r="J675">
        <v>3</v>
      </c>
      <c r="K675">
        <v>3500</v>
      </c>
      <c r="L675">
        <v>15</v>
      </c>
      <c r="M675">
        <v>8925</v>
      </c>
      <c r="N675">
        <v>7349.9999999999991</v>
      </c>
      <c r="O675">
        <v>1575.0000000000009</v>
      </c>
      <c r="P675" t="s">
        <v>43</v>
      </c>
      <c r="Q675" t="s">
        <v>44</v>
      </c>
      <c r="R675" t="s">
        <v>45</v>
      </c>
      <c r="S675" t="s">
        <v>32</v>
      </c>
      <c r="T675" t="s">
        <v>47</v>
      </c>
      <c r="U675" t="s">
        <v>34</v>
      </c>
      <c r="V675">
        <v>3</v>
      </c>
      <c r="W675">
        <f>Table1[[#This Row],[Profit]]/Table1[[#This Row],[Sales]]</f>
        <v>0.17647058823529421</v>
      </c>
    </row>
    <row r="676" spans="1:23" x14ac:dyDescent="0.25">
      <c r="A676" t="s">
        <v>1597</v>
      </c>
      <c r="B676" s="1">
        <v>45923</v>
      </c>
      <c r="C676" t="s">
        <v>1598</v>
      </c>
      <c r="D676" t="s">
        <v>854</v>
      </c>
      <c r="E676" t="s">
        <v>73</v>
      </c>
      <c r="F676" t="s">
        <v>74</v>
      </c>
      <c r="G676" t="s">
        <v>27</v>
      </c>
      <c r="H676" t="s">
        <v>75</v>
      </c>
      <c r="I676" t="s">
        <v>76</v>
      </c>
      <c r="J676">
        <v>4</v>
      </c>
      <c r="K676">
        <v>3500</v>
      </c>
      <c r="L676">
        <v>10</v>
      </c>
      <c r="M676">
        <v>12600</v>
      </c>
      <c r="N676">
        <v>9800</v>
      </c>
      <c r="O676">
        <v>2800</v>
      </c>
      <c r="P676" t="s">
        <v>43</v>
      </c>
      <c r="Q676" t="s">
        <v>44</v>
      </c>
      <c r="R676" t="s">
        <v>45</v>
      </c>
      <c r="S676" t="s">
        <v>46</v>
      </c>
      <c r="T676" t="s">
        <v>56</v>
      </c>
      <c r="U676" t="s">
        <v>34</v>
      </c>
      <c r="V676">
        <v>5</v>
      </c>
      <c r="W676">
        <f>Table1[[#This Row],[Profit]]/Table1[[#This Row],[Sales]]</f>
        <v>0.22222222222222221</v>
      </c>
    </row>
    <row r="677" spans="1:23" x14ac:dyDescent="0.25">
      <c r="A677" t="s">
        <v>1599</v>
      </c>
      <c r="B677" s="1">
        <v>45819</v>
      </c>
      <c r="C677" t="s">
        <v>1600</v>
      </c>
      <c r="D677" t="s">
        <v>612</v>
      </c>
      <c r="E677" t="s">
        <v>52</v>
      </c>
      <c r="F677" t="s">
        <v>53</v>
      </c>
      <c r="G677" t="s">
        <v>27</v>
      </c>
      <c r="H677" t="s">
        <v>54</v>
      </c>
      <c r="I677" t="s">
        <v>55</v>
      </c>
      <c r="J677">
        <v>3</v>
      </c>
      <c r="K677">
        <v>55000</v>
      </c>
      <c r="L677">
        <v>15</v>
      </c>
      <c r="M677">
        <v>140250</v>
      </c>
      <c r="N677">
        <v>115500</v>
      </c>
      <c r="O677">
        <v>24750.000000000011</v>
      </c>
      <c r="P677" t="s">
        <v>30</v>
      </c>
      <c r="Q677" t="s">
        <v>30</v>
      </c>
      <c r="R677" t="s">
        <v>31</v>
      </c>
      <c r="S677" t="s">
        <v>60</v>
      </c>
      <c r="T677" t="s">
        <v>47</v>
      </c>
      <c r="U677" t="s">
        <v>34</v>
      </c>
      <c r="V677">
        <v>4</v>
      </c>
      <c r="W677">
        <f>Table1[[#This Row],[Profit]]/Table1[[#This Row],[Sales]]</f>
        <v>0.17647058823529418</v>
      </c>
    </row>
    <row r="678" spans="1:23" x14ac:dyDescent="0.25">
      <c r="A678" t="s">
        <v>1601</v>
      </c>
      <c r="B678" s="1">
        <v>45983</v>
      </c>
      <c r="C678" t="s">
        <v>731</v>
      </c>
      <c r="D678" t="s">
        <v>243</v>
      </c>
      <c r="E678" t="s">
        <v>52</v>
      </c>
      <c r="F678" t="s">
        <v>53</v>
      </c>
      <c r="G678" t="s">
        <v>27</v>
      </c>
      <c r="H678" t="s">
        <v>54</v>
      </c>
      <c r="I678" t="s">
        <v>55</v>
      </c>
      <c r="J678">
        <v>2</v>
      </c>
      <c r="K678">
        <v>55000</v>
      </c>
      <c r="L678">
        <v>5</v>
      </c>
      <c r="M678">
        <v>104500</v>
      </c>
      <c r="N678">
        <v>77000</v>
      </c>
      <c r="O678">
        <v>27500</v>
      </c>
      <c r="P678" t="s">
        <v>109</v>
      </c>
      <c r="Q678" t="s">
        <v>110</v>
      </c>
      <c r="R678" t="s">
        <v>111</v>
      </c>
      <c r="S678" t="s">
        <v>32</v>
      </c>
      <c r="T678" t="s">
        <v>56</v>
      </c>
      <c r="U678" t="s">
        <v>48</v>
      </c>
      <c r="V678">
        <v>1</v>
      </c>
      <c r="W678">
        <f>Table1[[#This Row],[Profit]]/Table1[[#This Row],[Sales]]</f>
        <v>0.26315789473684209</v>
      </c>
    </row>
    <row r="679" spans="1:23" x14ac:dyDescent="0.25">
      <c r="A679" t="s">
        <v>1602</v>
      </c>
      <c r="B679" s="1">
        <v>45993</v>
      </c>
      <c r="C679" t="s">
        <v>1603</v>
      </c>
      <c r="D679" t="s">
        <v>1290</v>
      </c>
      <c r="E679" t="s">
        <v>67</v>
      </c>
      <c r="F679" t="s">
        <v>68</v>
      </c>
      <c r="G679" t="s">
        <v>27</v>
      </c>
      <c r="H679" t="s">
        <v>28</v>
      </c>
      <c r="I679" t="s">
        <v>69</v>
      </c>
      <c r="J679">
        <v>4</v>
      </c>
      <c r="K679">
        <v>1500</v>
      </c>
      <c r="L679">
        <v>5</v>
      </c>
      <c r="M679">
        <v>5700</v>
      </c>
      <c r="N679">
        <v>4200</v>
      </c>
      <c r="O679">
        <v>1500</v>
      </c>
      <c r="P679" t="s">
        <v>43</v>
      </c>
      <c r="Q679" t="s">
        <v>44</v>
      </c>
      <c r="R679" t="s">
        <v>45</v>
      </c>
      <c r="S679" t="s">
        <v>32</v>
      </c>
      <c r="T679" t="s">
        <v>33</v>
      </c>
      <c r="U679" t="s">
        <v>48</v>
      </c>
      <c r="V679">
        <v>2</v>
      </c>
      <c r="W679">
        <f>Table1[[#This Row],[Profit]]/Table1[[#This Row],[Sales]]</f>
        <v>0.26315789473684209</v>
      </c>
    </row>
    <row r="680" spans="1:23" x14ac:dyDescent="0.25">
      <c r="A680" t="s">
        <v>1604</v>
      </c>
      <c r="B680" s="1">
        <v>45675</v>
      </c>
      <c r="C680" t="s">
        <v>1605</v>
      </c>
      <c r="D680" t="s">
        <v>976</v>
      </c>
      <c r="E680" t="s">
        <v>52</v>
      </c>
      <c r="F680" t="s">
        <v>53</v>
      </c>
      <c r="G680" t="s">
        <v>27</v>
      </c>
      <c r="H680" t="s">
        <v>54</v>
      </c>
      <c r="I680" t="s">
        <v>55</v>
      </c>
      <c r="J680">
        <v>1</v>
      </c>
      <c r="K680">
        <v>55000</v>
      </c>
      <c r="L680">
        <v>0</v>
      </c>
      <c r="M680">
        <v>55000</v>
      </c>
      <c r="N680">
        <v>38500</v>
      </c>
      <c r="O680">
        <v>16500</v>
      </c>
      <c r="P680" t="s">
        <v>30</v>
      </c>
      <c r="Q680" t="s">
        <v>30</v>
      </c>
      <c r="R680" t="s">
        <v>31</v>
      </c>
      <c r="S680" t="s">
        <v>32</v>
      </c>
      <c r="T680" t="s">
        <v>56</v>
      </c>
      <c r="U680" t="s">
        <v>48</v>
      </c>
      <c r="V680">
        <v>3</v>
      </c>
      <c r="W680">
        <f>Table1[[#This Row],[Profit]]/Table1[[#This Row],[Sales]]</f>
        <v>0.3</v>
      </c>
    </row>
    <row r="681" spans="1:23" x14ac:dyDescent="0.25">
      <c r="A681" t="s">
        <v>1606</v>
      </c>
      <c r="B681" s="1">
        <v>45849</v>
      </c>
      <c r="C681" t="s">
        <v>1288</v>
      </c>
      <c r="D681" t="s">
        <v>415</v>
      </c>
      <c r="E681" t="s">
        <v>52</v>
      </c>
      <c r="F681" t="s">
        <v>53</v>
      </c>
      <c r="G681" t="s">
        <v>27</v>
      </c>
      <c r="H681" t="s">
        <v>54</v>
      </c>
      <c r="I681" t="s">
        <v>55</v>
      </c>
      <c r="J681">
        <v>1</v>
      </c>
      <c r="K681">
        <v>55000</v>
      </c>
      <c r="L681">
        <v>15</v>
      </c>
      <c r="M681">
        <v>46750</v>
      </c>
      <c r="N681">
        <v>38500</v>
      </c>
      <c r="O681">
        <v>8250</v>
      </c>
      <c r="P681" t="s">
        <v>30</v>
      </c>
      <c r="Q681" t="s">
        <v>30</v>
      </c>
      <c r="R681" t="s">
        <v>31</v>
      </c>
      <c r="S681" t="s">
        <v>32</v>
      </c>
      <c r="T681" t="s">
        <v>33</v>
      </c>
      <c r="U681" t="s">
        <v>34</v>
      </c>
      <c r="V681">
        <v>1</v>
      </c>
      <c r="W681">
        <f>Table1[[#This Row],[Profit]]/Table1[[#This Row],[Sales]]</f>
        <v>0.17647058823529413</v>
      </c>
    </row>
    <row r="682" spans="1:23" x14ac:dyDescent="0.25">
      <c r="A682" t="s">
        <v>1607</v>
      </c>
      <c r="B682" s="1">
        <v>45678</v>
      </c>
      <c r="C682" t="s">
        <v>1608</v>
      </c>
      <c r="D682" t="s">
        <v>906</v>
      </c>
      <c r="E682" t="s">
        <v>25</v>
      </c>
      <c r="F682" t="s">
        <v>26</v>
      </c>
      <c r="G682" t="s">
        <v>27</v>
      </c>
      <c r="H682" t="s">
        <v>28</v>
      </c>
      <c r="I682" t="s">
        <v>29</v>
      </c>
      <c r="J682">
        <v>1</v>
      </c>
      <c r="K682">
        <v>800</v>
      </c>
      <c r="L682">
        <v>0</v>
      </c>
      <c r="M682">
        <v>800</v>
      </c>
      <c r="N682">
        <v>560</v>
      </c>
      <c r="O682">
        <v>240</v>
      </c>
      <c r="P682" t="s">
        <v>30</v>
      </c>
      <c r="Q682" t="s">
        <v>30</v>
      </c>
      <c r="R682" t="s">
        <v>31</v>
      </c>
      <c r="S682" t="s">
        <v>46</v>
      </c>
      <c r="T682" t="s">
        <v>33</v>
      </c>
      <c r="U682" t="s">
        <v>34</v>
      </c>
      <c r="V682">
        <v>1</v>
      </c>
      <c r="W682">
        <f>Table1[[#This Row],[Profit]]/Table1[[#This Row],[Sales]]</f>
        <v>0.3</v>
      </c>
    </row>
    <row r="683" spans="1:23" x14ac:dyDescent="0.25">
      <c r="A683" t="s">
        <v>1609</v>
      </c>
      <c r="B683" s="1">
        <v>45740</v>
      </c>
      <c r="C683" t="s">
        <v>101</v>
      </c>
      <c r="D683" t="s">
        <v>117</v>
      </c>
      <c r="E683" t="s">
        <v>73</v>
      </c>
      <c r="F683" t="s">
        <v>74</v>
      </c>
      <c r="G683" t="s">
        <v>27</v>
      </c>
      <c r="H683" t="s">
        <v>75</v>
      </c>
      <c r="I683" t="s">
        <v>76</v>
      </c>
      <c r="J683">
        <v>1</v>
      </c>
      <c r="K683">
        <v>3500</v>
      </c>
      <c r="L683">
        <v>5</v>
      </c>
      <c r="M683">
        <v>3325</v>
      </c>
      <c r="N683">
        <v>2450</v>
      </c>
      <c r="O683">
        <v>875</v>
      </c>
      <c r="P683" t="s">
        <v>109</v>
      </c>
      <c r="Q683" t="s">
        <v>110</v>
      </c>
      <c r="R683" t="s">
        <v>111</v>
      </c>
      <c r="S683" t="s">
        <v>60</v>
      </c>
      <c r="T683" t="s">
        <v>56</v>
      </c>
      <c r="U683" t="s">
        <v>34</v>
      </c>
      <c r="V683">
        <v>5</v>
      </c>
      <c r="W683">
        <f>Table1[[#This Row],[Profit]]/Table1[[#This Row],[Sales]]</f>
        <v>0.26315789473684209</v>
      </c>
    </row>
    <row r="684" spans="1:23" x14ac:dyDescent="0.25">
      <c r="A684" t="s">
        <v>1610</v>
      </c>
      <c r="B684" s="1">
        <v>45941</v>
      </c>
      <c r="C684" t="s">
        <v>1611</v>
      </c>
      <c r="D684" t="s">
        <v>983</v>
      </c>
      <c r="E684" t="s">
        <v>67</v>
      </c>
      <c r="F684" t="s">
        <v>68</v>
      </c>
      <c r="G684" t="s">
        <v>27</v>
      </c>
      <c r="H684" t="s">
        <v>28</v>
      </c>
      <c r="I684" t="s">
        <v>69</v>
      </c>
      <c r="J684">
        <v>4</v>
      </c>
      <c r="K684">
        <v>1500</v>
      </c>
      <c r="L684">
        <v>5</v>
      </c>
      <c r="M684">
        <v>5700</v>
      </c>
      <c r="N684">
        <v>4200</v>
      </c>
      <c r="O684">
        <v>1500</v>
      </c>
      <c r="P684" t="s">
        <v>95</v>
      </c>
      <c r="Q684" t="s">
        <v>96</v>
      </c>
      <c r="R684" t="s">
        <v>45</v>
      </c>
      <c r="S684" t="s">
        <v>46</v>
      </c>
      <c r="T684" t="s">
        <v>47</v>
      </c>
      <c r="U684" t="s">
        <v>48</v>
      </c>
      <c r="V684">
        <v>1</v>
      </c>
      <c r="W684">
        <f>Table1[[#This Row],[Profit]]/Table1[[#This Row],[Sales]]</f>
        <v>0.26315789473684209</v>
      </c>
    </row>
    <row r="685" spans="1:23" x14ac:dyDescent="0.25">
      <c r="A685" t="s">
        <v>1612</v>
      </c>
      <c r="B685" s="1">
        <v>45891</v>
      </c>
      <c r="C685" t="s">
        <v>1613</v>
      </c>
      <c r="D685" t="s">
        <v>862</v>
      </c>
      <c r="E685" t="s">
        <v>73</v>
      </c>
      <c r="F685" t="s">
        <v>74</v>
      </c>
      <c r="G685" t="s">
        <v>27</v>
      </c>
      <c r="H685" t="s">
        <v>75</v>
      </c>
      <c r="I685" t="s">
        <v>76</v>
      </c>
      <c r="J685">
        <v>1</v>
      </c>
      <c r="K685">
        <v>3500</v>
      </c>
      <c r="L685">
        <v>15</v>
      </c>
      <c r="M685">
        <v>2975</v>
      </c>
      <c r="N685">
        <v>2450</v>
      </c>
      <c r="O685">
        <v>525</v>
      </c>
      <c r="P685" t="s">
        <v>30</v>
      </c>
      <c r="Q685" t="s">
        <v>30</v>
      </c>
      <c r="R685" t="s">
        <v>31</v>
      </c>
      <c r="S685" t="s">
        <v>46</v>
      </c>
      <c r="T685" t="s">
        <v>56</v>
      </c>
      <c r="U685" t="s">
        <v>34</v>
      </c>
      <c r="V685">
        <v>3</v>
      </c>
      <c r="W685">
        <f>Table1[[#This Row],[Profit]]/Table1[[#This Row],[Sales]]</f>
        <v>0.17647058823529413</v>
      </c>
    </row>
    <row r="686" spans="1:23" x14ac:dyDescent="0.25">
      <c r="A686" t="s">
        <v>1614</v>
      </c>
      <c r="B686" s="1">
        <v>45835</v>
      </c>
      <c r="C686" t="s">
        <v>1421</v>
      </c>
      <c r="D686" t="s">
        <v>1615</v>
      </c>
      <c r="E686" t="s">
        <v>52</v>
      </c>
      <c r="F686" t="s">
        <v>53</v>
      </c>
      <c r="G686" t="s">
        <v>27</v>
      </c>
      <c r="H686" t="s">
        <v>54</v>
      </c>
      <c r="I686" t="s">
        <v>55</v>
      </c>
      <c r="J686">
        <v>2</v>
      </c>
      <c r="K686">
        <v>55000</v>
      </c>
      <c r="L686">
        <v>10</v>
      </c>
      <c r="M686">
        <v>99000</v>
      </c>
      <c r="N686">
        <v>77000</v>
      </c>
      <c r="O686">
        <v>22000</v>
      </c>
      <c r="P686" t="s">
        <v>43</v>
      </c>
      <c r="Q686" t="s">
        <v>44</v>
      </c>
      <c r="R686" t="s">
        <v>45</v>
      </c>
      <c r="S686" t="s">
        <v>60</v>
      </c>
      <c r="T686" t="s">
        <v>56</v>
      </c>
      <c r="U686" t="s">
        <v>48</v>
      </c>
      <c r="V686">
        <v>3</v>
      </c>
      <c r="W686">
        <f>Table1[[#This Row],[Profit]]/Table1[[#This Row],[Sales]]</f>
        <v>0.22222222222222221</v>
      </c>
    </row>
    <row r="687" spans="1:23" x14ac:dyDescent="0.25">
      <c r="A687" t="s">
        <v>1616</v>
      </c>
      <c r="B687" s="1">
        <v>45876</v>
      </c>
      <c r="C687" t="s">
        <v>1617</v>
      </c>
      <c r="D687" t="s">
        <v>862</v>
      </c>
      <c r="E687" t="s">
        <v>25</v>
      </c>
      <c r="F687" t="s">
        <v>26</v>
      </c>
      <c r="G687" t="s">
        <v>27</v>
      </c>
      <c r="H687" t="s">
        <v>28</v>
      </c>
      <c r="I687" t="s">
        <v>29</v>
      </c>
      <c r="J687">
        <v>2</v>
      </c>
      <c r="K687">
        <v>800</v>
      </c>
      <c r="L687">
        <v>5</v>
      </c>
      <c r="M687">
        <v>1520</v>
      </c>
      <c r="N687">
        <v>1120</v>
      </c>
      <c r="O687">
        <v>400</v>
      </c>
      <c r="P687" t="s">
        <v>109</v>
      </c>
      <c r="Q687" t="s">
        <v>110</v>
      </c>
      <c r="R687" t="s">
        <v>111</v>
      </c>
      <c r="S687" t="s">
        <v>32</v>
      </c>
      <c r="T687" t="s">
        <v>47</v>
      </c>
      <c r="U687" t="s">
        <v>48</v>
      </c>
      <c r="V687">
        <v>4</v>
      </c>
      <c r="W687">
        <f>Table1[[#This Row],[Profit]]/Table1[[#This Row],[Sales]]</f>
        <v>0.26315789473684209</v>
      </c>
    </row>
    <row r="688" spans="1:23" x14ac:dyDescent="0.25">
      <c r="A688" t="s">
        <v>1618</v>
      </c>
      <c r="B688" s="1">
        <v>45926</v>
      </c>
      <c r="C688" t="s">
        <v>131</v>
      </c>
      <c r="D688" t="s">
        <v>518</v>
      </c>
      <c r="E688" t="s">
        <v>25</v>
      </c>
      <c r="F688" t="s">
        <v>26</v>
      </c>
      <c r="G688" t="s">
        <v>27</v>
      </c>
      <c r="H688" t="s">
        <v>28</v>
      </c>
      <c r="I688" t="s">
        <v>29</v>
      </c>
      <c r="J688">
        <v>3</v>
      </c>
      <c r="K688">
        <v>800</v>
      </c>
      <c r="L688">
        <v>5</v>
      </c>
      <c r="M688">
        <v>2280</v>
      </c>
      <c r="N688">
        <v>1680</v>
      </c>
      <c r="O688">
        <v>600</v>
      </c>
      <c r="P688" t="s">
        <v>109</v>
      </c>
      <c r="Q688" t="s">
        <v>110</v>
      </c>
      <c r="R688" t="s">
        <v>111</v>
      </c>
      <c r="S688" t="s">
        <v>46</v>
      </c>
      <c r="T688" t="s">
        <v>47</v>
      </c>
      <c r="U688" t="s">
        <v>48</v>
      </c>
      <c r="V688">
        <v>5</v>
      </c>
      <c r="W688">
        <f>Table1[[#This Row],[Profit]]/Table1[[#This Row],[Sales]]</f>
        <v>0.26315789473684209</v>
      </c>
    </row>
    <row r="689" spans="1:23" x14ac:dyDescent="0.25">
      <c r="A689" t="s">
        <v>1619</v>
      </c>
      <c r="B689" s="1">
        <v>45788</v>
      </c>
      <c r="C689" t="s">
        <v>1620</v>
      </c>
      <c r="D689" t="s">
        <v>357</v>
      </c>
      <c r="E689" t="s">
        <v>73</v>
      </c>
      <c r="F689" t="s">
        <v>74</v>
      </c>
      <c r="G689" t="s">
        <v>27</v>
      </c>
      <c r="H689" t="s">
        <v>75</v>
      </c>
      <c r="I689" t="s">
        <v>76</v>
      </c>
      <c r="J689">
        <v>5</v>
      </c>
      <c r="K689">
        <v>3500</v>
      </c>
      <c r="L689">
        <v>0</v>
      </c>
      <c r="M689">
        <v>17500</v>
      </c>
      <c r="N689">
        <v>12250</v>
      </c>
      <c r="O689">
        <v>5250</v>
      </c>
      <c r="P689" t="s">
        <v>30</v>
      </c>
      <c r="Q689" t="s">
        <v>30</v>
      </c>
      <c r="R689" t="s">
        <v>31</v>
      </c>
      <c r="S689" t="s">
        <v>60</v>
      </c>
      <c r="T689" t="s">
        <v>56</v>
      </c>
      <c r="U689" t="s">
        <v>48</v>
      </c>
      <c r="V689">
        <v>5</v>
      </c>
      <c r="W689">
        <f>Table1[[#This Row],[Profit]]/Table1[[#This Row],[Sales]]</f>
        <v>0.3</v>
      </c>
    </row>
    <row r="690" spans="1:23" x14ac:dyDescent="0.25">
      <c r="A690" t="s">
        <v>1621</v>
      </c>
      <c r="B690" s="1">
        <v>45922</v>
      </c>
      <c r="C690" t="s">
        <v>1622</v>
      </c>
      <c r="D690" t="s">
        <v>1031</v>
      </c>
      <c r="E690" t="s">
        <v>52</v>
      </c>
      <c r="F690" t="s">
        <v>53</v>
      </c>
      <c r="G690" t="s">
        <v>27</v>
      </c>
      <c r="H690" t="s">
        <v>54</v>
      </c>
      <c r="I690" t="s">
        <v>55</v>
      </c>
      <c r="J690">
        <v>1</v>
      </c>
      <c r="K690">
        <v>55000</v>
      </c>
      <c r="L690">
        <v>15</v>
      </c>
      <c r="M690">
        <v>46750</v>
      </c>
      <c r="N690">
        <v>38500</v>
      </c>
      <c r="O690">
        <v>8250</v>
      </c>
      <c r="P690" t="s">
        <v>30</v>
      </c>
      <c r="Q690" t="s">
        <v>30</v>
      </c>
      <c r="R690" t="s">
        <v>31</v>
      </c>
      <c r="S690" t="s">
        <v>46</v>
      </c>
      <c r="T690" t="s">
        <v>47</v>
      </c>
      <c r="U690" t="s">
        <v>34</v>
      </c>
      <c r="V690">
        <v>3</v>
      </c>
      <c r="W690">
        <f>Table1[[#This Row],[Profit]]/Table1[[#This Row],[Sales]]</f>
        <v>0.17647058823529413</v>
      </c>
    </row>
    <row r="691" spans="1:23" x14ac:dyDescent="0.25">
      <c r="A691" t="s">
        <v>1623</v>
      </c>
      <c r="B691" s="1">
        <v>45795</v>
      </c>
      <c r="C691" t="s">
        <v>1624</v>
      </c>
      <c r="D691" t="s">
        <v>479</v>
      </c>
      <c r="E691" t="s">
        <v>38</v>
      </c>
      <c r="F691" t="s">
        <v>39</v>
      </c>
      <c r="G691" t="s">
        <v>40</v>
      </c>
      <c r="H691" t="s">
        <v>41</v>
      </c>
      <c r="I691" t="s">
        <v>42</v>
      </c>
      <c r="J691">
        <v>1</v>
      </c>
      <c r="K691">
        <v>4500</v>
      </c>
      <c r="L691">
        <v>15</v>
      </c>
      <c r="M691">
        <v>3825</v>
      </c>
      <c r="N691">
        <v>3150</v>
      </c>
      <c r="O691">
        <v>675</v>
      </c>
      <c r="P691" t="s">
        <v>109</v>
      </c>
      <c r="Q691" t="s">
        <v>110</v>
      </c>
      <c r="R691" t="s">
        <v>111</v>
      </c>
      <c r="S691" t="s">
        <v>46</v>
      </c>
      <c r="T691" t="s">
        <v>47</v>
      </c>
      <c r="U691" t="s">
        <v>34</v>
      </c>
      <c r="V691">
        <v>2</v>
      </c>
      <c r="W691">
        <f>Table1[[#This Row],[Profit]]/Table1[[#This Row],[Sales]]</f>
        <v>0.17647058823529413</v>
      </c>
    </row>
    <row r="692" spans="1:23" x14ac:dyDescent="0.25">
      <c r="A692" t="s">
        <v>1625</v>
      </c>
      <c r="B692" s="1">
        <v>45779</v>
      </c>
      <c r="C692" t="s">
        <v>146</v>
      </c>
      <c r="D692" t="s">
        <v>88</v>
      </c>
      <c r="E692" t="s">
        <v>67</v>
      </c>
      <c r="F692" t="s">
        <v>68</v>
      </c>
      <c r="G692" t="s">
        <v>27</v>
      </c>
      <c r="H692" t="s">
        <v>28</v>
      </c>
      <c r="I692" t="s">
        <v>69</v>
      </c>
      <c r="J692">
        <v>1</v>
      </c>
      <c r="K692">
        <v>1500</v>
      </c>
      <c r="L692">
        <v>0</v>
      </c>
      <c r="M692">
        <v>1500</v>
      </c>
      <c r="N692">
        <v>1050</v>
      </c>
      <c r="O692">
        <v>450</v>
      </c>
      <c r="P692" t="s">
        <v>30</v>
      </c>
      <c r="Q692" t="s">
        <v>30</v>
      </c>
      <c r="R692" t="s">
        <v>31</v>
      </c>
      <c r="S692" t="s">
        <v>60</v>
      </c>
      <c r="T692" t="s">
        <v>56</v>
      </c>
      <c r="U692" t="s">
        <v>34</v>
      </c>
      <c r="V692">
        <v>2</v>
      </c>
      <c r="W692">
        <f>Table1[[#This Row],[Profit]]/Table1[[#This Row],[Sales]]</f>
        <v>0.3</v>
      </c>
    </row>
    <row r="693" spans="1:23" x14ac:dyDescent="0.25">
      <c r="A693" t="s">
        <v>1626</v>
      </c>
      <c r="B693" s="1">
        <v>46018</v>
      </c>
      <c r="C693" t="s">
        <v>181</v>
      </c>
      <c r="D693" t="s">
        <v>365</v>
      </c>
      <c r="E693" t="s">
        <v>67</v>
      </c>
      <c r="F693" t="s">
        <v>68</v>
      </c>
      <c r="G693" t="s">
        <v>27</v>
      </c>
      <c r="H693" t="s">
        <v>28</v>
      </c>
      <c r="I693" t="s">
        <v>69</v>
      </c>
      <c r="J693">
        <v>3</v>
      </c>
      <c r="K693">
        <v>1500</v>
      </c>
      <c r="L693">
        <v>5</v>
      </c>
      <c r="M693">
        <v>4275</v>
      </c>
      <c r="N693">
        <v>3150</v>
      </c>
      <c r="O693">
        <v>1125</v>
      </c>
      <c r="P693" t="s">
        <v>109</v>
      </c>
      <c r="Q693" t="s">
        <v>110</v>
      </c>
      <c r="R693" t="s">
        <v>111</v>
      </c>
      <c r="S693" t="s">
        <v>32</v>
      </c>
      <c r="T693" t="s">
        <v>33</v>
      </c>
      <c r="U693" t="s">
        <v>48</v>
      </c>
      <c r="V693">
        <v>4</v>
      </c>
      <c r="W693">
        <f>Table1[[#This Row],[Profit]]/Table1[[#This Row],[Sales]]</f>
        <v>0.26315789473684209</v>
      </c>
    </row>
    <row r="694" spans="1:23" x14ac:dyDescent="0.25">
      <c r="A694" t="s">
        <v>1627</v>
      </c>
      <c r="B694" s="1">
        <v>45807</v>
      </c>
      <c r="C694" t="s">
        <v>1628</v>
      </c>
      <c r="D694" t="s">
        <v>304</v>
      </c>
      <c r="E694" t="s">
        <v>25</v>
      </c>
      <c r="F694" t="s">
        <v>26</v>
      </c>
      <c r="G694" t="s">
        <v>27</v>
      </c>
      <c r="H694" t="s">
        <v>28</v>
      </c>
      <c r="I694" t="s">
        <v>29</v>
      </c>
      <c r="J694">
        <v>2</v>
      </c>
      <c r="K694">
        <v>800</v>
      </c>
      <c r="L694">
        <v>10</v>
      </c>
      <c r="M694">
        <v>1440</v>
      </c>
      <c r="N694">
        <v>1120</v>
      </c>
      <c r="O694">
        <v>320</v>
      </c>
      <c r="P694" t="s">
        <v>43</v>
      </c>
      <c r="Q694" t="s">
        <v>44</v>
      </c>
      <c r="R694" t="s">
        <v>45</v>
      </c>
      <c r="S694" t="s">
        <v>32</v>
      </c>
      <c r="T694" t="s">
        <v>56</v>
      </c>
      <c r="U694" t="s">
        <v>34</v>
      </c>
      <c r="V694">
        <v>5</v>
      </c>
      <c r="W694">
        <f>Table1[[#This Row],[Profit]]/Table1[[#This Row],[Sales]]</f>
        <v>0.22222222222222221</v>
      </c>
    </row>
    <row r="695" spans="1:23" x14ac:dyDescent="0.25">
      <c r="A695" t="s">
        <v>1629</v>
      </c>
      <c r="B695" s="1">
        <v>45856</v>
      </c>
      <c r="C695" t="s">
        <v>1630</v>
      </c>
      <c r="D695" t="s">
        <v>218</v>
      </c>
      <c r="E695" t="s">
        <v>67</v>
      </c>
      <c r="F695" t="s">
        <v>68</v>
      </c>
      <c r="G695" t="s">
        <v>27</v>
      </c>
      <c r="H695" t="s">
        <v>28</v>
      </c>
      <c r="I695" t="s">
        <v>69</v>
      </c>
      <c r="J695">
        <v>3</v>
      </c>
      <c r="K695">
        <v>1500</v>
      </c>
      <c r="L695">
        <v>0</v>
      </c>
      <c r="M695">
        <v>4500</v>
      </c>
      <c r="N695">
        <v>3150</v>
      </c>
      <c r="O695">
        <v>1350</v>
      </c>
      <c r="P695" t="s">
        <v>30</v>
      </c>
      <c r="Q695" t="s">
        <v>30</v>
      </c>
      <c r="R695" t="s">
        <v>31</v>
      </c>
      <c r="S695" t="s">
        <v>32</v>
      </c>
      <c r="T695" t="s">
        <v>56</v>
      </c>
      <c r="U695" t="s">
        <v>48</v>
      </c>
      <c r="V695">
        <v>1</v>
      </c>
      <c r="W695">
        <f>Table1[[#This Row],[Profit]]/Table1[[#This Row],[Sales]]</f>
        <v>0.3</v>
      </c>
    </row>
    <row r="696" spans="1:23" x14ac:dyDescent="0.25">
      <c r="A696" t="s">
        <v>1631</v>
      </c>
      <c r="B696" s="1">
        <v>45973</v>
      </c>
      <c r="C696" t="s">
        <v>1632</v>
      </c>
      <c r="D696" t="s">
        <v>848</v>
      </c>
      <c r="E696" t="s">
        <v>67</v>
      </c>
      <c r="F696" t="s">
        <v>68</v>
      </c>
      <c r="G696" t="s">
        <v>27</v>
      </c>
      <c r="H696" t="s">
        <v>28</v>
      </c>
      <c r="I696" t="s">
        <v>69</v>
      </c>
      <c r="J696">
        <v>1</v>
      </c>
      <c r="K696">
        <v>1500</v>
      </c>
      <c r="L696">
        <v>0</v>
      </c>
      <c r="M696">
        <v>1500</v>
      </c>
      <c r="N696">
        <v>1050</v>
      </c>
      <c r="O696">
        <v>450</v>
      </c>
      <c r="P696" t="s">
        <v>43</v>
      </c>
      <c r="Q696" t="s">
        <v>44</v>
      </c>
      <c r="R696" t="s">
        <v>45</v>
      </c>
      <c r="S696" t="s">
        <v>60</v>
      </c>
      <c r="T696" t="s">
        <v>33</v>
      </c>
      <c r="U696" t="s">
        <v>48</v>
      </c>
      <c r="V696">
        <v>5</v>
      </c>
      <c r="W696">
        <f>Table1[[#This Row],[Profit]]/Table1[[#This Row],[Sales]]</f>
        <v>0.3</v>
      </c>
    </row>
    <row r="697" spans="1:23" x14ac:dyDescent="0.25">
      <c r="A697" t="s">
        <v>1633</v>
      </c>
      <c r="B697" s="1">
        <v>45770</v>
      </c>
      <c r="C697" t="s">
        <v>1634</v>
      </c>
      <c r="D697" t="s">
        <v>429</v>
      </c>
      <c r="E697" t="s">
        <v>38</v>
      </c>
      <c r="F697" t="s">
        <v>39</v>
      </c>
      <c r="G697" t="s">
        <v>40</v>
      </c>
      <c r="H697" t="s">
        <v>41</v>
      </c>
      <c r="I697" t="s">
        <v>42</v>
      </c>
      <c r="J697">
        <v>3</v>
      </c>
      <c r="K697">
        <v>4500</v>
      </c>
      <c r="L697">
        <v>0</v>
      </c>
      <c r="M697">
        <v>13500</v>
      </c>
      <c r="N697">
        <v>9450</v>
      </c>
      <c r="O697">
        <v>4050</v>
      </c>
      <c r="P697" t="s">
        <v>109</v>
      </c>
      <c r="Q697" t="s">
        <v>110</v>
      </c>
      <c r="R697" t="s">
        <v>111</v>
      </c>
      <c r="S697" t="s">
        <v>32</v>
      </c>
      <c r="T697" t="s">
        <v>47</v>
      </c>
      <c r="U697" t="s">
        <v>34</v>
      </c>
      <c r="V697">
        <v>3</v>
      </c>
      <c r="W697">
        <f>Table1[[#This Row],[Profit]]/Table1[[#This Row],[Sales]]</f>
        <v>0.3</v>
      </c>
    </row>
    <row r="698" spans="1:23" x14ac:dyDescent="0.25">
      <c r="A698" t="s">
        <v>1635</v>
      </c>
      <c r="B698" s="1">
        <v>45715</v>
      </c>
      <c r="C698" t="s">
        <v>1636</v>
      </c>
      <c r="D698" t="s">
        <v>114</v>
      </c>
      <c r="E698" t="s">
        <v>38</v>
      </c>
      <c r="F698" t="s">
        <v>39</v>
      </c>
      <c r="G698" t="s">
        <v>40</v>
      </c>
      <c r="H698" t="s">
        <v>41</v>
      </c>
      <c r="I698" t="s">
        <v>42</v>
      </c>
      <c r="J698">
        <v>3</v>
      </c>
      <c r="K698">
        <v>4500</v>
      </c>
      <c r="L698">
        <v>15</v>
      </c>
      <c r="M698">
        <v>11475</v>
      </c>
      <c r="N698">
        <v>9450</v>
      </c>
      <c r="O698">
        <v>2025</v>
      </c>
      <c r="P698" t="s">
        <v>30</v>
      </c>
      <c r="Q698" t="s">
        <v>30</v>
      </c>
      <c r="R698" t="s">
        <v>31</v>
      </c>
      <c r="S698" t="s">
        <v>60</v>
      </c>
      <c r="T698" t="s">
        <v>33</v>
      </c>
      <c r="U698" t="s">
        <v>48</v>
      </c>
      <c r="V698">
        <v>3</v>
      </c>
      <c r="W698">
        <f>Table1[[#This Row],[Profit]]/Table1[[#This Row],[Sales]]</f>
        <v>0.17647058823529413</v>
      </c>
    </row>
    <row r="699" spans="1:23" x14ac:dyDescent="0.25">
      <c r="A699" t="s">
        <v>1637</v>
      </c>
      <c r="B699" s="1">
        <v>45788</v>
      </c>
      <c r="C699" t="s">
        <v>631</v>
      </c>
      <c r="D699" t="s">
        <v>1638</v>
      </c>
      <c r="E699" t="s">
        <v>25</v>
      </c>
      <c r="F699" t="s">
        <v>26</v>
      </c>
      <c r="G699" t="s">
        <v>27</v>
      </c>
      <c r="H699" t="s">
        <v>28</v>
      </c>
      <c r="I699" t="s">
        <v>29</v>
      </c>
      <c r="J699">
        <v>4</v>
      </c>
      <c r="K699">
        <v>800</v>
      </c>
      <c r="L699">
        <v>15</v>
      </c>
      <c r="M699">
        <v>2720</v>
      </c>
      <c r="N699">
        <v>2240</v>
      </c>
      <c r="O699">
        <v>480</v>
      </c>
      <c r="P699" t="s">
        <v>30</v>
      </c>
      <c r="Q699" t="s">
        <v>30</v>
      </c>
      <c r="R699" t="s">
        <v>31</v>
      </c>
      <c r="S699" t="s">
        <v>60</v>
      </c>
      <c r="T699" t="s">
        <v>56</v>
      </c>
      <c r="U699" t="s">
        <v>34</v>
      </c>
      <c r="V699">
        <v>3</v>
      </c>
      <c r="W699">
        <f>Table1[[#This Row],[Profit]]/Table1[[#This Row],[Sales]]</f>
        <v>0.17647058823529413</v>
      </c>
    </row>
    <row r="700" spans="1:23" x14ac:dyDescent="0.25">
      <c r="A700" t="s">
        <v>1639</v>
      </c>
      <c r="B700" s="1">
        <v>45777</v>
      </c>
      <c r="C700" t="s">
        <v>1232</v>
      </c>
      <c r="D700" t="s">
        <v>1640</v>
      </c>
      <c r="E700" t="s">
        <v>38</v>
      </c>
      <c r="F700" t="s">
        <v>39</v>
      </c>
      <c r="G700" t="s">
        <v>40</v>
      </c>
      <c r="H700" t="s">
        <v>41</v>
      </c>
      <c r="I700" t="s">
        <v>42</v>
      </c>
      <c r="J700">
        <v>1</v>
      </c>
      <c r="K700">
        <v>4500</v>
      </c>
      <c r="L700">
        <v>15</v>
      </c>
      <c r="M700">
        <v>3825</v>
      </c>
      <c r="N700">
        <v>3150</v>
      </c>
      <c r="O700">
        <v>675</v>
      </c>
      <c r="P700" t="s">
        <v>30</v>
      </c>
      <c r="Q700" t="s">
        <v>30</v>
      </c>
      <c r="R700" t="s">
        <v>31</v>
      </c>
      <c r="S700" t="s">
        <v>32</v>
      </c>
      <c r="T700" t="s">
        <v>33</v>
      </c>
      <c r="U700" t="s">
        <v>34</v>
      </c>
      <c r="V700">
        <v>4</v>
      </c>
      <c r="W700">
        <f>Table1[[#This Row],[Profit]]/Table1[[#This Row],[Sales]]</f>
        <v>0.17647058823529413</v>
      </c>
    </row>
    <row r="701" spans="1:23" x14ac:dyDescent="0.25">
      <c r="A701" t="s">
        <v>1641</v>
      </c>
      <c r="B701" s="1">
        <v>45975</v>
      </c>
      <c r="C701" t="s">
        <v>506</v>
      </c>
      <c r="D701" t="s">
        <v>637</v>
      </c>
      <c r="E701" t="s">
        <v>25</v>
      </c>
      <c r="F701" t="s">
        <v>26</v>
      </c>
      <c r="G701" t="s">
        <v>27</v>
      </c>
      <c r="H701" t="s">
        <v>28</v>
      </c>
      <c r="I701" t="s">
        <v>29</v>
      </c>
      <c r="J701">
        <v>1</v>
      </c>
      <c r="K701">
        <v>800</v>
      </c>
      <c r="L701">
        <v>15</v>
      </c>
      <c r="M701">
        <v>680</v>
      </c>
      <c r="N701">
        <v>560</v>
      </c>
      <c r="O701">
        <v>120</v>
      </c>
      <c r="P701" t="s">
        <v>109</v>
      </c>
      <c r="Q701" t="s">
        <v>110</v>
      </c>
      <c r="R701" t="s">
        <v>111</v>
      </c>
      <c r="S701" t="s">
        <v>32</v>
      </c>
      <c r="T701" t="s">
        <v>33</v>
      </c>
      <c r="U701" t="s">
        <v>34</v>
      </c>
      <c r="V701">
        <v>5</v>
      </c>
      <c r="W701">
        <f>Table1[[#This Row],[Profit]]/Table1[[#This Row],[Sales]]</f>
        <v>0.17647058823529413</v>
      </c>
    </row>
    <row r="702" spans="1:23" x14ac:dyDescent="0.25">
      <c r="A702" t="s">
        <v>1642</v>
      </c>
      <c r="B702" s="1">
        <v>45825</v>
      </c>
      <c r="C702" t="s">
        <v>1245</v>
      </c>
      <c r="D702" t="s">
        <v>82</v>
      </c>
      <c r="E702" t="s">
        <v>73</v>
      </c>
      <c r="F702" t="s">
        <v>74</v>
      </c>
      <c r="G702" t="s">
        <v>27</v>
      </c>
      <c r="H702" t="s">
        <v>75</v>
      </c>
      <c r="I702" t="s">
        <v>76</v>
      </c>
      <c r="J702">
        <v>2</v>
      </c>
      <c r="K702">
        <v>3500</v>
      </c>
      <c r="L702">
        <v>15</v>
      </c>
      <c r="M702">
        <v>5950</v>
      </c>
      <c r="N702">
        <v>4900</v>
      </c>
      <c r="O702">
        <v>1050</v>
      </c>
      <c r="P702" t="s">
        <v>95</v>
      </c>
      <c r="Q702" t="s">
        <v>96</v>
      </c>
      <c r="R702" t="s">
        <v>45</v>
      </c>
      <c r="S702" t="s">
        <v>46</v>
      </c>
      <c r="T702" t="s">
        <v>56</v>
      </c>
      <c r="U702" t="s">
        <v>48</v>
      </c>
      <c r="V702">
        <v>5</v>
      </c>
      <c r="W702">
        <f>Table1[[#This Row],[Profit]]/Table1[[#This Row],[Sales]]</f>
        <v>0.17647058823529413</v>
      </c>
    </row>
    <row r="703" spans="1:23" x14ac:dyDescent="0.25">
      <c r="A703" t="s">
        <v>1643</v>
      </c>
      <c r="B703" s="1">
        <v>45724</v>
      </c>
      <c r="C703" t="s">
        <v>1644</v>
      </c>
      <c r="D703" t="s">
        <v>1645</v>
      </c>
      <c r="E703" t="s">
        <v>52</v>
      </c>
      <c r="F703" t="s">
        <v>53</v>
      </c>
      <c r="G703" t="s">
        <v>27</v>
      </c>
      <c r="H703" t="s">
        <v>54</v>
      </c>
      <c r="I703" t="s">
        <v>55</v>
      </c>
      <c r="J703">
        <v>5</v>
      </c>
      <c r="K703">
        <v>55000</v>
      </c>
      <c r="L703">
        <v>10</v>
      </c>
      <c r="M703">
        <v>247500</v>
      </c>
      <c r="N703">
        <v>192500</v>
      </c>
      <c r="O703">
        <v>55000</v>
      </c>
      <c r="P703" t="s">
        <v>43</v>
      </c>
      <c r="Q703" t="s">
        <v>44</v>
      </c>
      <c r="R703" t="s">
        <v>45</v>
      </c>
      <c r="S703" t="s">
        <v>32</v>
      </c>
      <c r="T703" t="s">
        <v>56</v>
      </c>
      <c r="U703" t="s">
        <v>34</v>
      </c>
      <c r="V703">
        <v>2</v>
      </c>
      <c r="W703">
        <f>Table1[[#This Row],[Profit]]/Table1[[#This Row],[Sales]]</f>
        <v>0.22222222222222221</v>
      </c>
    </row>
    <row r="704" spans="1:23" x14ac:dyDescent="0.25">
      <c r="A704" t="s">
        <v>1646</v>
      </c>
      <c r="B704" s="1">
        <v>45964</v>
      </c>
      <c r="C704" t="s">
        <v>683</v>
      </c>
      <c r="D704" t="s">
        <v>1647</v>
      </c>
      <c r="E704" t="s">
        <v>52</v>
      </c>
      <c r="F704" t="s">
        <v>53</v>
      </c>
      <c r="G704" t="s">
        <v>27</v>
      </c>
      <c r="H704" t="s">
        <v>54</v>
      </c>
      <c r="I704" t="s">
        <v>55</v>
      </c>
      <c r="J704">
        <v>1</v>
      </c>
      <c r="K704">
        <v>55000</v>
      </c>
      <c r="L704">
        <v>10</v>
      </c>
      <c r="M704">
        <v>49500</v>
      </c>
      <c r="N704">
        <v>38500</v>
      </c>
      <c r="O704">
        <v>11000</v>
      </c>
      <c r="P704" t="s">
        <v>109</v>
      </c>
      <c r="Q704" t="s">
        <v>110</v>
      </c>
      <c r="R704" t="s">
        <v>111</v>
      </c>
      <c r="S704" t="s">
        <v>60</v>
      </c>
      <c r="T704" t="s">
        <v>47</v>
      </c>
      <c r="U704" t="s">
        <v>48</v>
      </c>
      <c r="V704">
        <v>4</v>
      </c>
      <c r="W704">
        <f>Table1[[#This Row],[Profit]]/Table1[[#This Row],[Sales]]</f>
        <v>0.22222222222222221</v>
      </c>
    </row>
    <row r="705" spans="1:23" x14ac:dyDescent="0.25">
      <c r="A705" t="s">
        <v>1648</v>
      </c>
      <c r="B705" s="1">
        <v>45999</v>
      </c>
      <c r="C705" t="s">
        <v>1649</v>
      </c>
      <c r="D705" t="s">
        <v>1650</v>
      </c>
      <c r="E705" t="s">
        <v>52</v>
      </c>
      <c r="F705" t="s">
        <v>53</v>
      </c>
      <c r="G705" t="s">
        <v>27</v>
      </c>
      <c r="H705" t="s">
        <v>54</v>
      </c>
      <c r="I705" t="s">
        <v>55</v>
      </c>
      <c r="J705">
        <v>3</v>
      </c>
      <c r="K705">
        <v>55000</v>
      </c>
      <c r="L705">
        <v>0</v>
      </c>
      <c r="M705">
        <v>165000</v>
      </c>
      <c r="N705">
        <v>115500</v>
      </c>
      <c r="O705">
        <v>49500.000000000007</v>
      </c>
      <c r="P705" t="s">
        <v>109</v>
      </c>
      <c r="Q705" t="s">
        <v>110</v>
      </c>
      <c r="R705" t="s">
        <v>111</v>
      </c>
      <c r="S705" t="s">
        <v>46</v>
      </c>
      <c r="T705" t="s">
        <v>47</v>
      </c>
      <c r="U705" t="s">
        <v>34</v>
      </c>
      <c r="V705">
        <v>5</v>
      </c>
      <c r="W705">
        <f>Table1[[#This Row],[Profit]]/Table1[[#This Row],[Sales]]</f>
        <v>0.30000000000000004</v>
      </c>
    </row>
    <row r="706" spans="1:23" x14ac:dyDescent="0.25">
      <c r="A706" t="s">
        <v>1651</v>
      </c>
      <c r="B706" s="1">
        <v>45909</v>
      </c>
      <c r="C706" t="s">
        <v>1652</v>
      </c>
      <c r="D706" t="s">
        <v>1653</v>
      </c>
      <c r="E706" t="s">
        <v>67</v>
      </c>
      <c r="F706" t="s">
        <v>68</v>
      </c>
      <c r="G706" t="s">
        <v>27</v>
      </c>
      <c r="H706" t="s">
        <v>28</v>
      </c>
      <c r="I706" t="s">
        <v>69</v>
      </c>
      <c r="J706">
        <v>3</v>
      </c>
      <c r="K706">
        <v>1500</v>
      </c>
      <c r="L706">
        <v>15</v>
      </c>
      <c r="M706">
        <v>3825</v>
      </c>
      <c r="N706">
        <v>3150</v>
      </c>
      <c r="O706">
        <v>675</v>
      </c>
      <c r="P706" t="s">
        <v>30</v>
      </c>
      <c r="Q706" t="s">
        <v>30</v>
      </c>
      <c r="R706" t="s">
        <v>31</v>
      </c>
      <c r="S706" t="s">
        <v>46</v>
      </c>
      <c r="T706" t="s">
        <v>33</v>
      </c>
      <c r="U706" t="s">
        <v>34</v>
      </c>
      <c r="V706">
        <v>3</v>
      </c>
      <c r="W706">
        <f>Table1[[#This Row],[Profit]]/Table1[[#This Row],[Sales]]</f>
        <v>0.17647058823529413</v>
      </c>
    </row>
    <row r="707" spans="1:23" x14ac:dyDescent="0.25">
      <c r="A707" t="s">
        <v>1654</v>
      </c>
      <c r="B707" s="1">
        <v>46007</v>
      </c>
      <c r="C707" t="s">
        <v>335</v>
      </c>
      <c r="D707" t="s">
        <v>1069</v>
      </c>
      <c r="E707" t="s">
        <v>25</v>
      </c>
      <c r="F707" t="s">
        <v>26</v>
      </c>
      <c r="G707" t="s">
        <v>27</v>
      </c>
      <c r="H707" t="s">
        <v>28</v>
      </c>
      <c r="I707" t="s">
        <v>29</v>
      </c>
      <c r="J707">
        <v>5</v>
      </c>
      <c r="K707">
        <v>800</v>
      </c>
      <c r="L707">
        <v>10</v>
      </c>
      <c r="M707">
        <v>3600</v>
      </c>
      <c r="N707">
        <v>2800</v>
      </c>
      <c r="O707">
        <v>800</v>
      </c>
      <c r="P707" t="s">
        <v>95</v>
      </c>
      <c r="Q707" t="s">
        <v>96</v>
      </c>
      <c r="R707" t="s">
        <v>45</v>
      </c>
      <c r="S707" t="s">
        <v>46</v>
      </c>
      <c r="T707" t="s">
        <v>56</v>
      </c>
      <c r="U707" t="s">
        <v>48</v>
      </c>
      <c r="V707">
        <v>4</v>
      </c>
      <c r="W707">
        <f>Table1[[#This Row],[Profit]]/Table1[[#This Row],[Sales]]</f>
        <v>0.22222222222222221</v>
      </c>
    </row>
    <row r="708" spans="1:23" x14ac:dyDescent="0.25">
      <c r="A708" t="s">
        <v>1655</v>
      </c>
      <c r="B708" s="1">
        <v>46004</v>
      </c>
      <c r="C708" t="s">
        <v>1656</v>
      </c>
      <c r="D708" t="s">
        <v>1657</v>
      </c>
      <c r="E708" t="s">
        <v>25</v>
      </c>
      <c r="F708" t="s">
        <v>26</v>
      </c>
      <c r="G708" t="s">
        <v>27</v>
      </c>
      <c r="H708" t="s">
        <v>28</v>
      </c>
      <c r="I708" t="s">
        <v>29</v>
      </c>
      <c r="J708">
        <v>3</v>
      </c>
      <c r="K708">
        <v>800</v>
      </c>
      <c r="L708">
        <v>5</v>
      </c>
      <c r="M708">
        <v>2280</v>
      </c>
      <c r="N708">
        <v>1680</v>
      </c>
      <c r="O708">
        <v>600</v>
      </c>
      <c r="P708" t="s">
        <v>43</v>
      </c>
      <c r="Q708" t="s">
        <v>44</v>
      </c>
      <c r="R708" t="s">
        <v>45</v>
      </c>
      <c r="S708" t="s">
        <v>46</v>
      </c>
      <c r="T708" t="s">
        <v>33</v>
      </c>
      <c r="U708" t="s">
        <v>34</v>
      </c>
      <c r="V708">
        <v>1</v>
      </c>
      <c r="W708">
        <f>Table1[[#This Row],[Profit]]/Table1[[#This Row],[Sales]]</f>
        <v>0.26315789473684209</v>
      </c>
    </row>
    <row r="709" spans="1:23" x14ac:dyDescent="0.25">
      <c r="A709" t="s">
        <v>1658</v>
      </c>
      <c r="B709" s="1">
        <v>46021</v>
      </c>
      <c r="C709" t="s">
        <v>1659</v>
      </c>
      <c r="D709" t="s">
        <v>1660</v>
      </c>
      <c r="E709" t="s">
        <v>67</v>
      </c>
      <c r="F709" t="s">
        <v>68</v>
      </c>
      <c r="G709" t="s">
        <v>27</v>
      </c>
      <c r="H709" t="s">
        <v>28</v>
      </c>
      <c r="I709" t="s">
        <v>69</v>
      </c>
      <c r="J709">
        <v>2</v>
      </c>
      <c r="K709">
        <v>1500</v>
      </c>
      <c r="L709">
        <v>15</v>
      </c>
      <c r="M709">
        <v>2550</v>
      </c>
      <c r="N709">
        <v>2100</v>
      </c>
      <c r="O709">
        <v>450</v>
      </c>
      <c r="P709" t="s">
        <v>95</v>
      </c>
      <c r="Q709" t="s">
        <v>96</v>
      </c>
      <c r="R709" t="s">
        <v>45</v>
      </c>
      <c r="S709" t="s">
        <v>46</v>
      </c>
      <c r="T709" t="s">
        <v>33</v>
      </c>
      <c r="U709" t="s">
        <v>48</v>
      </c>
      <c r="V709">
        <v>1</v>
      </c>
      <c r="W709">
        <f>Table1[[#This Row],[Profit]]/Table1[[#This Row],[Sales]]</f>
        <v>0.17647058823529413</v>
      </c>
    </row>
    <row r="710" spans="1:23" x14ac:dyDescent="0.25">
      <c r="A710" t="s">
        <v>1661</v>
      </c>
      <c r="B710" s="1">
        <v>45679</v>
      </c>
      <c r="C710" t="s">
        <v>1662</v>
      </c>
      <c r="D710" t="s">
        <v>191</v>
      </c>
      <c r="E710" t="s">
        <v>25</v>
      </c>
      <c r="F710" t="s">
        <v>26</v>
      </c>
      <c r="G710" t="s">
        <v>27</v>
      </c>
      <c r="H710" t="s">
        <v>28</v>
      </c>
      <c r="I710" t="s">
        <v>29</v>
      </c>
      <c r="J710">
        <v>2</v>
      </c>
      <c r="K710">
        <v>800</v>
      </c>
      <c r="L710">
        <v>15</v>
      </c>
      <c r="M710">
        <v>1360</v>
      </c>
      <c r="N710">
        <v>1120</v>
      </c>
      <c r="O710">
        <v>240</v>
      </c>
      <c r="P710" t="s">
        <v>30</v>
      </c>
      <c r="Q710" t="s">
        <v>30</v>
      </c>
      <c r="R710" t="s">
        <v>31</v>
      </c>
      <c r="S710" t="s">
        <v>46</v>
      </c>
      <c r="T710" t="s">
        <v>47</v>
      </c>
      <c r="U710" t="s">
        <v>34</v>
      </c>
      <c r="V710">
        <v>4</v>
      </c>
      <c r="W710">
        <f>Table1[[#This Row],[Profit]]/Table1[[#This Row],[Sales]]</f>
        <v>0.17647058823529413</v>
      </c>
    </row>
    <row r="711" spans="1:23" x14ac:dyDescent="0.25">
      <c r="A711" t="s">
        <v>1663</v>
      </c>
      <c r="B711" s="1">
        <v>45982</v>
      </c>
      <c r="C711" t="s">
        <v>1664</v>
      </c>
      <c r="D711" t="s">
        <v>1007</v>
      </c>
      <c r="E711" t="s">
        <v>38</v>
      </c>
      <c r="F711" t="s">
        <v>39</v>
      </c>
      <c r="G711" t="s">
        <v>40</v>
      </c>
      <c r="H711" t="s">
        <v>41</v>
      </c>
      <c r="I711" t="s">
        <v>42</v>
      </c>
      <c r="J711">
        <v>3</v>
      </c>
      <c r="K711">
        <v>4500</v>
      </c>
      <c r="L711">
        <v>10</v>
      </c>
      <c r="M711">
        <v>12150</v>
      </c>
      <c r="N711">
        <v>9450</v>
      </c>
      <c r="O711">
        <v>2700</v>
      </c>
      <c r="P711" t="s">
        <v>30</v>
      </c>
      <c r="Q711" t="s">
        <v>30</v>
      </c>
      <c r="R711" t="s">
        <v>31</v>
      </c>
      <c r="S711" t="s">
        <v>46</v>
      </c>
      <c r="T711" t="s">
        <v>56</v>
      </c>
      <c r="U711" t="s">
        <v>48</v>
      </c>
      <c r="V711">
        <v>2</v>
      </c>
      <c r="W711">
        <f>Table1[[#This Row],[Profit]]/Table1[[#This Row],[Sales]]</f>
        <v>0.22222222222222221</v>
      </c>
    </row>
    <row r="712" spans="1:23" x14ac:dyDescent="0.25">
      <c r="A712" t="s">
        <v>1665</v>
      </c>
      <c r="B712" s="1">
        <v>45941</v>
      </c>
      <c r="C712" t="s">
        <v>1406</v>
      </c>
      <c r="D712" t="s">
        <v>438</v>
      </c>
      <c r="E712" t="s">
        <v>52</v>
      </c>
      <c r="F712" t="s">
        <v>53</v>
      </c>
      <c r="G712" t="s">
        <v>27</v>
      </c>
      <c r="H712" t="s">
        <v>54</v>
      </c>
      <c r="I712" t="s">
        <v>55</v>
      </c>
      <c r="J712">
        <v>1</v>
      </c>
      <c r="K712">
        <v>55000</v>
      </c>
      <c r="L712">
        <v>0</v>
      </c>
      <c r="M712">
        <v>55000</v>
      </c>
      <c r="N712">
        <v>38500</v>
      </c>
      <c r="O712">
        <v>16500</v>
      </c>
      <c r="P712" t="s">
        <v>43</v>
      </c>
      <c r="Q712" t="s">
        <v>44</v>
      </c>
      <c r="R712" t="s">
        <v>45</v>
      </c>
      <c r="S712" t="s">
        <v>60</v>
      </c>
      <c r="T712" t="s">
        <v>56</v>
      </c>
      <c r="U712" t="s">
        <v>34</v>
      </c>
      <c r="V712">
        <v>1</v>
      </c>
      <c r="W712">
        <f>Table1[[#This Row],[Profit]]/Table1[[#This Row],[Sales]]</f>
        <v>0.3</v>
      </c>
    </row>
    <row r="713" spans="1:23" x14ac:dyDescent="0.25">
      <c r="A713" t="s">
        <v>1666</v>
      </c>
      <c r="B713" s="1">
        <v>45906</v>
      </c>
      <c r="C713" t="s">
        <v>1667</v>
      </c>
      <c r="D713" t="s">
        <v>333</v>
      </c>
      <c r="E713" t="s">
        <v>38</v>
      </c>
      <c r="F713" t="s">
        <v>39</v>
      </c>
      <c r="G713" t="s">
        <v>40</v>
      </c>
      <c r="H713" t="s">
        <v>41</v>
      </c>
      <c r="I713" t="s">
        <v>42</v>
      </c>
      <c r="J713">
        <v>4</v>
      </c>
      <c r="K713">
        <v>4500</v>
      </c>
      <c r="L713">
        <v>10</v>
      </c>
      <c r="M713">
        <v>16200</v>
      </c>
      <c r="N713">
        <v>12600</v>
      </c>
      <c r="O713">
        <v>3600</v>
      </c>
      <c r="P713" t="s">
        <v>109</v>
      </c>
      <c r="Q713" t="s">
        <v>110</v>
      </c>
      <c r="R713" t="s">
        <v>111</v>
      </c>
      <c r="S713" t="s">
        <v>60</v>
      </c>
      <c r="T713" t="s">
        <v>33</v>
      </c>
      <c r="U713" t="s">
        <v>48</v>
      </c>
      <c r="V713">
        <v>2</v>
      </c>
      <c r="W713">
        <f>Table1[[#This Row],[Profit]]/Table1[[#This Row],[Sales]]</f>
        <v>0.22222222222222221</v>
      </c>
    </row>
    <row r="714" spans="1:23" x14ac:dyDescent="0.25">
      <c r="A714" t="s">
        <v>1668</v>
      </c>
      <c r="B714" s="1">
        <v>45962</v>
      </c>
      <c r="C714" t="s">
        <v>1042</v>
      </c>
      <c r="D714" t="s">
        <v>1369</v>
      </c>
      <c r="E714" t="s">
        <v>67</v>
      </c>
      <c r="F714" t="s">
        <v>68</v>
      </c>
      <c r="G714" t="s">
        <v>27</v>
      </c>
      <c r="H714" t="s">
        <v>28</v>
      </c>
      <c r="I714" t="s">
        <v>69</v>
      </c>
      <c r="J714">
        <v>5</v>
      </c>
      <c r="K714">
        <v>1500</v>
      </c>
      <c r="L714">
        <v>5</v>
      </c>
      <c r="M714">
        <v>7125</v>
      </c>
      <c r="N714">
        <v>5250</v>
      </c>
      <c r="O714">
        <v>1875</v>
      </c>
      <c r="P714" t="s">
        <v>109</v>
      </c>
      <c r="Q714" t="s">
        <v>110</v>
      </c>
      <c r="R714" t="s">
        <v>111</v>
      </c>
      <c r="S714" t="s">
        <v>46</v>
      </c>
      <c r="T714" t="s">
        <v>47</v>
      </c>
      <c r="U714" t="s">
        <v>48</v>
      </c>
      <c r="V714">
        <v>2</v>
      </c>
      <c r="W714">
        <f>Table1[[#This Row],[Profit]]/Table1[[#This Row],[Sales]]</f>
        <v>0.26315789473684209</v>
      </c>
    </row>
    <row r="715" spans="1:23" x14ac:dyDescent="0.25">
      <c r="A715" t="s">
        <v>1669</v>
      </c>
      <c r="B715" s="1">
        <v>45932</v>
      </c>
      <c r="C715" t="s">
        <v>998</v>
      </c>
      <c r="D715" t="s">
        <v>601</v>
      </c>
      <c r="E715" t="s">
        <v>25</v>
      </c>
      <c r="F715" t="s">
        <v>26</v>
      </c>
      <c r="G715" t="s">
        <v>27</v>
      </c>
      <c r="H715" t="s">
        <v>28</v>
      </c>
      <c r="I715" t="s">
        <v>29</v>
      </c>
      <c r="J715">
        <v>4</v>
      </c>
      <c r="K715">
        <v>800</v>
      </c>
      <c r="L715">
        <v>5</v>
      </c>
      <c r="M715">
        <v>3040</v>
      </c>
      <c r="N715">
        <v>2240</v>
      </c>
      <c r="O715">
        <v>800</v>
      </c>
      <c r="P715" t="s">
        <v>30</v>
      </c>
      <c r="Q715" t="s">
        <v>30</v>
      </c>
      <c r="R715" t="s">
        <v>31</v>
      </c>
      <c r="S715" t="s">
        <v>32</v>
      </c>
      <c r="T715" t="s">
        <v>47</v>
      </c>
      <c r="U715" t="s">
        <v>34</v>
      </c>
      <c r="V715">
        <v>5</v>
      </c>
      <c r="W715">
        <f>Table1[[#This Row],[Profit]]/Table1[[#This Row],[Sales]]</f>
        <v>0.26315789473684209</v>
      </c>
    </row>
    <row r="716" spans="1:23" x14ac:dyDescent="0.25">
      <c r="A716" t="s">
        <v>1670</v>
      </c>
      <c r="B716" s="1">
        <v>45976</v>
      </c>
      <c r="C716" t="s">
        <v>167</v>
      </c>
      <c r="D716" t="s">
        <v>1128</v>
      </c>
      <c r="E716" t="s">
        <v>73</v>
      </c>
      <c r="F716" t="s">
        <v>74</v>
      </c>
      <c r="G716" t="s">
        <v>27</v>
      </c>
      <c r="H716" t="s">
        <v>75</v>
      </c>
      <c r="I716" t="s">
        <v>76</v>
      </c>
      <c r="J716">
        <v>4</v>
      </c>
      <c r="K716">
        <v>3500</v>
      </c>
      <c r="L716">
        <v>5</v>
      </c>
      <c r="M716">
        <v>13300</v>
      </c>
      <c r="N716">
        <v>9800</v>
      </c>
      <c r="O716">
        <v>3500</v>
      </c>
      <c r="P716" t="s">
        <v>109</v>
      </c>
      <c r="Q716" t="s">
        <v>110</v>
      </c>
      <c r="R716" t="s">
        <v>111</v>
      </c>
      <c r="S716" t="s">
        <v>60</v>
      </c>
      <c r="T716" t="s">
        <v>33</v>
      </c>
      <c r="U716" t="s">
        <v>34</v>
      </c>
      <c r="V716">
        <v>1</v>
      </c>
      <c r="W716">
        <f>Table1[[#This Row],[Profit]]/Table1[[#This Row],[Sales]]</f>
        <v>0.26315789473684209</v>
      </c>
    </row>
    <row r="717" spans="1:23" x14ac:dyDescent="0.25">
      <c r="A717" t="s">
        <v>1671</v>
      </c>
      <c r="B717" s="1">
        <v>46007</v>
      </c>
      <c r="C717" t="s">
        <v>1672</v>
      </c>
      <c r="D717" t="s">
        <v>88</v>
      </c>
      <c r="E717" t="s">
        <v>67</v>
      </c>
      <c r="F717" t="s">
        <v>68</v>
      </c>
      <c r="G717" t="s">
        <v>27</v>
      </c>
      <c r="H717" t="s">
        <v>28</v>
      </c>
      <c r="I717" t="s">
        <v>69</v>
      </c>
      <c r="J717">
        <v>3</v>
      </c>
      <c r="K717">
        <v>1500</v>
      </c>
      <c r="L717">
        <v>15</v>
      </c>
      <c r="M717">
        <v>3825</v>
      </c>
      <c r="N717">
        <v>3150</v>
      </c>
      <c r="O717">
        <v>675</v>
      </c>
      <c r="P717" t="s">
        <v>95</v>
      </c>
      <c r="Q717" t="s">
        <v>96</v>
      </c>
      <c r="R717" t="s">
        <v>45</v>
      </c>
      <c r="S717" t="s">
        <v>46</v>
      </c>
      <c r="T717" t="s">
        <v>56</v>
      </c>
      <c r="U717" t="s">
        <v>48</v>
      </c>
      <c r="V717">
        <v>3</v>
      </c>
      <c r="W717">
        <f>Table1[[#This Row],[Profit]]/Table1[[#This Row],[Sales]]</f>
        <v>0.17647058823529413</v>
      </c>
    </row>
    <row r="718" spans="1:23" x14ac:dyDescent="0.25">
      <c r="A718" t="s">
        <v>1673</v>
      </c>
      <c r="B718" s="1">
        <v>45973</v>
      </c>
      <c r="C718" t="s">
        <v>1674</v>
      </c>
      <c r="D718" t="s">
        <v>1228</v>
      </c>
      <c r="E718" t="s">
        <v>73</v>
      </c>
      <c r="F718" t="s">
        <v>74</v>
      </c>
      <c r="G718" t="s">
        <v>27</v>
      </c>
      <c r="H718" t="s">
        <v>75</v>
      </c>
      <c r="I718" t="s">
        <v>76</v>
      </c>
      <c r="J718">
        <v>2</v>
      </c>
      <c r="K718">
        <v>3500</v>
      </c>
      <c r="L718">
        <v>5</v>
      </c>
      <c r="M718">
        <v>6650</v>
      </c>
      <c r="N718">
        <v>4900</v>
      </c>
      <c r="O718">
        <v>1750</v>
      </c>
      <c r="P718" t="s">
        <v>43</v>
      </c>
      <c r="Q718" t="s">
        <v>44</v>
      </c>
      <c r="R718" t="s">
        <v>45</v>
      </c>
      <c r="S718" t="s">
        <v>60</v>
      </c>
      <c r="T718" t="s">
        <v>56</v>
      </c>
      <c r="U718" t="s">
        <v>34</v>
      </c>
      <c r="V718">
        <v>5</v>
      </c>
      <c r="W718">
        <f>Table1[[#This Row],[Profit]]/Table1[[#This Row],[Sales]]</f>
        <v>0.26315789473684209</v>
      </c>
    </row>
    <row r="719" spans="1:23" x14ac:dyDescent="0.25">
      <c r="A719" t="s">
        <v>1675</v>
      </c>
      <c r="B719" s="1">
        <v>45883</v>
      </c>
      <c r="C719" t="s">
        <v>1307</v>
      </c>
      <c r="D719" t="s">
        <v>1676</v>
      </c>
      <c r="E719" t="s">
        <v>38</v>
      </c>
      <c r="F719" t="s">
        <v>39</v>
      </c>
      <c r="G719" t="s">
        <v>40</v>
      </c>
      <c r="H719" t="s">
        <v>41</v>
      </c>
      <c r="I719" t="s">
        <v>42</v>
      </c>
      <c r="J719">
        <v>5</v>
      </c>
      <c r="K719">
        <v>4500</v>
      </c>
      <c r="L719">
        <v>10</v>
      </c>
      <c r="M719">
        <v>20250</v>
      </c>
      <c r="N719">
        <v>15750</v>
      </c>
      <c r="O719">
        <v>4500.0000000000018</v>
      </c>
      <c r="P719" t="s">
        <v>95</v>
      </c>
      <c r="Q719" t="s">
        <v>96</v>
      </c>
      <c r="R719" t="s">
        <v>45</v>
      </c>
      <c r="S719" t="s">
        <v>32</v>
      </c>
      <c r="T719" t="s">
        <v>56</v>
      </c>
      <c r="U719" t="s">
        <v>34</v>
      </c>
      <c r="V719">
        <v>1</v>
      </c>
      <c r="W719">
        <f>Table1[[#This Row],[Profit]]/Table1[[#This Row],[Sales]]</f>
        <v>0.22222222222222232</v>
      </c>
    </row>
    <row r="720" spans="1:23" x14ac:dyDescent="0.25">
      <c r="A720" t="s">
        <v>1677</v>
      </c>
      <c r="B720" s="1">
        <v>45977</v>
      </c>
      <c r="C720" t="s">
        <v>875</v>
      </c>
      <c r="D720" t="s">
        <v>1678</v>
      </c>
      <c r="E720" t="s">
        <v>38</v>
      </c>
      <c r="F720" t="s">
        <v>39</v>
      </c>
      <c r="G720" t="s">
        <v>40</v>
      </c>
      <c r="H720" t="s">
        <v>41</v>
      </c>
      <c r="I720" t="s">
        <v>42</v>
      </c>
      <c r="J720">
        <v>4</v>
      </c>
      <c r="K720">
        <v>4500</v>
      </c>
      <c r="L720">
        <v>5</v>
      </c>
      <c r="M720">
        <v>17100</v>
      </c>
      <c r="N720">
        <v>12600</v>
      </c>
      <c r="O720">
        <v>4500</v>
      </c>
      <c r="P720" t="s">
        <v>30</v>
      </c>
      <c r="Q720" t="s">
        <v>30</v>
      </c>
      <c r="R720" t="s">
        <v>31</v>
      </c>
      <c r="S720" t="s">
        <v>46</v>
      </c>
      <c r="T720" t="s">
        <v>33</v>
      </c>
      <c r="U720" t="s">
        <v>48</v>
      </c>
      <c r="V720">
        <v>3</v>
      </c>
      <c r="W720">
        <f>Table1[[#This Row],[Profit]]/Table1[[#This Row],[Sales]]</f>
        <v>0.26315789473684209</v>
      </c>
    </row>
    <row r="721" spans="1:23" x14ac:dyDescent="0.25">
      <c r="A721" t="s">
        <v>1679</v>
      </c>
      <c r="B721" s="1">
        <v>45775</v>
      </c>
      <c r="C721" t="s">
        <v>1680</v>
      </c>
      <c r="D721" t="s">
        <v>252</v>
      </c>
      <c r="E721" t="s">
        <v>38</v>
      </c>
      <c r="F721" t="s">
        <v>39</v>
      </c>
      <c r="G721" t="s">
        <v>40</v>
      </c>
      <c r="H721" t="s">
        <v>41</v>
      </c>
      <c r="I721" t="s">
        <v>42</v>
      </c>
      <c r="J721">
        <v>3</v>
      </c>
      <c r="K721">
        <v>4500</v>
      </c>
      <c r="L721">
        <v>10</v>
      </c>
      <c r="M721">
        <v>12150</v>
      </c>
      <c r="N721">
        <v>9450</v>
      </c>
      <c r="O721">
        <v>2700</v>
      </c>
      <c r="P721" t="s">
        <v>109</v>
      </c>
      <c r="Q721" t="s">
        <v>110</v>
      </c>
      <c r="R721" t="s">
        <v>111</v>
      </c>
      <c r="S721" t="s">
        <v>32</v>
      </c>
      <c r="T721" t="s">
        <v>47</v>
      </c>
      <c r="U721" t="s">
        <v>48</v>
      </c>
      <c r="V721">
        <v>1</v>
      </c>
      <c r="W721">
        <f>Table1[[#This Row],[Profit]]/Table1[[#This Row],[Sales]]</f>
        <v>0.22222222222222221</v>
      </c>
    </row>
    <row r="722" spans="1:23" x14ac:dyDescent="0.25">
      <c r="A722" t="s">
        <v>1681</v>
      </c>
      <c r="B722" s="1">
        <v>45752</v>
      </c>
      <c r="C722" t="s">
        <v>1682</v>
      </c>
      <c r="D722" t="s">
        <v>1079</v>
      </c>
      <c r="E722" t="s">
        <v>52</v>
      </c>
      <c r="F722" t="s">
        <v>53</v>
      </c>
      <c r="G722" t="s">
        <v>27</v>
      </c>
      <c r="H722" t="s">
        <v>54</v>
      </c>
      <c r="I722" t="s">
        <v>55</v>
      </c>
      <c r="J722">
        <v>5</v>
      </c>
      <c r="K722">
        <v>55000</v>
      </c>
      <c r="L722">
        <v>10</v>
      </c>
      <c r="M722">
        <v>247500</v>
      </c>
      <c r="N722">
        <v>192500</v>
      </c>
      <c r="O722">
        <v>55000</v>
      </c>
      <c r="P722" t="s">
        <v>95</v>
      </c>
      <c r="Q722" t="s">
        <v>96</v>
      </c>
      <c r="R722" t="s">
        <v>45</v>
      </c>
      <c r="S722" t="s">
        <v>46</v>
      </c>
      <c r="T722" t="s">
        <v>33</v>
      </c>
      <c r="U722" t="s">
        <v>34</v>
      </c>
      <c r="V722">
        <v>3</v>
      </c>
      <c r="W722">
        <f>Table1[[#This Row],[Profit]]/Table1[[#This Row],[Sales]]</f>
        <v>0.22222222222222221</v>
      </c>
    </row>
    <row r="723" spans="1:23" x14ac:dyDescent="0.25">
      <c r="A723" t="s">
        <v>1683</v>
      </c>
      <c r="B723" s="1">
        <v>45701</v>
      </c>
      <c r="C723" t="s">
        <v>1684</v>
      </c>
      <c r="D723" t="s">
        <v>743</v>
      </c>
      <c r="E723" t="s">
        <v>73</v>
      </c>
      <c r="F723" t="s">
        <v>74</v>
      </c>
      <c r="G723" t="s">
        <v>27</v>
      </c>
      <c r="H723" t="s">
        <v>75</v>
      </c>
      <c r="I723" t="s">
        <v>76</v>
      </c>
      <c r="J723">
        <v>3</v>
      </c>
      <c r="K723">
        <v>3500</v>
      </c>
      <c r="L723">
        <v>10</v>
      </c>
      <c r="M723">
        <v>9450</v>
      </c>
      <c r="N723">
        <v>7349.9999999999991</v>
      </c>
      <c r="O723">
        <v>2100.0000000000009</v>
      </c>
      <c r="P723" t="s">
        <v>30</v>
      </c>
      <c r="Q723" t="s">
        <v>30</v>
      </c>
      <c r="R723" t="s">
        <v>31</v>
      </c>
      <c r="S723" t="s">
        <v>60</v>
      </c>
      <c r="T723" t="s">
        <v>33</v>
      </c>
      <c r="U723" t="s">
        <v>48</v>
      </c>
      <c r="V723">
        <v>1</v>
      </c>
      <c r="W723">
        <f>Table1[[#This Row],[Profit]]/Table1[[#This Row],[Sales]]</f>
        <v>0.22222222222222232</v>
      </c>
    </row>
    <row r="724" spans="1:23" x14ac:dyDescent="0.25">
      <c r="A724" t="s">
        <v>1685</v>
      </c>
      <c r="B724" s="1">
        <v>45972</v>
      </c>
      <c r="C724" t="s">
        <v>506</v>
      </c>
      <c r="D724" t="s">
        <v>732</v>
      </c>
      <c r="E724" t="s">
        <v>67</v>
      </c>
      <c r="F724" t="s">
        <v>68</v>
      </c>
      <c r="G724" t="s">
        <v>27</v>
      </c>
      <c r="H724" t="s">
        <v>28</v>
      </c>
      <c r="I724" t="s">
        <v>69</v>
      </c>
      <c r="J724">
        <v>5</v>
      </c>
      <c r="K724">
        <v>1500</v>
      </c>
      <c r="L724">
        <v>5</v>
      </c>
      <c r="M724">
        <v>7125</v>
      </c>
      <c r="N724">
        <v>5250</v>
      </c>
      <c r="O724">
        <v>1875</v>
      </c>
      <c r="P724" t="s">
        <v>30</v>
      </c>
      <c r="Q724" t="s">
        <v>30</v>
      </c>
      <c r="R724" t="s">
        <v>31</v>
      </c>
      <c r="S724" t="s">
        <v>60</v>
      </c>
      <c r="T724" t="s">
        <v>33</v>
      </c>
      <c r="U724" t="s">
        <v>34</v>
      </c>
      <c r="V724">
        <v>4</v>
      </c>
      <c r="W724">
        <f>Table1[[#This Row],[Profit]]/Table1[[#This Row],[Sales]]</f>
        <v>0.26315789473684209</v>
      </c>
    </row>
    <row r="725" spans="1:23" x14ac:dyDescent="0.25">
      <c r="A725" t="s">
        <v>1686</v>
      </c>
      <c r="B725" s="1">
        <v>45874</v>
      </c>
      <c r="C725" t="s">
        <v>1687</v>
      </c>
      <c r="D725" t="s">
        <v>1018</v>
      </c>
      <c r="E725" t="s">
        <v>73</v>
      </c>
      <c r="F725" t="s">
        <v>74</v>
      </c>
      <c r="G725" t="s">
        <v>27</v>
      </c>
      <c r="H725" t="s">
        <v>75</v>
      </c>
      <c r="I725" t="s">
        <v>76</v>
      </c>
      <c r="J725">
        <v>4</v>
      </c>
      <c r="K725">
        <v>3500</v>
      </c>
      <c r="L725">
        <v>5</v>
      </c>
      <c r="M725">
        <v>13300</v>
      </c>
      <c r="N725">
        <v>9800</v>
      </c>
      <c r="O725">
        <v>3500</v>
      </c>
      <c r="P725" t="s">
        <v>95</v>
      </c>
      <c r="Q725" t="s">
        <v>96</v>
      </c>
      <c r="R725" t="s">
        <v>45</v>
      </c>
      <c r="S725" t="s">
        <v>32</v>
      </c>
      <c r="T725" t="s">
        <v>47</v>
      </c>
      <c r="U725" t="s">
        <v>34</v>
      </c>
      <c r="V725">
        <v>5</v>
      </c>
      <c r="W725">
        <f>Table1[[#This Row],[Profit]]/Table1[[#This Row],[Sales]]</f>
        <v>0.26315789473684209</v>
      </c>
    </row>
    <row r="726" spans="1:23" x14ac:dyDescent="0.25">
      <c r="A726" t="s">
        <v>1688</v>
      </c>
      <c r="B726" s="1">
        <v>45794</v>
      </c>
      <c r="C726" t="s">
        <v>460</v>
      </c>
      <c r="D726" t="s">
        <v>482</v>
      </c>
      <c r="E726" t="s">
        <v>73</v>
      </c>
      <c r="F726" t="s">
        <v>74</v>
      </c>
      <c r="G726" t="s">
        <v>27</v>
      </c>
      <c r="H726" t="s">
        <v>75</v>
      </c>
      <c r="I726" t="s">
        <v>76</v>
      </c>
      <c r="J726">
        <v>1</v>
      </c>
      <c r="K726">
        <v>3500</v>
      </c>
      <c r="L726">
        <v>10</v>
      </c>
      <c r="M726">
        <v>3150</v>
      </c>
      <c r="N726">
        <v>2450</v>
      </c>
      <c r="O726">
        <v>700</v>
      </c>
      <c r="P726" t="s">
        <v>109</v>
      </c>
      <c r="Q726" t="s">
        <v>110</v>
      </c>
      <c r="R726" t="s">
        <v>111</v>
      </c>
      <c r="S726" t="s">
        <v>32</v>
      </c>
      <c r="T726" t="s">
        <v>56</v>
      </c>
      <c r="U726" t="s">
        <v>48</v>
      </c>
      <c r="V726">
        <v>5</v>
      </c>
      <c r="W726">
        <f>Table1[[#This Row],[Profit]]/Table1[[#This Row],[Sales]]</f>
        <v>0.22222222222222221</v>
      </c>
    </row>
    <row r="727" spans="1:23" x14ac:dyDescent="0.25">
      <c r="A727" t="s">
        <v>1689</v>
      </c>
      <c r="B727" s="1">
        <v>45950</v>
      </c>
      <c r="C727" t="s">
        <v>1107</v>
      </c>
      <c r="D727" t="s">
        <v>285</v>
      </c>
      <c r="E727" t="s">
        <v>25</v>
      </c>
      <c r="F727" t="s">
        <v>26</v>
      </c>
      <c r="G727" t="s">
        <v>27</v>
      </c>
      <c r="H727" t="s">
        <v>28</v>
      </c>
      <c r="I727" t="s">
        <v>29</v>
      </c>
      <c r="J727">
        <v>5</v>
      </c>
      <c r="K727">
        <v>800</v>
      </c>
      <c r="L727">
        <v>5</v>
      </c>
      <c r="M727">
        <v>3800</v>
      </c>
      <c r="N727">
        <v>2800</v>
      </c>
      <c r="O727">
        <v>1000</v>
      </c>
      <c r="P727" t="s">
        <v>109</v>
      </c>
      <c r="Q727" t="s">
        <v>110</v>
      </c>
      <c r="R727" t="s">
        <v>111</v>
      </c>
      <c r="S727" t="s">
        <v>60</v>
      </c>
      <c r="T727" t="s">
        <v>47</v>
      </c>
      <c r="U727" t="s">
        <v>34</v>
      </c>
      <c r="V727">
        <v>1</v>
      </c>
      <c r="W727">
        <f>Table1[[#This Row],[Profit]]/Table1[[#This Row],[Sales]]</f>
        <v>0.26315789473684209</v>
      </c>
    </row>
    <row r="728" spans="1:23" x14ac:dyDescent="0.25">
      <c r="A728" t="s">
        <v>1690</v>
      </c>
      <c r="B728" s="1">
        <v>45851</v>
      </c>
      <c r="C728" t="s">
        <v>1691</v>
      </c>
      <c r="D728" t="s">
        <v>1692</v>
      </c>
      <c r="E728" t="s">
        <v>73</v>
      </c>
      <c r="F728" t="s">
        <v>74</v>
      </c>
      <c r="G728" t="s">
        <v>27</v>
      </c>
      <c r="H728" t="s">
        <v>75</v>
      </c>
      <c r="I728" t="s">
        <v>76</v>
      </c>
      <c r="J728">
        <v>3</v>
      </c>
      <c r="K728">
        <v>3500</v>
      </c>
      <c r="L728">
        <v>15</v>
      </c>
      <c r="M728">
        <v>8925</v>
      </c>
      <c r="N728">
        <v>7349.9999999999991</v>
      </c>
      <c r="O728">
        <v>1575.0000000000009</v>
      </c>
      <c r="P728" t="s">
        <v>30</v>
      </c>
      <c r="Q728" t="s">
        <v>30</v>
      </c>
      <c r="R728" t="s">
        <v>31</v>
      </c>
      <c r="S728" t="s">
        <v>32</v>
      </c>
      <c r="T728" t="s">
        <v>33</v>
      </c>
      <c r="U728" t="s">
        <v>48</v>
      </c>
      <c r="V728">
        <v>1</v>
      </c>
      <c r="W728">
        <f>Table1[[#This Row],[Profit]]/Table1[[#This Row],[Sales]]</f>
        <v>0.17647058823529421</v>
      </c>
    </row>
    <row r="729" spans="1:23" x14ac:dyDescent="0.25">
      <c r="A729" t="s">
        <v>1693</v>
      </c>
      <c r="B729" s="1">
        <v>45893</v>
      </c>
      <c r="C729" t="s">
        <v>270</v>
      </c>
      <c r="D729" t="s">
        <v>1694</v>
      </c>
      <c r="E729" t="s">
        <v>38</v>
      </c>
      <c r="F729" t="s">
        <v>39</v>
      </c>
      <c r="G729" t="s">
        <v>40</v>
      </c>
      <c r="H729" t="s">
        <v>41</v>
      </c>
      <c r="I729" t="s">
        <v>42</v>
      </c>
      <c r="J729">
        <v>1</v>
      </c>
      <c r="K729">
        <v>4500</v>
      </c>
      <c r="L729">
        <v>10</v>
      </c>
      <c r="M729">
        <v>4050</v>
      </c>
      <c r="N729">
        <v>3150</v>
      </c>
      <c r="O729">
        <v>900</v>
      </c>
      <c r="P729" t="s">
        <v>95</v>
      </c>
      <c r="Q729" t="s">
        <v>96</v>
      </c>
      <c r="R729" t="s">
        <v>45</v>
      </c>
      <c r="S729" t="s">
        <v>46</v>
      </c>
      <c r="T729" t="s">
        <v>33</v>
      </c>
      <c r="U729" t="s">
        <v>34</v>
      </c>
      <c r="V729">
        <v>3</v>
      </c>
      <c r="W729">
        <f>Table1[[#This Row],[Profit]]/Table1[[#This Row],[Sales]]</f>
        <v>0.22222222222222221</v>
      </c>
    </row>
    <row r="730" spans="1:23" x14ac:dyDescent="0.25">
      <c r="A730" t="s">
        <v>1695</v>
      </c>
      <c r="B730" s="1">
        <v>45998</v>
      </c>
      <c r="C730" t="s">
        <v>1696</v>
      </c>
      <c r="D730" t="s">
        <v>1023</v>
      </c>
      <c r="E730" t="s">
        <v>25</v>
      </c>
      <c r="F730" t="s">
        <v>26</v>
      </c>
      <c r="G730" t="s">
        <v>27</v>
      </c>
      <c r="H730" t="s">
        <v>28</v>
      </c>
      <c r="I730" t="s">
        <v>29</v>
      </c>
      <c r="J730">
        <v>1</v>
      </c>
      <c r="K730">
        <v>800</v>
      </c>
      <c r="L730">
        <v>0</v>
      </c>
      <c r="M730">
        <v>800</v>
      </c>
      <c r="N730">
        <v>560</v>
      </c>
      <c r="O730">
        <v>240</v>
      </c>
      <c r="P730" t="s">
        <v>43</v>
      </c>
      <c r="Q730" t="s">
        <v>44</v>
      </c>
      <c r="R730" t="s">
        <v>45</v>
      </c>
      <c r="S730" t="s">
        <v>46</v>
      </c>
      <c r="T730" t="s">
        <v>33</v>
      </c>
      <c r="U730" t="s">
        <v>34</v>
      </c>
      <c r="V730">
        <v>5</v>
      </c>
      <c r="W730">
        <f>Table1[[#This Row],[Profit]]/Table1[[#This Row],[Sales]]</f>
        <v>0.3</v>
      </c>
    </row>
    <row r="731" spans="1:23" x14ac:dyDescent="0.25">
      <c r="A731" t="s">
        <v>1697</v>
      </c>
      <c r="B731" s="1">
        <v>45941</v>
      </c>
      <c r="C731" t="s">
        <v>615</v>
      </c>
      <c r="D731" t="s">
        <v>429</v>
      </c>
      <c r="E731" t="s">
        <v>52</v>
      </c>
      <c r="F731" t="s">
        <v>53</v>
      </c>
      <c r="G731" t="s">
        <v>27</v>
      </c>
      <c r="H731" t="s">
        <v>54</v>
      </c>
      <c r="I731" t="s">
        <v>55</v>
      </c>
      <c r="J731">
        <v>5</v>
      </c>
      <c r="K731">
        <v>55000</v>
      </c>
      <c r="L731">
        <v>15</v>
      </c>
      <c r="M731">
        <v>233750</v>
      </c>
      <c r="N731">
        <v>192500</v>
      </c>
      <c r="O731">
        <v>41250</v>
      </c>
      <c r="P731" t="s">
        <v>43</v>
      </c>
      <c r="Q731" t="s">
        <v>44</v>
      </c>
      <c r="R731" t="s">
        <v>45</v>
      </c>
      <c r="S731" t="s">
        <v>32</v>
      </c>
      <c r="T731" t="s">
        <v>47</v>
      </c>
      <c r="U731" t="s">
        <v>34</v>
      </c>
      <c r="V731">
        <v>2</v>
      </c>
      <c r="W731">
        <f>Table1[[#This Row],[Profit]]/Table1[[#This Row],[Sales]]</f>
        <v>0.17647058823529413</v>
      </c>
    </row>
    <row r="732" spans="1:23" x14ac:dyDescent="0.25">
      <c r="A732" t="s">
        <v>1698</v>
      </c>
      <c r="B732" s="1">
        <v>45952</v>
      </c>
      <c r="C732" t="s">
        <v>1699</v>
      </c>
      <c r="D732" t="s">
        <v>330</v>
      </c>
      <c r="E732" t="s">
        <v>67</v>
      </c>
      <c r="F732" t="s">
        <v>68</v>
      </c>
      <c r="G732" t="s">
        <v>27</v>
      </c>
      <c r="H732" t="s">
        <v>28</v>
      </c>
      <c r="I732" t="s">
        <v>69</v>
      </c>
      <c r="J732">
        <v>3</v>
      </c>
      <c r="K732">
        <v>1500</v>
      </c>
      <c r="L732">
        <v>5</v>
      </c>
      <c r="M732">
        <v>4275</v>
      </c>
      <c r="N732">
        <v>3150</v>
      </c>
      <c r="O732">
        <v>1125</v>
      </c>
      <c r="P732" t="s">
        <v>30</v>
      </c>
      <c r="Q732" t="s">
        <v>30</v>
      </c>
      <c r="R732" t="s">
        <v>31</v>
      </c>
      <c r="S732" t="s">
        <v>46</v>
      </c>
      <c r="T732" t="s">
        <v>56</v>
      </c>
      <c r="U732" t="s">
        <v>48</v>
      </c>
      <c r="V732">
        <v>1</v>
      </c>
      <c r="W732">
        <f>Table1[[#This Row],[Profit]]/Table1[[#This Row],[Sales]]</f>
        <v>0.26315789473684209</v>
      </c>
    </row>
    <row r="733" spans="1:23" x14ac:dyDescent="0.25">
      <c r="A733" t="s">
        <v>1700</v>
      </c>
      <c r="B733" s="1">
        <v>45836</v>
      </c>
      <c r="C733" t="s">
        <v>1701</v>
      </c>
      <c r="D733" t="s">
        <v>1381</v>
      </c>
      <c r="E733" t="s">
        <v>67</v>
      </c>
      <c r="F733" t="s">
        <v>68</v>
      </c>
      <c r="G733" t="s">
        <v>27</v>
      </c>
      <c r="H733" t="s">
        <v>28</v>
      </c>
      <c r="I733" t="s">
        <v>69</v>
      </c>
      <c r="J733">
        <v>5</v>
      </c>
      <c r="K733">
        <v>1500</v>
      </c>
      <c r="L733">
        <v>15</v>
      </c>
      <c r="M733">
        <v>6375</v>
      </c>
      <c r="N733">
        <v>5250</v>
      </c>
      <c r="O733">
        <v>1125</v>
      </c>
      <c r="P733" t="s">
        <v>95</v>
      </c>
      <c r="Q733" t="s">
        <v>96</v>
      </c>
      <c r="R733" t="s">
        <v>45</v>
      </c>
      <c r="S733" t="s">
        <v>32</v>
      </c>
      <c r="T733" t="s">
        <v>56</v>
      </c>
      <c r="U733" t="s">
        <v>34</v>
      </c>
      <c r="V733">
        <v>5</v>
      </c>
      <c r="W733">
        <f>Table1[[#This Row],[Profit]]/Table1[[#This Row],[Sales]]</f>
        <v>0.17647058823529413</v>
      </c>
    </row>
    <row r="734" spans="1:23" x14ac:dyDescent="0.25">
      <c r="A734" t="s">
        <v>1702</v>
      </c>
      <c r="B734" s="1">
        <v>45940</v>
      </c>
      <c r="C734" t="s">
        <v>1703</v>
      </c>
      <c r="D734" t="s">
        <v>1704</v>
      </c>
      <c r="E734" t="s">
        <v>52</v>
      </c>
      <c r="F734" t="s">
        <v>53</v>
      </c>
      <c r="G734" t="s">
        <v>27</v>
      </c>
      <c r="H734" t="s">
        <v>54</v>
      </c>
      <c r="I734" t="s">
        <v>55</v>
      </c>
      <c r="J734">
        <v>3</v>
      </c>
      <c r="K734">
        <v>55000</v>
      </c>
      <c r="L734">
        <v>15</v>
      </c>
      <c r="M734">
        <v>140250</v>
      </c>
      <c r="N734">
        <v>115500</v>
      </c>
      <c r="O734">
        <v>24750.000000000011</v>
      </c>
      <c r="P734" t="s">
        <v>30</v>
      </c>
      <c r="Q734" t="s">
        <v>30</v>
      </c>
      <c r="R734" t="s">
        <v>31</v>
      </c>
      <c r="S734" t="s">
        <v>32</v>
      </c>
      <c r="T734" t="s">
        <v>33</v>
      </c>
      <c r="U734" t="s">
        <v>48</v>
      </c>
      <c r="V734">
        <v>1</v>
      </c>
      <c r="W734">
        <f>Table1[[#This Row],[Profit]]/Table1[[#This Row],[Sales]]</f>
        <v>0.17647058823529418</v>
      </c>
    </row>
    <row r="735" spans="1:23" x14ac:dyDescent="0.25">
      <c r="A735" t="s">
        <v>1705</v>
      </c>
      <c r="B735" s="1">
        <v>45930</v>
      </c>
      <c r="C735" t="s">
        <v>1706</v>
      </c>
      <c r="D735" t="s">
        <v>1707</v>
      </c>
      <c r="E735" t="s">
        <v>67</v>
      </c>
      <c r="F735" t="s">
        <v>68</v>
      </c>
      <c r="G735" t="s">
        <v>27</v>
      </c>
      <c r="H735" t="s">
        <v>28</v>
      </c>
      <c r="I735" t="s">
        <v>69</v>
      </c>
      <c r="J735">
        <v>1</v>
      </c>
      <c r="K735">
        <v>1500</v>
      </c>
      <c r="L735">
        <v>10</v>
      </c>
      <c r="M735">
        <v>1350</v>
      </c>
      <c r="N735">
        <v>1050</v>
      </c>
      <c r="O735">
        <v>300</v>
      </c>
      <c r="P735" t="s">
        <v>30</v>
      </c>
      <c r="Q735" t="s">
        <v>30</v>
      </c>
      <c r="R735" t="s">
        <v>31</v>
      </c>
      <c r="S735" t="s">
        <v>46</v>
      </c>
      <c r="T735" t="s">
        <v>33</v>
      </c>
      <c r="U735" t="s">
        <v>34</v>
      </c>
      <c r="V735">
        <v>3</v>
      </c>
      <c r="W735">
        <f>Table1[[#This Row],[Profit]]/Table1[[#This Row],[Sales]]</f>
        <v>0.22222222222222221</v>
      </c>
    </row>
    <row r="736" spans="1:23" x14ac:dyDescent="0.25">
      <c r="A736" t="s">
        <v>1708</v>
      </c>
      <c r="B736" s="1">
        <v>45932</v>
      </c>
      <c r="C736" t="s">
        <v>1709</v>
      </c>
      <c r="D736" t="s">
        <v>471</v>
      </c>
      <c r="E736" t="s">
        <v>67</v>
      </c>
      <c r="F736" t="s">
        <v>68</v>
      </c>
      <c r="G736" t="s">
        <v>27</v>
      </c>
      <c r="H736" t="s">
        <v>28</v>
      </c>
      <c r="I736" t="s">
        <v>69</v>
      </c>
      <c r="J736">
        <v>3</v>
      </c>
      <c r="K736">
        <v>1500</v>
      </c>
      <c r="L736">
        <v>10</v>
      </c>
      <c r="M736">
        <v>4050</v>
      </c>
      <c r="N736">
        <v>3150</v>
      </c>
      <c r="O736">
        <v>900</v>
      </c>
      <c r="P736" t="s">
        <v>30</v>
      </c>
      <c r="Q736" t="s">
        <v>30</v>
      </c>
      <c r="R736" t="s">
        <v>31</v>
      </c>
      <c r="S736" t="s">
        <v>60</v>
      </c>
      <c r="T736" t="s">
        <v>56</v>
      </c>
      <c r="U736" t="s">
        <v>48</v>
      </c>
      <c r="V736">
        <v>1</v>
      </c>
      <c r="W736">
        <f>Table1[[#This Row],[Profit]]/Table1[[#This Row],[Sales]]</f>
        <v>0.22222222222222221</v>
      </c>
    </row>
    <row r="737" spans="1:23" x14ac:dyDescent="0.25">
      <c r="A737" t="s">
        <v>1710</v>
      </c>
      <c r="B737" s="1">
        <v>45871</v>
      </c>
      <c r="C737" t="s">
        <v>1445</v>
      </c>
      <c r="D737" t="s">
        <v>66</v>
      </c>
      <c r="E737" t="s">
        <v>38</v>
      </c>
      <c r="F737" t="s">
        <v>39</v>
      </c>
      <c r="G737" t="s">
        <v>40</v>
      </c>
      <c r="H737" t="s">
        <v>41</v>
      </c>
      <c r="I737" t="s">
        <v>42</v>
      </c>
      <c r="J737">
        <v>2</v>
      </c>
      <c r="K737">
        <v>4500</v>
      </c>
      <c r="L737">
        <v>5</v>
      </c>
      <c r="M737">
        <v>8550</v>
      </c>
      <c r="N737">
        <v>6300</v>
      </c>
      <c r="O737">
        <v>2250</v>
      </c>
      <c r="P737" t="s">
        <v>109</v>
      </c>
      <c r="Q737" t="s">
        <v>110</v>
      </c>
      <c r="R737" t="s">
        <v>111</v>
      </c>
      <c r="S737" t="s">
        <v>60</v>
      </c>
      <c r="T737" t="s">
        <v>33</v>
      </c>
      <c r="U737" t="s">
        <v>48</v>
      </c>
      <c r="V737">
        <v>5</v>
      </c>
      <c r="W737">
        <f>Table1[[#This Row],[Profit]]/Table1[[#This Row],[Sales]]</f>
        <v>0.26315789473684209</v>
      </c>
    </row>
    <row r="738" spans="1:23" x14ac:dyDescent="0.25">
      <c r="A738" t="s">
        <v>1711</v>
      </c>
      <c r="B738" s="1">
        <v>45980</v>
      </c>
      <c r="C738" t="s">
        <v>989</v>
      </c>
      <c r="D738" t="s">
        <v>520</v>
      </c>
      <c r="E738" t="s">
        <v>67</v>
      </c>
      <c r="F738" t="s">
        <v>68</v>
      </c>
      <c r="G738" t="s">
        <v>27</v>
      </c>
      <c r="H738" t="s">
        <v>28</v>
      </c>
      <c r="I738" t="s">
        <v>69</v>
      </c>
      <c r="J738">
        <v>4</v>
      </c>
      <c r="K738">
        <v>1500</v>
      </c>
      <c r="L738">
        <v>0</v>
      </c>
      <c r="M738">
        <v>6000</v>
      </c>
      <c r="N738">
        <v>4200</v>
      </c>
      <c r="O738">
        <v>1800</v>
      </c>
      <c r="P738" t="s">
        <v>95</v>
      </c>
      <c r="Q738" t="s">
        <v>96</v>
      </c>
      <c r="R738" t="s">
        <v>45</v>
      </c>
      <c r="S738" t="s">
        <v>32</v>
      </c>
      <c r="T738" t="s">
        <v>56</v>
      </c>
      <c r="U738" t="s">
        <v>48</v>
      </c>
      <c r="V738">
        <v>5</v>
      </c>
      <c r="W738">
        <f>Table1[[#This Row],[Profit]]/Table1[[#This Row],[Sales]]</f>
        <v>0.3</v>
      </c>
    </row>
    <row r="739" spans="1:23" x14ac:dyDescent="0.25">
      <c r="A739" t="s">
        <v>1712</v>
      </c>
      <c r="B739" s="1">
        <v>45682</v>
      </c>
      <c r="C739" t="s">
        <v>1713</v>
      </c>
      <c r="D739" t="s">
        <v>1647</v>
      </c>
      <c r="E739" t="s">
        <v>38</v>
      </c>
      <c r="F739" t="s">
        <v>39</v>
      </c>
      <c r="G739" t="s">
        <v>40</v>
      </c>
      <c r="H739" t="s">
        <v>41</v>
      </c>
      <c r="I739" t="s">
        <v>42</v>
      </c>
      <c r="J739">
        <v>4</v>
      </c>
      <c r="K739">
        <v>4500</v>
      </c>
      <c r="L739">
        <v>15</v>
      </c>
      <c r="M739">
        <v>15300</v>
      </c>
      <c r="N739">
        <v>12600</v>
      </c>
      <c r="O739">
        <v>2700</v>
      </c>
      <c r="P739" t="s">
        <v>43</v>
      </c>
      <c r="Q739" t="s">
        <v>44</v>
      </c>
      <c r="R739" t="s">
        <v>45</v>
      </c>
      <c r="S739" t="s">
        <v>32</v>
      </c>
      <c r="T739" t="s">
        <v>33</v>
      </c>
      <c r="U739" t="s">
        <v>48</v>
      </c>
      <c r="V739">
        <v>2</v>
      </c>
      <c r="W739">
        <f>Table1[[#This Row],[Profit]]/Table1[[#This Row],[Sales]]</f>
        <v>0.17647058823529413</v>
      </c>
    </row>
    <row r="740" spans="1:23" x14ac:dyDescent="0.25">
      <c r="A740" t="s">
        <v>1714</v>
      </c>
      <c r="B740" s="1">
        <v>45966</v>
      </c>
      <c r="C740" t="s">
        <v>1715</v>
      </c>
      <c r="D740" t="s">
        <v>497</v>
      </c>
      <c r="E740" t="s">
        <v>67</v>
      </c>
      <c r="F740" t="s">
        <v>68</v>
      </c>
      <c r="G740" t="s">
        <v>27</v>
      </c>
      <c r="H740" t="s">
        <v>28</v>
      </c>
      <c r="I740" t="s">
        <v>69</v>
      </c>
      <c r="J740">
        <v>2</v>
      </c>
      <c r="K740">
        <v>1500</v>
      </c>
      <c r="L740">
        <v>0</v>
      </c>
      <c r="M740">
        <v>3000</v>
      </c>
      <c r="N740">
        <v>2100</v>
      </c>
      <c r="O740">
        <v>900</v>
      </c>
      <c r="P740" t="s">
        <v>43</v>
      </c>
      <c r="Q740" t="s">
        <v>44</v>
      </c>
      <c r="R740" t="s">
        <v>45</v>
      </c>
      <c r="S740" t="s">
        <v>32</v>
      </c>
      <c r="T740" t="s">
        <v>56</v>
      </c>
      <c r="U740" t="s">
        <v>48</v>
      </c>
      <c r="V740">
        <v>4</v>
      </c>
      <c r="W740">
        <f>Table1[[#This Row],[Profit]]/Table1[[#This Row],[Sales]]</f>
        <v>0.3</v>
      </c>
    </row>
    <row r="741" spans="1:23" x14ac:dyDescent="0.25">
      <c r="A741" t="s">
        <v>1716</v>
      </c>
      <c r="B741" s="1">
        <v>45906</v>
      </c>
      <c r="C741" t="s">
        <v>190</v>
      </c>
      <c r="D741" t="s">
        <v>759</v>
      </c>
      <c r="E741" t="s">
        <v>67</v>
      </c>
      <c r="F741" t="s">
        <v>68</v>
      </c>
      <c r="G741" t="s">
        <v>27</v>
      </c>
      <c r="H741" t="s">
        <v>28</v>
      </c>
      <c r="I741" t="s">
        <v>69</v>
      </c>
      <c r="J741">
        <v>5</v>
      </c>
      <c r="K741">
        <v>1500</v>
      </c>
      <c r="L741">
        <v>15</v>
      </c>
      <c r="M741">
        <v>6375</v>
      </c>
      <c r="N741">
        <v>5250</v>
      </c>
      <c r="O741">
        <v>1125</v>
      </c>
      <c r="P741" t="s">
        <v>109</v>
      </c>
      <c r="Q741" t="s">
        <v>110</v>
      </c>
      <c r="R741" t="s">
        <v>111</v>
      </c>
      <c r="S741" t="s">
        <v>46</v>
      </c>
      <c r="T741" t="s">
        <v>33</v>
      </c>
      <c r="U741" t="s">
        <v>48</v>
      </c>
      <c r="V741">
        <v>3</v>
      </c>
      <c r="W741">
        <f>Table1[[#This Row],[Profit]]/Table1[[#This Row],[Sales]]</f>
        <v>0.17647058823529413</v>
      </c>
    </row>
    <row r="742" spans="1:23" x14ac:dyDescent="0.25">
      <c r="A742" t="s">
        <v>1717</v>
      </c>
      <c r="B742" s="1">
        <v>45806</v>
      </c>
      <c r="C742" t="s">
        <v>919</v>
      </c>
      <c r="D742" t="s">
        <v>1158</v>
      </c>
      <c r="E742" t="s">
        <v>38</v>
      </c>
      <c r="F742" t="s">
        <v>39</v>
      </c>
      <c r="G742" t="s">
        <v>40</v>
      </c>
      <c r="H742" t="s">
        <v>41</v>
      </c>
      <c r="I742" t="s">
        <v>42</v>
      </c>
      <c r="J742">
        <v>1</v>
      </c>
      <c r="K742">
        <v>4500</v>
      </c>
      <c r="L742">
        <v>5</v>
      </c>
      <c r="M742">
        <v>4275</v>
      </c>
      <c r="N742">
        <v>3150</v>
      </c>
      <c r="O742">
        <v>1125</v>
      </c>
      <c r="P742" t="s">
        <v>109</v>
      </c>
      <c r="Q742" t="s">
        <v>110</v>
      </c>
      <c r="R742" t="s">
        <v>111</v>
      </c>
      <c r="S742" t="s">
        <v>46</v>
      </c>
      <c r="T742" t="s">
        <v>33</v>
      </c>
      <c r="U742" t="s">
        <v>48</v>
      </c>
      <c r="V742">
        <v>1</v>
      </c>
      <c r="W742">
        <f>Table1[[#This Row],[Profit]]/Table1[[#This Row],[Sales]]</f>
        <v>0.26315789473684209</v>
      </c>
    </row>
    <row r="743" spans="1:23" x14ac:dyDescent="0.25">
      <c r="A743" t="s">
        <v>1718</v>
      </c>
      <c r="B743" s="1">
        <v>45990</v>
      </c>
      <c r="C743" t="s">
        <v>1719</v>
      </c>
      <c r="D743" t="s">
        <v>1594</v>
      </c>
      <c r="E743" t="s">
        <v>25</v>
      </c>
      <c r="F743" t="s">
        <v>26</v>
      </c>
      <c r="G743" t="s">
        <v>27</v>
      </c>
      <c r="H743" t="s">
        <v>28</v>
      </c>
      <c r="I743" t="s">
        <v>29</v>
      </c>
      <c r="J743">
        <v>1</v>
      </c>
      <c r="K743">
        <v>800</v>
      </c>
      <c r="L743">
        <v>15</v>
      </c>
      <c r="M743">
        <v>680</v>
      </c>
      <c r="N743">
        <v>560</v>
      </c>
      <c r="O743">
        <v>120</v>
      </c>
      <c r="P743" t="s">
        <v>30</v>
      </c>
      <c r="Q743" t="s">
        <v>30</v>
      </c>
      <c r="R743" t="s">
        <v>31</v>
      </c>
      <c r="S743" t="s">
        <v>46</v>
      </c>
      <c r="T743" t="s">
        <v>56</v>
      </c>
      <c r="U743" t="s">
        <v>34</v>
      </c>
      <c r="V743">
        <v>5</v>
      </c>
      <c r="W743">
        <f>Table1[[#This Row],[Profit]]/Table1[[#This Row],[Sales]]</f>
        <v>0.17647058823529413</v>
      </c>
    </row>
    <row r="744" spans="1:23" x14ac:dyDescent="0.25">
      <c r="A744" t="s">
        <v>1720</v>
      </c>
      <c r="B744" s="1">
        <v>45777</v>
      </c>
      <c r="C744" t="s">
        <v>473</v>
      </c>
      <c r="D744" t="s">
        <v>418</v>
      </c>
      <c r="E744" t="s">
        <v>67</v>
      </c>
      <c r="F744" t="s">
        <v>68</v>
      </c>
      <c r="G744" t="s">
        <v>27</v>
      </c>
      <c r="H744" t="s">
        <v>28</v>
      </c>
      <c r="I744" t="s">
        <v>69</v>
      </c>
      <c r="J744">
        <v>4</v>
      </c>
      <c r="K744">
        <v>1500</v>
      </c>
      <c r="L744">
        <v>5</v>
      </c>
      <c r="M744">
        <v>5700</v>
      </c>
      <c r="N744">
        <v>4200</v>
      </c>
      <c r="O744">
        <v>1500</v>
      </c>
      <c r="P744" t="s">
        <v>30</v>
      </c>
      <c r="Q744" t="s">
        <v>30</v>
      </c>
      <c r="R744" t="s">
        <v>31</v>
      </c>
      <c r="S744" t="s">
        <v>60</v>
      </c>
      <c r="T744" t="s">
        <v>56</v>
      </c>
      <c r="U744" t="s">
        <v>48</v>
      </c>
      <c r="V744">
        <v>4</v>
      </c>
      <c r="W744">
        <f>Table1[[#This Row],[Profit]]/Table1[[#This Row],[Sales]]</f>
        <v>0.26315789473684209</v>
      </c>
    </row>
    <row r="745" spans="1:23" x14ac:dyDescent="0.25">
      <c r="A745" t="s">
        <v>1721</v>
      </c>
      <c r="B745" s="1">
        <v>45861</v>
      </c>
      <c r="C745" t="s">
        <v>942</v>
      </c>
      <c r="D745" t="s">
        <v>1311</v>
      </c>
      <c r="E745" t="s">
        <v>38</v>
      </c>
      <c r="F745" t="s">
        <v>39</v>
      </c>
      <c r="G745" t="s">
        <v>40</v>
      </c>
      <c r="H745" t="s">
        <v>41</v>
      </c>
      <c r="I745" t="s">
        <v>42</v>
      </c>
      <c r="J745">
        <v>1</v>
      </c>
      <c r="K745">
        <v>4500</v>
      </c>
      <c r="L745">
        <v>10</v>
      </c>
      <c r="M745">
        <v>4050</v>
      </c>
      <c r="N745">
        <v>3150</v>
      </c>
      <c r="O745">
        <v>900</v>
      </c>
      <c r="P745" t="s">
        <v>95</v>
      </c>
      <c r="Q745" t="s">
        <v>96</v>
      </c>
      <c r="R745" t="s">
        <v>45</v>
      </c>
      <c r="S745" t="s">
        <v>32</v>
      </c>
      <c r="T745" t="s">
        <v>33</v>
      </c>
      <c r="U745" t="s">
        <v>48</v>
      </c>
      <c r="V745">
        <v>5</v>
      </c>
      <c r="W745">
        <f>Table1[[#This Row],[Profit]]/Table1[[#This Row],[Sales]]</f>
        <v>0.22222222222222221</v>
      </c>
    </row>
    <row r="746" spans="1:23" x14ac:dyDescent="0.25">
      <c r="A746" t="s">
        <v>1722</v>
      </c>
      <c r="B746" s="1">
        <v>45771</v>
      </c>
      <c r="C746" t="s">
        <v>866</v>
      </c>
      <c r="D746" t="s">
        <v>1036</v>
      </c>
      <c r="E746" t="s">
        <v>38</v>
      </c>
      <c r="F746" t="s">
        <v>39</v>
      </c>
      <c r="G746" t="s">
        <v>40</v>
      </c>
      <c r="H746" t="s">
        <v>41</v>
      </c>
      <c r="I746" t="s">
        <v>42</v>
      </c>
      <c r="J746">
        <v>3</v>
      </c>
      <c r="K746">
        <v>4500</v>
      </c>
      <c r="L746">
        <v>10</v>
      </c>
      <c r="M746">
        <v>12150</v>
      </c>
      <c r="N746">
        <v>9450</v>
      </c>
      <c r="O746">
        <v>2700</v>
      </c>
      <c r="P746" t="s">
        <v>43</v>
      </c>
      <c r="Q746" t="s">
        <v>44</v>
      </c>
      <c r="R746" t="s">
        <v>45</v>
      </c>
      <c r="S746" t="s">
        <v>46</v>
      </c>
      <c r="T746" t="s">
        <v>56</v>
      </c>
      <c r="U746" t="s">
        <v>48</v>
      </c>
      <c r="V746">
        <v>3</v>
      </c>
      <c r="W746">
        <f>Table1[[#This Row],[Profit]]/Table1[[#This Row],[Sales]]</f>
        <v>0.22222222222222221</v>
      </c>
    </row>
    <row r="747" spans="1:23" x14ac:dyDescent="0.25">
      <c r="A747" t="s">
        <v>1723</v>
      </c>
      <c r="B747" s="1">
        <v>45868</v>
      </c>
      <c r="C747" t="s">
        <v>1107</v>
      </c>
      <c r="D747" t="s">
        <v>743</v>
      </c>
      <c r="E747" t="s">
        <v>25</v>
      </c>
      <c r="F747" t="s">
        <v>26</v>
      </c>
      <c r="G747" t="s">
        <v>27</v>
      </c>
      <c r="H747" t="s">
        <v>28</v>
      </c>
      <c r="I747" t="s">
        <v>29</v>
      </c>
      <c r="J747">
        <v>5</v>
      </c>
      <c r="K747">
        <v>800</v>
      </c>
      <c r="L747">
        <v>15</v>
      </c>
      <c r="M747">
        <v>3400</v>
      </c>
      <c r="N747">
        <v>2800</v>
      </c>
      <c r="O747">
        <v>600</v>
      </c>
      <c r="P747" t="s">
        <v>30</v>
      </c>
      <c r="Q747" t="s">
        <v>30</v>
      </c>
      <c r="R747" t="s">
        <v>31</v>
      </c>
      <c r="S747" t="s">
        <v>46</v>
      </c>
      <c r="T747" t="s">
        <v>47</v>
      </c>
      <c r="U747" t="s">
        <v>34</v>
      </c>
      <c r="V747">
        <v>4</v>
      </c>
      <c r="W747">
        <f>Table1[[#This Row],[Profit]]/Table1[[#This Row],[Sales]]</f>
        <v>0.17647058823529413</v>
      </c>
    </row>
    <row r="748" spans="1:23" x14ac:dyDescent="0.25">
      <c r="A748" t="s">
        <v>1724</v>
      </c>
      <c r="B748" s="1">
        <v>45824</v>
      </c>
      <c r="C748" t="s">
        <v>1725</v>
      </c>
      <c r="D748" t="s">
        <v>1290</v>
      </c>
      <c r="E748" t="s">
        <v>38</v>
      </c>
      <c r="F748" t="s">
        <v>39</v>
      </c>
      <c r="G748" t="s">
        <v>40</v>
      </c>
      <c r="H748" t="s">
        <v>41</v>
      </c>
      <c r="I748" t="s">
        <v>42</v>
      </c>
      <c r="J748">
        <v>2</v>
      </c>
      <c r="K748">
        <v>4500</v>
      </c>
      <c r="L748">
        <v>10</v>
      </c>
      <c r="M748">
        <v>8100</v>
      </c>
      <c r="N748">
        <v>6300</v>
      </c>
      <c r="O748">
        <v>1800</v>
      </c>
      <c r="P748" t="s">
        <v>109</v>
      </c>
      <c r="Q748" t="s">
        <v>110</v>
      </c>
      <c r="R748" t="s">
        <v>111</v>
      </c>
      <c r="S748" t="s">
        <v>60</v>
      </c>
      <c r="T748" t="s">
        <v>56</v>
      </c>
      <c r="U748" t="s">
        <v>34</v>
      </c>
      <c r="V748">
        <v>1</v>
      </c>
      <c r="W748">
        <f>Table1[[#This Row],[Profit]]/Table1[[#This Row],[Sales]]</f>
        <v>0.22222222222222221</v>
      </c>
    </row>
    <row r="749" spans="1:23" x14ac:dyDescent="0.25">
      <c r="A749" t="s">
        <v>1726</v>
      </c>
      <c r="B749" s="1">
        <v>45874</v>
      </c>
      <c r="C749" t="s">
        <v>1727</v>
      </c>
      <c r="D749" t="s">
        <v>598</v>
      </c>
      <c r="E749" t="s">
        <v>73</v>
      </c>
      <c r="F749" t="s">
        <v>74</v>
      </c>
      <c r="G749" t="s">
        <v>27</v>
      </c>
      <c r="H749" t="s">
        <v>75</v>
      </c>
      <c r="I749" t="s">
        <v>76</v>
      </c>
      <c r="J749">
        <v>4</v>
      </c>
      <c r="K749">
        <v>3500</v>
      </c>
      <c r="L749">
        <v>0</v>
      </c>
      <c r="M749">
        <v>14000</v>
      </c>
      <c r="N749">
        <v>9800</v>
      </c>
      <c r="O749">
        <v>4200</v>
      </c>
      <c r="P749" t="s">
        <v>95</v>
      </c>
      <c r="Q749" t="s">
        <v>96</v>
      </c>
      <c r="R749" t="s">
        <v>45</v>
      </c>
      <c r="S749" t="s">
        <v>60</v>
      </c>
      <c r="T749" t="s">
        <v>56</v>
      </c>
      <c r="U749" t="s">
        <v>34</v>
      </c>
      <c r="V749">
        <v>2</v>
      </c>
      <c r="W749">
        <f>Table1[[#This Row],[Profit]]/Table1[[#This Row],[Sales]]</f>
        <v>0.3</v>
      </c>
    </row>
    <row r="750" spans="1:23" x14ac:dyDescent="0.25">
      <c r="A750" t="s">
        <v>1728</v>
      </c>
      <c r="B750" s="1">
        <v>45757</v>
      </c>
      <c r="C750" t="s">
        <v>1729</v>
      </c>
      <c r="D750" t="s">
        <v>1254</v>
      </c>
      <c r="E750" t="s">
        <v>38</v>
      </c>
      <c r="F750" t="s">
        <v>39</v>
      </c>
      <c r="G750" t="s">
        <v>40</v>
      </c>
      <c r="H750" t="s">
        <v>41</v>
      </c>
      <c r="I750" t="s">
        <v>42</v>
      </c>
      <c r="J750">
        <v>2</v>
      </c>
      <c r="K750">
        <v>4500</v>
      </c>
      <c r="L750">
        <v>15</v>
      </c>
      <c r="M750">
        <v>7650</v>
      </c>
      <c r="N750">
        <v>6300</v>
      </c>
      <c r="O750">
        <v>1350</v>
      </c>
      <c r="P750" t="s">
        <v>43</v>
      </c>
      <c r="Q750" t="s">
        <v>44</v>
      </c>
      <c r="R750" t="s">
        <v>45</v>
      </c>
      <c r="S750" t="s">
        <v>32</v>
      </c>
      <c r="T750" t="s">
        <v>33</v>
      </c>
      <c r="U750" t="s">
        <v>34</v>
      </c>
      <c r="V750">
        <v>3</v>
      </c>
      <c r="W750">
        <f>Table1[[#This Row],[Profit]]/Table1[[#This Row],[Sales]]</f>
        <v>0.17647058823529413</v>
      </c>
    </row>
    <row r="751" spans="1:23" x14ac:dyDescent="0.25">
      <c r="A751" t="s">
        <v>1730</v>
      </c>
      <c r="B751" s="1">
        <v>45860</v>
      </c>
      <c r="C751" t="s">
        <v>1731</v>
      </c>
      <c r="D751" t="s">
        <v>1139</v>
      </c>
      <c r="E751" t="s">
        <v>73</v>
      </c>
      <c r="F751" t="s">
        <v>74</v>
      </c>
      <c r="G751" t="s">
        <v>27</v>
      </c>
      <c r="H751" t="s">
        <v>75</v>
      </c>
      <c r="I751" t="s">
        <v>76</v>
      </c>
      <c r="J751">
        <v>4</v>
      </c>
      <c r="K751">
        <v>3500</v>
      </c>
      <c r="L751">
        <v>10</v>
      </c>
      <c r="M751">
        <v>12600</v>
      </c>
      <c r="N751">
        <v>9800</v>
      </c>
      <c r="O751">
        <v>2800</v>
      </c>
      <c r="P751" t="s">
        <v>109</v>
      </c>
      <c r="Q751" t="s">
        <v>110</v>
      </c>
      <c r="R751" t="s">
        <v>111</v>
      </c>
      <c r="S751" t="s">
        <v>32</v>
      </c>
      <c r="T751" t="s">
        <v>56</v>
      </c>
      <c r="U751" t="s">
        <v>34</v>
      </c>
      <c r="V751">
        <v>3</v>
      </c>
      <c r="W751">
        <f>Table1[[#This Row],[Profit]]/Table1[[#This Row],[Sales]]</f>
        <v>0.22222222222222221</v>
      </c>
    </row>
    <row r="752" spans="1:23" x14ac:dyDescent="0.25">
      <c r="A752" t="s">
        <v>1732</v>
      </c>
      <c r="B752" s="1">
        <v>45868</v>
      </c>
      <c r="C752" t="s">
        <v>1733</v>
      </c>
      <c r="D752" t="s">
        <v>1734</v>
      </c>
      <c r="E752" t="s">
        <v>38</v>
      </c>
      <c r="F752" t="s">
        <v>39</v>
      </c>
      <c r="G752" t="s">
        <v>40</v>
      </c>
      <c r="H752" t="s">
        <v>41</v>
      </c>
      <c r="I752" t="s">
        <v>42</v>
      </c>
      <c r="J752">
        <v>4</v>
      </c>
      <c r="K752">
        <v>4500</v>
      </c>
      <c r="L752">
        <v>5</v>
      </c>
      <c r="M752">
        <v>17100</v>
      </c>
      <c r="N752">
        <v>12600</v>
      </c>
      <c r="O752">
        <v>4500</v>
      </c>
      <c r="P752" t="s">
        <v>30</v>
      </c>
      <c r="Q752" t="s">
        <v>30</v>
      </c>
      <c r="R752" t="s">
        <v>31</v>
      </c>
      <c r="S752" t="s">
        <v>60</v>
      </c>
      <c r="T752" t="s">
        <v>56</v>
      </c>
      <c r="U752" t="s">
        <v>48</v>
      </c>
      <c r="V752">
        <v>4</v>
      </c>
      <c r="W752">
        <f>Table1[[#This Row],[Profit]]/Table1[[#This Row],[Sales]]</f>
        <v>0.26315789473684209</v>
      </c>
    </row>
    <row r="753" spans="1:23" x14ac:dyDescent="0.25">
      <c r="A753" t="s">
        <v>1735</v>
      </c>
      <c r="B753" s="1">
        <v>45787</v>
      </c>
      <c r="C753" t="s">
        <v>702</v>
      </c>
      <c r="D753" t="s">
        <v>223</v>
      </c>
      <c r="E753" t="s">
        <v>38</v>
      </c>
      <c r="F753" t="s">
        <v>39</v>
      </c>
      <c r="G753" t="s">
        <v>40</v>
      </c>
      <c r="H753" t="s">
        <v>41</v>
      </c>
      <c r="I753" t="s">
        <v>42</v>
      </c>
      <c r="J753">
        <v>2</v>
      </c>
      <c r="K753">
        <v>4500</v>
      </c>
      <c r="L753">
        <v>10</v>
      </c>
      <c r="M753">
        <v>8100</v>
      </c>
      <c r="N753">
        <v>6300</v>
      </c>
      <c r="O753">
        <v>1800</v>
      </c>
      <c r="P753" t="s">
        <v>43</v>
      </c>
      <c r="Q753" t="s">
        <v>44</v>
      </c>
      <c r="R753" t="s">
        <v>45</v>
      </c>
      <c r="S753" t="s">
        <v>46</v>
      </c>
      <c r="T753" t="s">
        <v>33</v>
      </c>
      <c r="U753" t="s">
        <v>34</v>
      </c>
      <c r="V753">
        <v>3</v>
      </c>
      <c r="W753">
        <f>Table1[[#This Row],[Profit]]/Table1[[#This Row],[Sales]]</f>
        <v>0.22222222222222221</v>
      </c>
    </row>
    <row r="754" spans="1:23" x14ac:dyDescent="0.25">
      <c r="A754" t="s">
        <v>1736</v>
      </c>
      <c r="B754" s="1">
        <v>45968</v>
      </c>
      <c r="C754" t="s">
        <v>134</v>
      </c>
      <c r="D754" t="s">
        <v>397</v>
      </c>
      <c r="E754" t="s">
        <v>25</v>
      </c>
      <c r="F754" t="s">
        <v>26</v>
      </c>
      <c r="G754" t="s">
        <v>27</v>
      </c>
      <c r="H754" t="s">
        <v>28</v>
      </c>
      <c r="I754" t="s">
        <v>29</v>
      </c>
      <c r="J754">
        <v>2</v>
      </c>
      <c r="K754">
        <v>800</v>
      </c>
      <c r="L754">
        <v>5</v>
      </c>
      <c r="M754">
        <v>1520</v>
      </c>
      <c r="N754">
        <v>1120</v>
      </c>
      <c r="O754">
        <v>400</v>
      </c>
      <c r="P754" t="s">
        <v>30</v>
      </c>
      <c r="Q754" t="s">
        <v>30</v>
      </c>
      <c r="R754" t="s">
        <v>31</v>
      </c>
      <c r="S754" t="s">
        <v>32</v>
      </c>
      <c r="T754" t="s">
        <v>56</v>
      </c>
      <c r="U754" t="s">
        <v>34</v>
      </c>
      <c r="V754">
        <v>3</v>
      </c>
      <c r="W754">
        <f>Table1[[#This Row],[Profit]]/Table1[[#This Row],[Sales]]</f>
        <v>0.26315789473684209</v>
      </c>
    </row>
    <row r="755" spans="1:23" x14ac:dyDescent="0.25">
      <c r="A755" t="s">
        <v>1737</v>
      </c>
      <c r="B755" s="1">
        <v>45849</v>
      </c>
      <c r="C755" t="s">
        <v>1738</v>
      </c>
      <c r="D755" t="s">
        <v>1208</v>
      </c>
      <c r="E755" t="s">
        <v>25</v>
      </c>
      <c r="F755" t="s">
        <v>26</v>
      </c>
      <c r="G755" t="s">
        <v>27</v>
      </c>
      <c r="H755" t="s">
        <v>28</v>
      </c>
      <c r="I755" t="s">
        <v>29</v>
      </c>
      <c r="J755">
        <v>2</v>
      </c>
      <c r="K755">
        <v>800</v>
      </c>
      <c r="L755">
        <v>15</v>
      </c>
      <c r="M755">
        <v>1360</v>
      </c>
      <c r="N755">
        <v>1120</v>
      </c>
      <c r="O755">
        <v>240</v>
      </c>
      <c r="P755" t="s">
        <v>109</v>
      </c>
      <c r="Q755" t="s">
        <v>110</v>
      </c>
      <c r="R755" t="s">
        <v>111</v>
      </c>
      <c r="S755" t="s">
        <v>46</v>
      </c>
      <c r="T755" t="s">
        <v>33</v>
      </c>
      <c r="U755" t="s">
        <v>34</v>
      </c>
      <c r="V755">
        <v>3</v>
      </c>
      <c r="W755">
        <f>Table1[[#This Row],[Profit]]/Table1[[#This Row],[Sales]]</f>
        <v>0.17647058823529413</v>
      </c>
    </row>
    <row r="756" spans="1:23" x14ac:dyDescent="0.25">
      <c r="A756" t="s">
        <v>1739</v>
      </c>
      <c r="B756" s="1">
        <v>46000</v>
      </c>
      <c r="C756" t="s">
        <v>1740</v>
      </c>
      <c r="D756" t="s">
        <v>1254</v>
      </c>
      <c r="E756" t="s">
        <v>73</v>
      </c>
      <c r="F756" t="s">
        <v>74</v>
      </c>
      <c r="G756" t="s">
        <v>27</v>
      </c>
      <c r="H756" t="s">
        <v>75</v>
      </c>
      <c r="I756" t="s">
        <v>76</v>
      </c>
      <c r="J756">
        <v>1</v>
      </c>
      <c r="K756">
        <v>3500</v>
      </c>
      <c r="L756">
        <v>15</v>
      </c>
      <c r="M756">
        <v>2975</v>
      </c>
      <c r="N756">
        <v>2450</v>
      </c>
      <c r="O756">
        <v>525</v>
      </c>
      <c r="P756" t="s">
        <v>30</v>
      </c>
      <c r="Q756" t="s">
        <v>30</v>
      </c>
      <c r="R756" t="s">
        <v>31</v>
      </c>
      <c r="S756" t="s">
        <v>60</v>
      </c>
      <c r="T756" t="s">
        <v>56</v>
      </c>
      <c r="U756" t="s">
        <v>48</v>
      </c>
      <c r="V756">
        <v>2</v>
      </c>
      <c r="W756">
        <f>Table1[[#This Row],[Profit]]/Table1[[#This Row],[Sales]]</f>
        <v>0.17647058823529413</v>
      </c>
    </row>
    <row r="757" spans="1:23" x14ac:dyDescent="0.25">
      <c r="A757" t="s">
        <v>1741</v>
      </c>
      <c r="B757" s="1">
        <v>45824</v>
      </c>
      <c r="C757" t="s">
        <v>409</v>
      </c>
      <c r="D757" t="s">
        <v>1392</v>
      </c>
      <c r="E757" t="s">
        <v>52</v>
      </c>
      <c r="F757" t="s">
        <v>53</v>
      </c>
      <c r="G757" t="s">
        <v>27</v>
      </c>
      <c r="H757" t="s">
        <v>54</v>
      </c>
      <c r="I757" t="s">
        <v>55</v>
      </c>
      <c r="J757">
        <v>2</v>
      </c>
      <c r="K757">
        <v>55000</v>
      </c>
      <c r="L757">
        <v>5</v>
      </c>
      <c r="M757">
        <v>104500</v>
      </c>
      <c r="N757">
        <v>77000</v>
      </c>
      <c r="O757">
        <v>27500</v>
      </c>
      <c r="P757" t="s">
        <v>109</v>
      </c>
      <c r="Q757" t="s">
        <v>110</v>
      </c>
      <c r="R757" t="s">
        <v>111</v>
      </c>
      <c r="S757" t="s">
        <v>46</v>
      </c>
      <c r="T757" t="s">
        <v>33</v>
      </c>
      <c r="U757" t="s">
        <v>48</v>
      </c>
      <c r="V757">
        <v>3</v>
      </c>
      <c r="W757">
        <f>Table1[[#This Row],[Profit]]/Table1[[#This Row],[Sales]]</f>
        <v>0.26315789473684209</v>
      </c>
    </row>
    <row r="758" spans="1:23" x14ac:dyDescent="0.25">
      <c r="A758" t="s">
        <v>1742</v>
      </c>
      <c r="B758" s="1">
        <v>45780</v>
      </c>
      <c r="C758" t="s">
        <v>1743</v>
      </c>
      <c r="D758" t="s">
        <v>1744</v>
      </c>
      <c r="E758" t="s">
        <v>25</v>
      </c>
      <c r="F758" t="s">
        <v>26</v>
      </c>
      <c r="G758" t="s">
        <v>27</v>
      </c>
      <c r="H758" t="s">
        <v>28</v>
      </c>
      <c r="I758" t="s">
        <v>29</v>
      </c>
      <c r="J758">
        <v>2</v>
      </c>
      <c r="K758">
        <v>800</v>
      </c>
      <c r="L758">
        <v>10</v>
      </c>
      <c r="M758">
        <v>1440</v>
      </c>
      <c r="N758">
        <v>1120</v>
      </c>
      <c r="O758">
        <v>320</v>
      </c>
      <c r="P758" t="s">
        <v>43</v>
      </c>
      <c r="Q758" t="s">
        <v>44</v>
      </c>
      <c r="R758" t="s">
        <v>45</v>
      </c>
      <c r="S758" t="s">
        <v>60</v>
      </c>
      <c r="T758" t="s">
        <v>47</v>
      </c>
      <c r="U758" t="s">
        <v>48</v>
      </c>
      <c r="V758">
        <v>5</v>
      </c>
      <c r="W758">
        <f>Table1[[#This Row],[Profit]]/Table1[[#This Row],[Sales]]</f>
        <v>0.22222222222222221</v>
      </c>
    </row>
    <row r="759" spans="1:23" x14ac:dyDescent="0.25">
      <c r="A759" t="s">
        <v>1745</v>
      </c>
      <c r="B759" s="1">
        <v>45817</v>
      </c>
      <c r="C759" t="s">
        <v>742</v>
      </c>
      <c r="D759" t="s">
        <v>304</v>
      </c>
      <c r="E759" t="s">
        <v>52</v>
      </c>
      <c r="F759" t="s">
        <v>53</v>
      </c>
      <c r="G759" t="s">
        <v>27</v>
      </c>
      <c r="H759" t="s">
        <v>54</v>
      </c>
      <c r="I759" t="s">
        <v>55</v>
      </c>
      <c r="J759">
        <v>1</v>
      </c>
      <c r="K759">
        <v>55000</v>
      </c>
      <c r="L759">
        <v>15</v>
      </c>
      <c r="M759">
        <v>46750</v>
      </c>
      <c r="N759">
        <v>38500</v>
      </c>
      <c r="O759">
        <v>8250</v>
      </c>
      <c r="P759" t="s">
        <v>109</v>
      </c>
      <c r="Q759" t="s">
        <v>110</v>
      </c>
      <c r="R759" t="s">
        <v>111</v>
      </c>
      <c r="S759" t="s">
        <v>60</v>
      </c>
      <c r="T759" t="s">
        <v>33</v>
      </c>
      <c r="U759" t="s">
        <v>34</v>
      </c>
      <c r="V759">
        <v>2</v>
      </c>
      <c r="W759">
        <f>Table1[[#This Row],[Profit]]/Table1[[#This Row],[Sales]]</f>
        <v>0.17647058823529413</v>
      </c>
    </row>
    <row r="760" spans="1:23" x14ac:dyDescent="0.25">
      <c r="A760" t="s">
        <v>1746</v>
      </c>
      <c r="B760" s="1">
        <v>45779</v>
      </c>
      <c r="C760" t="s">
        <v>1054</v>
      </c>
      <c r="D760" t="s">
        <v>291</v>
      </c>
      <c r="E760" t="s">
        <v>67</v>
      </c>
      <c r="F760" t="s">
        <v>68</v>
      </c>
      <c r="G760" t="s">
        <v>27</v>
      </c>
      <c r="H760" t="s">
        <v>28</v>
      </c>
      <c r="I760" t="s">
        <v>69</v>
      </c>
      <c r="J760">
        <v>5</v>
      </c>
      <c r="K760">
        <v>1500</v>
      </c>
      <c r="L760">
        <v>15</v>
      </c>
      <c r="M760">
        <v>6375</v>
      </c>
      <c r="N760">
        <v>5250</v>
      </c>
      <c r="O760">
        <v>1125</v>
      </c>
      <c r="P760" t="s">
        <v>43</v>
      </c>
      <c r="Q760" t="s">
        <v>44</v>
      </c>
      <c r="R760" t="s">
        <v>45</v>
      </c>
      <c r="S760" t="s">
        <v>60</v>
      </c>
      <c r="T760" t="s">
        <v>33</v>
      </c>
      <c r="U760" t="s">
        <v>48</v>
      </c>
      <c r="V760">
        <v>3</v>
      </c>
      <c r="W760">
        <f>Table1[[#This Row],[Profit]]/Table1[[#This Row],[Sales]]</f>
        <v>0.17647058823529413</v>
      </c>
    </row>
    <row r="761" spans="1:23" x14ac:dyDescent="0.25">
      <c r="A761" t="s">
        <v>1747</v>
      </c>
      <c r="B761" s="1">
        <v>45968</v>
      </c>
      <c r="C761" t="s">
        <v>894</v>
      </c>
      <c r="D761" t="s">
        <v>1748</v>
      </c>
      <c r="E761" t="s">
        <v>52</v>
      </c>
      <c r="F761" t="s">
        <v>53</v>
      </c>
      <c r="G761" t="s">
        <v>27</v>
      </c>
      <c r="H761" t="s">
        <v>54</v>
      </c>
      <c r="I761" t="s">
        <v>55</v>
      </c>
      <c r="J761">
        <v>4</v>
      </c>
      <c r="K761">
        <v>55000</v>
      </c>
      <c r="L761">
        <v>10</v>
      </c>
      <c r="M761">
        <v>198000</v>
      </c>
      <c r="N761">
        <v>154000</v>
      </c>
      <c r="O761">
        <v>44000</v>
      </c>
      <c r="P761" t="s">
        <v>30</v>
      </c>
      <c r="Q761" t="s">
        <v>30</v>
      </c>
      <c r="R761" t="s">
        <v>31</v>
      </c>
      <c r="S761" t="s">
        <v>46</v>
      </c>
      <c r="T761" t="s">
        <v>47</v>
      </c>
      <c r="U761" t="s">
        <v>48</v>
      </c>
      <c r="V761">
        <v>5</v>
      </c>
      <c r="W761">
        <f>Table1[[#This Row],[Profit]]/Table1[[#This Row],[Sales]]</f>
        <v>0.22222222222222221</v>
      </c>
    </row>
    <row r="762" spans="1:23" x14ac:dyDescent="0.25">
      <c r="A762" t="s">
        <v>1749</v>
      </c>
      <c r="B762" s="1">
        <v>46009</v>
      </c>
      <c r="C762" t="s">
        <v>1335</v>
      </c>
      <c r="D762" t="s">
        <v>1750</v>
      </c>
      <c r="E762" t="s">
        <v>25</v>
      </c>
      <c r="F762" t="s">
        <v>26</v>
      </c>
      <c r="G762" t="s">
        <v>27</v>
      </c>
      <c r="H762" t="s">
        <v>28</v>
      </c>
      <c r="I762" t="s">
        <v>29</v>
      </c>
      <c r="J762">
        <v>2</v>
      </c>
      <c r="K762">
        <v>800</v>
      </c>
      <c r="L762">
        <v>15</v>
      </c>
      <c r="M762">
        <v>1360</v>
      </c>
      <c r="N762">
        <v>1120</v>
      </c>
      <c r="O762">
        <v>240</v>
      </c>
      <c r="P762" t="s">
        <v>95</v>
      </c>
      <c r="Q762" t="s">
        <v>96</v>
      </c>
      <c r="R762" t="s">
        <v>45</v>
      </c>
      <c r="S762" t="s">
        <v>46</v>
      </c>
      <c r="T762" t="s">
        <v>56</v>
      </c>
      <c r="U762" t="s">
        <v>34</v>
      </c>
      <c r="V762">
        <v>5</v>
      </c>
      <c r="W762">
        <f>Table1[[#This Row],[Profit]]/Table1[[#This Row],[Sales]]</f>
        <v>0.17647058823529413</v>
      </c>
    </row>
    <row r="763" spans="1:23" x14ac:dyDescent="0.25">
      <c r="A763" t="s">
        <v>1751</v>
      </c>
      <c r="B763" s="1">
        <v>45994</v>
      </c>
      <c r="C763" t="s">
        <v>1752</v>
      </c>
      <c r="D763" t="s">
        <v>1360</v>
      </c>
      <c r="E763" t="s">
        <v>38</v>
      </c>
      <c r="F763" t="s">
        <v>39</v>
      </c>
      <c r="G763" t="s">
        <v>40</v>
      </c>
      <c r="H763" t="s">
        <v>41</v>
      </c>
      <c r="I763" t="s">
        <v>42</v>
      </c>
      <c r="J763">
        <v>5</v>
      </c>
      <c r="K763">
        <v>4500</v>
      </c>
      <c r="L763">
        <v>10</v>
      </c>
      <c r="M763">
        <v>20250</v>
      </c>
      <c r="N763">
        <v>15750</v>
      </c>
      <c r="O763">
        <v>4500.0000000000018</v>
      </c>
      <c r="P763" t="s">
        <v>30</v>
      </c>
      <c r="Q763" t="s">
        <v>30</v>
      </c>
      <c r="R763" t="s">
        <v>31</v>
      </c>
      <c r="S763" t="s">
        <v>60</v>
      </c>
      <c r="T763" t="s">
        <v>47</v>
      </c>
      <c r="U763" t="s">
        <v>34</v>
      </c>
      <c r="V763">
        <v>1</v>
      </c>
      <c r="W763">
        <f>Table1[[#This Row],[Profit]]/Table1[[#This Row],[Sales]]</f>
        <v>0.22222222222222232</v>
      </c>
    </row>
    <row r="764" spans="1:23" x14ac:dyDescent="0.25">
      <c r="A764" t="s">
        <v>1753</v>
      </c>
      <c r="B764" s="1">
        <v>45837</v>
      </c>
      <c r="C764" t="s">
        <v>1634</v>
      </c>
      <c r="D764" t="s">
        <v>883</v>
      </c>
      <c r="E764" t="s">
        <v>52</v>
      </c>
      <c r="F764" t="s">
        <v>53</v>
      </c>
      <c r="G764" t="s">
        <v>27</v>
      </c>
      <c r="H764" t="s">
        <v>54</v>
      </c>
      <c r="I764" t="s">
        <v>55</v>
      </c>
      <c r="J764">
        <v>3</v>
      </c>
      <c r="K764">
        <v>55000</v>
      </c>
      <c r="L764">
        <v>10</v>
      </c>
      <c r="M764">
        <v>148500</v>
      </c>
      <c r="N764">
        <v>115500</v>
      </c>
      <c r="O764">
        <v>33000.000000000007</v>
      </c>
      <c r="P764" t="s">
        <v>95</v>
      </c>
      <c r="Q764" t="s">
        <v>96</v>
      </c>
      <c r="R764" t="s">
        <v>45</v>
      </c>
      <c r="S764" t="s">
        <v>46</v>
      </c>
      <c r="T764" t="s">
        <v>33</v>
      </c>
      <c r="U764" t="s">
        <v>48</v>
      </c>
      <c r="V764">
        <v>4</v>
      </c>
      <c r="W764">
        <f>Table1[[#This Row],[Profit]]/Table1[[#This Row],[Sales]]</f>
        <v>0.22222222222222227</v>
      </c>
    </row>
    <row r="765" spans="1:23" x14ac:dyDescent="0.25">
      <c r="A765" t="s">
        <v>1754</v>
      </c>
      <c r="B765" s="1">
        <v>45943</v>
      </c>
      <c r="C765" t="s">
        <v>611</v>
      </c>
      <c r="D765" t="s">
        <v>1061</v>
      </c>
      <c r="E765" t="s">
        <v>52</v>
      </c>
      <c r="F765" t="s">
        <v>53</v>
      </c>
      <c r="G765" t="s">
        <v>27</v>
      </c>
      <c r="H765" t="s">
        <v>54</v>
      </c>
      <c r="I765" t="s">
        <v>55</v>
      </c>
      <c r="J765">
        <v>1</v>
      </c>
      <c r="K765">
        <v>55000</v>
      </c>
      <c r="L765">
        <v>0</v>
      </c>
      <c r="M765">
        <v>55000</v>
      </c>
      <c r="N765">
        <v>38500</v>
      </c>
      <c r="O765">
        <v>16500</v>
      </c>
      <c r="P765" t="s">
        <v>43</v>
      </c>
      <c r="Q765" t="s">
        <v>44</v>
      </c>
      <c r="R765" t="s">
        <v>45</v>
      </c>
      <c r="S765" t="s">
        <v>32</v>
      </c>
      <c r="T765" t="s">
        <v>47</v>
      </c>
      <c r="U765" t="s">
        <v>34</v>
      </c>
      <c r="V765">
        <v>5</v>
      </c>
      <c r="W765">
        <f>Table1[[#This Row],[Profit]]/Table1[[#This Row],[Sales]]</f>
        <v>0.3</v>
      </c>
    </row>
    <row r="766" spans="1:23" x14ac:dyDescent="0.25">
      <c r="A766" t="s">
        <v>1755</v>
      </c>
      <c r="B766" s="1">
        <v>45777</v>
      </c>
      <c r="C766" t="s">
        <v>1605</v>
      </c>
      <c r="D766" t="s">
        <v>1756</v>
      </c>
      <c r="E766" t="s">
        <v>38</v>
      </c>
      <c r="F766" t="s">
        <v>39</v>
      </c>
      <c r="G766" t="s">
        <v>40</v>
      </c>
      <c r="H766" t="s">
        <v>41</v>
      </c>
      <c r="I766" t="s">
        <v>42</v>
      </c>
      <c r="J766">
        <v>4</v>
      </c>
      <c r="K766">
        <v>4500</v>
      </c>
      <c r="L766">
        <v>0</v>
      </c>
      <c r="M766">
        <v>18000</v>
      </c>
      <c r="N766">
        <v>12600</v>
      </c>
      <c r="O766">
        <v>5400</v>
      </c>
      <c r="P766" t="s">
        <v>95</v>
      </c>
      <c r="Q766" t="s">
        <v>96</v>
      </c>
      <c r="R766" t="s">
        <v>45</v>
      </c>
      <c r="S766" t="s">
        <v>46</v>
      </c>
      <c r="T766" t="s">
        <v>33</v>
      </c>
      <c r="U766" t="s">
        <v>34</v>
      </c>
      <c r="V766">
        <v>4</v>
      </c>
      <c r="W766">
        <f>Table1[[#This Row],[Profit]]/Table1[[#This Row],[Sales]]</f>
        <v>0.3</v>
      </c>
    </row>
    <row r="767" spans="1:23" x14ac:dyDescent="0.25">
      <c r="A767" t="s">
        <v>1757</v>
      </c>
      <c r="B767" s="1">
        <v>45954</v>
      </c>
      <c r="C767" t="s">
        <v>1223</v>
      </c>
      <c r="D767" t="s">
        <v>547</v>
      </c>
      <c r="E767" t="s">
        <v>67</v>
      </c>
      <c r="F767" t="s">
        <v>68</v>
      </c>
      <c r="G767" t="s">
        <v>27</v>
      </c>
      <c r="H767" t="s">
        <v>28</v>
      </c>
      <c r="I767" t="s">
        <v>69</v>
      </c>
      <c r="J767">
        <v>3</v>
      </c>
      <c r="K767">
        <v>1500</v>
      </c>
      <c r="L767">
        <v>10</v>
      </c>
      <c r="M767">
        <v>4050</v>
      </c>
      <c r="N767">
        <v>3150</v>
      </c>
      <c r="O767">
        <v>900</v>
      </c>
      <c r="P767" t="s">
        <v>109</v>
      </c>
      <c r="Q767" t="s">
        <v>110</v>
      </c>
      <c r="R767" t="s">
        <v>111</v>
      </c>
      <c r="S767" t="s">
        <v>60</v>
      </c>
      <c r="T767" t="s">
        <v>56</v>
      </c>
      <c r="U767" t="s">
        <v>48</v>
      </c>
      <c r="V767">
        <v>4</v>
      </c>
      <c r="W767">
        <f>Table1[[#This Row],[Profit]]/Table1[[#This Row],[Sales]]</f>
        <v>0.22222222222222221</v>
      </c>
    </row>
    <row r="768" spans="1:23" x14ac:dyDescent="0.25">
      <c r="A768" t="s">
        <v>1758</v>
      </c>
      <c r="B768" s="1">
        <v>45927</v>
      </c>
      <c r="C768" t="s">
        <v>728</v>
      </c>
      <c r="D768" t="s">
        <v>823</v>
      </c>
      <c r="E768" t="s">
        <v>38</v>
      </c>
      <c r="F768" t="s">
        <v>39</v>
      </c>
      <c r="G768" t="s">
        <v>40</v>
      </c>
      <c r="H768" t="s">
        <v>41</v>
      </c>
      <c r="I768" t="s">
        <v>42</v>
      </c>
      <c r="J768">
        <v>5</v>
      </c>
      <c r="K768">
        <v>4500</v>
      </c>
      <c r="L768">
        <v>10</v>
      </c>
      <c r="M768">
        <v>20250</v>
      </c>
      <c r="N768">
        <v>15750</v>
      </c>
      <c r="O768">
        <v>4500.0000000000018</v>
      </c>
      <c r="P768" t="s">
        <v>109</v>
      </c>
      <c r="Q768" t="s">
        <v>110</v>
      </c>
      <c r="R768" t="s">
        <v>111</v>
      </c>
      <c r="S768" t="s">
        <v>32</v>
      </c>
      <c r="T768" t="s">
        <v>56</v>
      </c>
      <c r="U768" t="s">
        <v>48</v>
      </c>
      <c r="V768">
        <v>5</v>
      </c>
      <c r="W768">
        <f>Table1[[#This Row],[Profit]]/Table1[[#This Row],[Sales]]</f>
        <v>0.22222222222222232</v>
      </c>
    </row>
    <row r="769" spans="1:23" x14ac:dyDescent="0.25">
      <c r="A769" t="s">
        <v>1759</v>
      </c>
      <c r="B769" s="1">
        <v>46009</v>
      </c>
      <c r="C769" t="s">
        <v>402</v>
      </c>
      <c r="D769" t="s">
        <v>310</v>
      </c>
      <c r="E769" t="s">
        <v>25</v>
      </c>
      <c r="F769" t="s">
        <v>26</v>
      </c>
      <c r="G769" t="s">
        <v>27</v>
      </c>
      <c r="H769" t="s">
        <v>28</v>
      </c>
      <c r="I769" t="s">
        <v>29</v>
      </c>
      <c r="J769">
        <v>5</v>
      </c>
      <c r="K769">
        <v>800</v>
      </c>
      <c r="L769">
        <v>15</v>
      </c>
      <c r="M769">
        <v>3400</v>
      </c>
      <c r="N769">
        <v>2800</v>
      </c>
      <c r="O769">
        <v>600</v>
      </c>
      <c r="P769" t="s">
        <v>95</v>
      </c>
      <c r="Q769" t="s">
        <v>96</v>
      </c>
      <c r="R769" t="s">
        <v>45</v>
      </c>
      <c r="S769" t="s">
        <v>46</v>
      </c>
      <c r="T769" t="s">
        <v>56</v>
      </c>
      <c r="U769" t="s">
        <v>48</v>
      </c>
      <c r="V769">
        <v>5</v>
      </c>
      <c r="W769">
        <f>Table1[[#This Row],[Profit]]/Table1[[#This Row],[Sales]]</f>
        <v>0.17647058823529413</v>
      </c>
    </row>
    <row r="770" spans="1:23" x14ac:dyDescent="0.25">
      <c r="A770" t="s">
        <v>1760</v>
      </c>
      <c r="B770" s="1">
        <v>45806</v>
      </c>
      <c r="C770" t="s">
        <v>1761</v>
      </c>
      <c r="D770" t="s">
        <v>249</v>
      </c>
      <c r="E770" t="s">
        <v>25</v>
      </c>
      <c r="F770" t="s">
        <v>26</v>
      </c>
      <c r="G770" t="s">
        <v>27</v>
      </c>
      <c r="H770" t="s">
        <v>28</v>
      </c>
      <c r="I770" t="s">
        <v>29</v>
      </c>
      <c r="J770">
        <v>1</v>
      </c>
      <c r="K770">
        <v>800</v>
      </c>
      <c r="L770">
        <v>15</v>
      </c>
      <c r="M770">
        <v>680</v>
      </c>
      <c r="N770">
        <v>560</v>
      </c>
      <c r="O770">
        <v>120</v>
      </c>
      <c r="P770" t="s">
        <v>95</v>
      </c>
      <c r="Q770" t="s">
        <v>96</v>
      </c>
      <c r="R770" t="s">
        <v>45</v>
      </c>
      <c r="S770" t="s">
        <v>32</v>
      </c>
      <c r="T770" t="s">
        <v>56</v>
      </c>
      <c r="U770" t="s">
        <v>34</v>
      </c>
      <c r="V770">
        <v>2</v>
      </c>
      <c r="W770">
        <f>Table1[[#This Row],[Profit]]/Table1[[#This Row],[Sales]]</f>
        <v>0.17647058823529413</v>
      </c>
    </row>
    <row r="771" spans="1:23" x14ac:dyDescent="0.25">
      <c r="A771" t="s">
        <v>1762</v>
      </c>
      <c r="B771" s="1">
        <v>45659</v>
      </c>
      <c r="C771" t="s">
        <v>1725</v>
      </c>
      <c r="D771" t="s">
        <v>461</v>
      </c>
      <c r="E771" t="s">
        <v>52</v>
      </c>
      <c r="F771" t="s">
        <v>53</v>
      </c>
      <c r="G771" t="s">
        <v>27</v>
      </c>
      <c r="H771" t="s">
        <v>54</v>
      </c>
      <c r="I771" t="s">
        <v>55</v>
      </c>
      <c r="J771">
        <v>5</v>
      </c>
      <c r="K771">
        <v>55000</v>
      </c>
      <c r="L771">
        <v>0</v>
      </c>
      <c r="M771">
        <v>275000</v>
      </c>
      <c r="N771">
        <v>192500</v>
      </c>
      <c r="O771">
        <v>82500</v>
      </c>
      <c r="P771" t="s">
        <v>95</v>
      </c>
      <c r="Q771" t="s">
        <v>96</v>
      </c>
      <c r="R771" t="s">
        <v>45</v>
      </c>
      <c r="S771" t="s">
        <v>32</v>
      </c>
      <c r="T771" t="s">
        <v>33</v>
      </c>
      <c r="U771" t="s">
        <v>48</v>
      </c>
      <c r="V771">
        <v>3</v>
      </c>
      <c r="W771">
        <f>Table1[[#This Row],[Profit]]/Table1[[#This Row],[Sales]]</f>
        <v>0.3</v>
      </c>
    </row>
    <row r="772" spans="1:23" x14ac:dyDescent="0.25">
      <c r="A772" t="s">
        <v>1763</v>
      </c>
      <c r="B772" s="1">
        <v>45704</v>
      </c>
      <c r="C772" t="s">
        <v>1764</v>
      </c>
      <c r="D772" t="s">
        <v>418</v>
      </c>
      <c r="E772" t="s">
        <v>38</v>
      </c>
      <c r="F772" t="s">
        <v>39</v>
      </c>
      <c r="G772" t="s">
        <v>40</v>
      </c>
      <c r="H772" t="s">
        <v>41</v>
      </c>
      <c r="I772" t="s">
        <v>42</v>
      </c>
      <c r="J772">
        <v>5</v>
      </c>
      <c r="K772">
        <v>4500</v>
      </c>
      <c r="L772">
        <v>15</v>
      </c>
      <c r="M772">
        <v>19125</v>
      </c>
      <c r="N772">
        <v>15750</v>
      </c>
      <c r="O772">
        <v>3375.0000000000018</v>
      </c>
      <c r="P772" t="s">
        <v>109</v>
      </c>
      <c r="Q772" t="s">
        <v>110</v>
      </c>
      <c r="R772" t="s">
        <v>111</v>
      </c>
      <c r="S772" t="s">
        <v>32</v>
      </c>
      <c r="T772" t="s">
        <v>56</v>
      </c>
      <c r="U772" t="s">
        <v>34</v>
      </c>
      <c r="V772">
        <v>4</v>
      </c>
      <c r="W772">
        <f>Table1[[#This Row],[Profit]]/Table1[[#This Row],[Sales]]</f>
        <v>0.17647058823529421</v>
      </c>
    </row>
    <row r="773" spans="1:23" x14ac:dyDescent="0.25">
      <c r="A773" t="s">
        <v>1765</v>
      </c>
      <c r="B773" s="1">
        <v>45969</v>
      </c>
      <c r="C773" t="s">
        <v>897</v>
      </c>
      <c r="D773" t="s">
        <v>1407</v>
      </c>
      <c r="E773" t="s">
        <v>67</v>
      </c>
      <c r="F773" t="s">
        <v>68</v>
      </c>
      <c r="G773" t="s">
        <v>27</v>
      </c>
      <c r="H773" t="s">
        <v>28</v>
      </c>
      <c r="I773" t="s">
        <v>69</v>
      </c>
      <c r="J773">
        <v>3</v>
      </c>
      <c r="K773">
        <v>1500</v>
      </c>
      <c r="L773">
        <v>5</v>
      </c>
      <c r="M773">
        <v>4275</v>
      </c>
      <c r="N773">
        <v>3150</v>
      </c>
      <c r="O773">
        <v>1125</v>
      </c>
      <c r="P773" t="s">
        <v>43</v>
      </c>
      <c r="Q773" t="s">
        <v>44</v>
      </c>
      <c r="R773" t="s">
        <v>45</v>
      </c>
      <c r="S773" t="s">
        <v>46</v>
      </c>
      <c r="T773" t="s">
        <v>56</v>
      </c>
      <c r="U773" t="s">
        <v>48</v>
      </c>
      <c r="V773">
        <v>1</v>
      </c>
      <c r="W773">
        <f>Table1[[#This Row],[Profit]]/Table1[[#This Row],[Sales]]</f>
        <v>0.26315789473684209</v>
      </c>
    </row>
    <row r="774" spans="1:23" x14ac:dyDescent="0.25">
      <c r="A774" t="s">
        <v>1766</v>
      </c>
      <c r="B774" s="1">
        <v>45701</v>
      </c>
      <c r="C774" t="s">
        <v>1644</v>
      </c>
      <c r="D774" t="s">
        <v>333</v>
      </c>
      <c r="E774" t="s">
        <v>38</v>
      </c>
      <c r="F774" t="s">
        <v>39</v>
      </c>
      <c r="G774" t="s">
        <v>40</v>
      </c>
      <c r="H774" t="s">
        <v>41</v>
      </c>
      <c r="I774" t="s">
        <v>42</v>
      </c>
      <c r="J774">
        <v>3</v>
      </c>
      <c r="K774">
        <v>4500</v>
      </c>
      <c r="L774">
        <v>0</v>
      </c>
      <c r="M774">
        <v>13500</v>
      </c>
      <c r="N774">
        <v>9450</v>
      </c>
      <c r="O774">
        <v>4050</v>
      </c>
      <c r="P774" t="s">
        <v>109</v>
      </c>
      <c r="Q774" t="s">
        <v>110</v>
      </c>
      <c r="R774" t="s">
        <v>111</v>
      </c>
      <c r="S774" t="s">
        <v>32</v>
      </c>
      <c r="T774" t="s">
        <v>56</v>
      </c>
      <c r="U774" t="s">
        <v>34</v>
      </c>
      <c r="V774">
        <v>3</v>
      </c>
      <c r="W774">
        <f>Table1[[#This Row],[Profit]]/Table1[[#This Row],[Sales]]</f>
        <v>0.3</v>
      </c>
    </row>
    <row r="775" spans="1:23" x14ac:dyDescent="0.25">
      <c r="A775" t="s">
        <v>1767</v>
      </c>
      <c r="B775" s="1">
        <v>45783</v>
      </c>
      <c r="C775" t="s">
        <v>635</v>
      </c>
      <c r="D775" t="s">
        <v>1768</v>
      </c>
      <c r="E775" t="s">
        <v>73</v>
      </c>
      <c r="F775" t="s">
        <v>74</v>
      </c>
      <c r="G775" t="s">
        <v>27</v>
      </c>
      <c r="H775" t="s">
        <v>75</v>
      </c>
      <c r="I775" t="s">
        <v>76</v>
      </c>
      <c r="J775">
        <v>5</v>
      </c>
      <c r="K775">
        <v>3500</v>
      </c>
      <c r="L775">
        <v>0</v>
      </c>
      <c r="M775">
        <v>17500</v>
      </c>
      <c r="N775">
        <v>12250</v>
      </c>
      <c r="O775">
        <v>5250</v>
      </c>
      <c r="P775" t="s">
        <v>30</v>
      </c>
      <c r="Q775" t="s">
        <v>30</v>
      </c>
      <c r="R775" t="s">
        <v>31</v>
      </c>
      <c r="S775" t="s">
        <v>46</v>
      </c>
      <c r="T775" t="s">
        <v>33</v>
      </c>
      <c r="U775" t="s">
        <v>48</v>
      </c>
      <c r="V775">
        <v>5</v>
      </c>
      <c r="W775">
        <f>Table1[[#This Row],[Profit]]/Table1[[#This Row],[Sales]]</f>
        <v>0.3</v>
      </c>
    </row>
    <row r="776" spans="1:23" x14ac:dyDescent="0.25">
      <c r="A776" t="s">
        <v>1769</v>
      </c>
      <c r="B776" s="1">
        <v>45850</v>
      </c>
      <c r="C776" t="s">
        <v>897</v>
      </c>
      <c r="D776" t="s">
        <v>740</v>
      </c>
      <c r="E776" t="s">
        <v>38</v>
      </c>
      <c r="F776" t="s">
        <v>39</v>
      </c>
      <c r="G776" t="s">
        <v>40</v>
      </c>
      <c r="H776" t="s">
        <v>41</v>
      </c>
      <c r="I776" t="s">
        <v>42</v>
      </c>
      <c r="J776">
        <v>1</v>
      </c>
      <c r="K776">
        <v>4500</v>
      </c>
      <c r="L776">
        <v>5</v>
      </c>
      <c r="M776">
        <v>4275</v>
      </c>
      <c r="N776">
        <v>3150</v>
      </c>
      <c r="O776">
        <v>1125</v>
      </c>
      <c r="P776" t="s">
        <v>109</v>
      </c>
      <c r="Q776" t="s">
        <v>110</v>
      </c>
      <c r="R776" t="s">
        <v>111</v>
      </c>
      <c r="S776" t="s">
        <v>32</v>
      </c>
      <c r="T776" t="s">
        <v>56</v>
      </c>
      <c r="U776" t="s">
        <v>48</v>
      </c>
      <c r="V776">
        <v>1</v>
      </c>
      <c r="W776">
        <f>Table1[[#This Row],[Profit]]/Table1[[#This Row],[Sales]]</f>
        <v>0.26315789473684209</v>
      </c>
    </row>
    <row r="777" spans="1:23" x14ac:dyDescent="0.25">
      <c r="A777" t="s">
        <v>1770</v>
      </c>
      <c r="B777" s="1">
        <v>45726</v>
      </c>
      <c r="C777" t="s">
        <v>1771</v>
      </c>
      <c r="D777" t="s">
        <v>1772</v>
      </c>
      <c r="E777" t="s">
        <v>52</v>
      </c>
      <c r="F777" t="s">
        <v>53</v>
      </c>
      <c r="G777" t="s">
        <v>27</v>
      </c>
      <c r="H777" t="s">
        <v>54</v>
      </c>
      <c r="I777" t="s">
        <v>55</v>
      </c>
      <c r="J777">
        <v>3</v>
      </c>
      <c r="K777">
        <v>55000</v>
      </c>
      <c r="L777">
        <v>5</v>
      </c>
      <c r="M777">
        <v>156750</v>
      </c>
      <c r="N777">
        <v>115500</v>
      </c>
      <c r="O777">
        <v>41250.000000000007</v>
      </c>
      <c r="P777" t="s">
        <v>43</v>
      </c>
      <c r="Q777" t="s">
        <v>44</v>
      </c>
      <c r="R777" t="s">
        <v>45</v>
      </c>
      <c r="S777" t="s">
        <v>60</v>
      </c>
      <c r="T777" t="s">
        <v>56</v>
      </c>
      <c r="U777" t="s">
        <v>48</v>
      </c>
      <c r="V777">
        <v>1</v>
      </c>
      <c r="W777">
        <f>Table1[[#This Row],[Profit]]/Table1[[#This Row],[Sales]]</f>
        <v>0.26315789473684215</v>
      </c>
    </row>
    <row r="778" spans="1:23" x14ac:dyDescent="0.25">
      <c r="A778" t="s">
        <v>1773</v>
      </c>
      <c r="B778" s="1">
        <v>45838</v>
      </c>
      <c r="C778" t="s">
        <v>597</v>
      </c>
      <c r="D778" t="s">
        <v>586</v>
      </c>
      <c r="E778" t="s">
        <v>73</v>
      </c>
      <c r="F778" t="s">
        <v>74</v>
      </c>
      <c r="G778" t="s">
        <v>27</v>
      </c>
      <c r="H778" t="s">
        <v>75</v>
      </c>
      <c r="I778" t="s">
        <v>76</v>
      </c>
      <c r="J778">
        <v>5</v>
      </c>
      <c r="K778">
        <v>3500</v>
      </c>
      <c r="L778">
        <v>10</v>
      </c>
      <c r="M778">
        <v>15750</v>
      </c>
      <c r="N778">
        <v>12250</v>
      </c>
      <c r="O778">
        <v>3500</v>
      </c>
      <c r="P778" t="s">
        <v>30</v>
      </c>
      <c r="Q778" t="s">
        <v>30</v>
      </c>
      <c r="R778" t="s">
        <v>31</v>
      </c>
      <c r="S778" t="s">
        <v>32</v>
      </c>
      <c r="T778" t="s">
        <v>33</v>
      </c>
      <c r="U778" t="s">
        <v>48</v>
      </c>
      <c r="V778">
        <v>2</v>
      </c>
      <c r="W778">
        <f>Table1[[#This Row],[Profit]]/Table1[[#This Row],[Sales]]</f>
        <v>0.22222222222222221</v>
      </c>
    </row>
    <row r="779" spans="1:23" x14ac:dyDescent="0.25">
      <c r="A779" t="s">
        <v>1774</v>
      </c>
      <c r="B779" s="1">
        <v>45957</v>
      </c>
      <c r="C779" t="s">
        <v>225</v>
      </c>
      <c r="D779" t="s">
        <v>1018</v>
      </c>
      <c r="E779" t="s">
        <v>25</v>
      </c>
      <c r="F779" t="s">
        <v>26</v>
      </c>
      <c r="G779" t="s">
        <v>27</v>
      </c>
      <c r="H779" t="s">
        <v>28</v>
      </c>
      <c r="I779" t="s">
        <v>29</v>
      </c>
      <c r="J779">
        <v>4</v>
      </c>
      <c r="K779">
        <v>800</v>
      </c>
      <c r="L779">
        <v>15</v>
      </c>
      <c r="M779">
        <v>2720</v>
      </c>
      <c r="N779">
        <v>2240</v>
      </c>
      <c r="O779">
        <v>480</v>
      </c>
      <c r="P779" t="s">
        <v>95</v>
      </c>
      <c r="Q779" t="s">
        <v>96</v>
      </c>
      <c r="R779" t="s">
        <v>45</v>
      </c>
      <c r="S779" t="s">
        <v>46</v>
      </c>
      <c r="T779" t="s">
        <v>47</v>
      </c>
      <c r="U779" t="s">
        <v>48</v>
      </c>
      <c r="V779">
        <v>2</v>
      </c>
      <c r="W779">
        <f>Table1[[#This Row],[Profit]]/Table1[[#This Row],[Sales]]</f>
        <v>0.17647058823529413</v>
      </c>
    </row>
    <row r="780" spans="1:23" x14ac:dyDescent="0.25">
      <c r="A780" t="s">
        <v>1775</v>
      </c>
      <c r="B780" s="1">
        <v>45834</v>
      </c>
      <c r="C780" t="s">
        <v>1508</v>
      </c>
      <c r="D780" t="s">
        <v>1657</v>
      </c>
      <c r="E780" t="s">
        <v>38</v>
      </c>
      <c r="F780" t="s">
        <v>39</v>
      </c>
      <c r="G780" t="s">
        <v>40</v>
      </c>
      <c r="H780" t="s">
        <v>41</v>
      </c>
      <c r="I780" t="s">
        <v>42</v>
      </c>
      <c r="J780">
        <v>1</v>
      </c>
      <c r="K780">
        <v>4500</v>
      </c>
      <c r="L780">
        <v>0</v>
      </c>
      <c r="M780">
        <v>4500</v>
      </c>
      <c r="N780">
        <v>3150</v>
      </c>
      <c r="O780">
        <v>1350</v>
      </c>
      <c r="P780" t="s">
        <v>109</v>
      </c>
      <c r="Q780" t="s">
        <v>110</v>
      </c>
      <c r="R780" t="s">
        <v>111</v>
      </c>
      <c r="S780" t="s">
        <v>46</v>
      </c>
      <c r="T780" t="s">
        <v>56</v>
      </c>
      <c r="U780" t="s">
        <v>48</v>
      </c>
      <c r="V780">
        <v>3</v>
      </c>
      <c r="W780">
        <f>Table1[[#This Row],[Profit]]/Table1[[#This Row],[Sales]]</f>
        <v>0.3</v>
      </c>
    </row>
    <row r="781" spans="1:23" x14ac:dyDescent="0.25">
      <c r="A781" t="s">
        <v>1776</v>
      </c>
      <c r="B781" s="1">
        <v>45985</v>
      </c>
      <c r="C781" t="s">
        <v>1777</v>
      </c>
      <c r="D781" t="s">
        <v>1111</v>
      </c>
      <c r="E781" t="s">
        <v>52</v>
      </c>
      <c r="F781" t="s">
        <v>53</v>
      </c>
      <c r="G781" t="s">
        <v>27</v>
      </c>
      <c r="H781" t="s">
        <v>54</v>
      </c>
      <c r="I781" t="s">
        <v>55</v>
      </c>
      <c r="J781">
        <v>5</v>
      </c>
      <c r="K781">
        <v>55000</v>
      </c>
      <c r="L781">
        <v>15</v>
      </c>
      <c r="M781">
        <v>233750</v>
      </c>
      <c r="N781">
        <v>192500</v>
      </c>
      <c r="O781">
        <v>41250</v>
      </c>
      <c r="P781" t="s">
        <v>30</v>
      </c>
      <c r="Q781" t="s">
        <v>30</v>
      </c>
      <c r="R781" t="s">
        <v>31</v>
      </c>
      <c r="S781" t="s">
        <v>32</v>
      </c>
      <c r="T781" t="s">
        <v>47</v>
      </c>
      <c r="U781" t="s">
        <v>34</v>
      </c>
      <c r="V781">
        <v>2</v>
      </c>
      <c r="W781">
        <f>Table1[[#This Row],[Profit]]/Table1[[#This Row],[Sales]]</f>
        <v>0.17647058823529413</v>
      </c>
    </row>
    <row r="782" spans="1:23" x14ac:dyDescent="0.25">
      <c r="A782" t="s">
        <v>1778</v>
      </c>
      <c r="B782" s="1">
        <v>45854</v>
      </c>
      <c r="C782" t="s">
        <v>299</v>
      </c>
      <c r="D782" t="s">
        <v>240</v>
      </c>
      <c r="E782" t="s">
        <v>73</v>
      </c>
      <c r="F782" t="s">
        <v>74</v>
      </c>
      <c r="G782" t="s">
        <v>27</v>
      </c>
      <c r="H782" t="s">
        <v>75</v>
      </c>
      <c r="I782" t="s">
        <v>76</v>
      </c>
      <c r="J782">
        <v>1</v>
      </c>
      <c r="K782">
        <v>3500</v>
      </c>
      <c r="L782">
        <v>5</v>
      </c>
      <c r="M782">
        <v>3325</v>
      </c>
      <c r="N782">
        <v>2450</v>
      </c>
      <c r="O782">
        <v>875</v>
      </c>
      <c r="P782" t="s">
        <v>43</v>
      </c>
      <c r="Q782" t="s">
        <v>44</v>
      </c>
      <c r="R782" t="s">
        <v>45</v>
      </c>
      <c r="S782" t="s">
        <v>32</v>
      </c>
      <c r="T782" t="s">
        <v>47</v>
      </c>
      <c r="U782" t="s">
        <v>48</v>
      </c>
      <c r="V782">
        <v>3</v>
      </c>
      <c r="W782">
        <f>Table1[[#This Row],[Profit]]/Table1[[#This Row],[Sales]]</f>
        <v>0.26315789473684209</v>
      </c>
    </row>
    <row r="783" spans="1:23" x14ac:dyDescent="0.25">
      <c r="A783" t="s">
        <v>1779</v>
      </c>
      <c r="B783" s="1">
        <v>45980</v>
      </c>
      <c r="C783" t="s">
        <v>1780</v>
      </c>
      <c r="D783" t="s">
        <v>1548</v>
      </c>
      <c r="E783" t="s">
        <v>38</v>
      </c>
      <c r="F783" t="s">
        <v>39</v>
      </c>
      <c r="G783" t="s">
        <v>40</v>
      </c>
      <c r="H783" t="s">
        <v>41</v>
      </c>
      <c r="I783" t="s">
        <v>42</v>
      </c>
      <c r="J783">
        <v>5</v>
      </c>
      <c r="K783">
        <v>4500</v>
      </c>
      <c r="L783">
        <v>15</v>
      </c>
      <c r="M783">
        <v>19125</v>
      </c>
      <c r="N783">
        <v>15750</v>
      </c>
      <c r="O783">
        <v>3375.0000000000018</v>
      </c>
      <c r="P783" t="s">
        <v>109</v>
      </c>
      <c r="Q783" t="s">
        <v>110</v>
      </c>
      <c r="R783" t="s">
        <v>111</v>
      </c>
      <c r="S783" t="s">
        <v>46</v>
      </c>
      <c r="T783" t="s">
        <v>33</v>
      </c>
      <c r="U783" t="s">
        <v>48</v>
      </c>
      <c r="V783">
        <v>4</v>
      </c>
      <c r="W783">
        <f>Table1[[#This Row],[Profit]]/Table1[[#This Row],[Sales]]</f>
        <v>0.17647058823529421</v>
      </c>
    </row>
    <row r="784" spans="1:23" x14ac:dyDescent="0.25">
      <c r="A784" t="s">
        <v>1781</v>
      </c>
      <c r="B784" s="1">
        <v>45786</v>
      </c>
      <c r="C784" t="s">
        <v>1782</v>
      </c>
      <c r="D784" t="s">
        <v>257</v>
      </c>
      <c r="E784" t="s">
        <v>52</v>
      </c>
      <c r="F784" t="s">
        <v>53</v>
      </c>
      <c r="G784" t="s">
        <v>27</v>
      </c>
      <c r="H784" t="s">
        <v>54</v>
      </c>
      <c r="I784" t="s">
        <v>55</v>
      </c>
      <c r="J784">
        <v>1</v>
      </c>
      <c r="K784">
        <v>55000</v>
      </c>
      <c r="L784">
        <v>0</v>
      </c>
      <c r="M784">
        <v>55000</v>
      </c>
      <c r="N784">
        <v>38500</v>
      </c>
      <c r="O784">
        <v>16500</v>
      </c>
      <c r="P784" t="s">
        <v>109</v>
      </c>
      <c r="Q784" t="s">
        <v>110</v>
      </c>
      <c r="R784" t="s">
        <v>111</v>
      </c>
      <c r="S784" t="s">
        <v>60</v>
      </c>
      <c r="T784" t="s">
        <v>56</v>
      </c>
      <c r="U784" t="s">
        <v>48</v>
      </c>
      <c r="V784">
        <v>2</v>
      </c>
      <c r="W784">
        <f>Table1[[#This Row],[Profit]]/Table1[[#This Row],[Sales]]</f>
        <v>0.3</v>
      </c>
    </row>
    <row r="785" spans="1:23" x14ac:dyDescent="0.25">
      <c r="A785" t="s">
        <v>1783</v>
      </c>
      <c r="B785" s="1">
        <v>45917</v>
      </c>
      <c r="C785" t="s">
        <v>1784</v>
      </c>
      <c r="D785" t="s">
        <v>1076</v>
      </c>
      <c r="E785" t="s">
        <v>38</v>
      </c>
      <c r="F785" t="s">
        <v>39</v>
      </c>
      <c r="G785" t="s">
        <v>40</v>
      </c>
      <c r="H785" t="s">
        <v>41</v>
      </c>
      <c r="I785" t="s">
        <v>42</v>
      </c>
      <c r="J785">
        <v>3</v>
      </c>
      <c r="K785">
        <v>4500</v>
      </c>
      <c r="L785">
        <v>0</v>
      </c>
      <c r="M785">
        <v>13500</v>
      </c>
      <c r="N785">
        <v>9450</v>
      </c>
      <c r="O785">
        <v>4050</v>
      </c>
      <c r="P785" t="s">
        <v>43</v>
      </c>
      <c r="Q785" t="s">
        <v>44</v>
      </c>
      <c r="R785" t="s">
        <v>45</v>
      </c>
      <c r="S785" t="s">
        <v>46</v>
      </c>
      <c r="T785" t="s">
        <v>56</v>
      </c>
      <c r="U785" t="s">
        <v>48</v>
      </c>
      <c r="V785">
        <v>5</v>
      </c>
      <c r="W785">
        <f>Table1[[#This Row],[Profit]]/Table1[[#This Row],[Sales]]</f>
        <v>0.3</v>
      </c>
    </row>
    <row r="786" spans="1:23" x14ac:dyDescent="0.25">
      <c r="A786" t="s">
        <v>1785</v>
      </c>
      <c r="B786" s="1">
        <v>45969</v>
      </c>
      <c r="C786" t="s">
        <v>1786</v>
      </c>
      <c r="D786" t="s">
        <v>1787</v>
      </c>
      <c r="E786" t="s">
        <v>73</v>
      </c>
      <c r="F786" t="s">
        <v>74</v>
      </c>
      <c r="G786" t="s">
        <v>27</v>
      </c>
      <c r="H786" t="s">
        <v>75</v>
      </c>
      <c r="I786" t="s">
        <v>76</v>
      </c>
      <c r="J786">
        <v>1</v>
      </c>
      <c r="K786">
        <v>3500</v>
      </c>
      <c r="L786">
        <v>0</v>
      </c>
      <c r="M786">
        <v>3500</v>
      </c>
      <c r="N786">
        <v>2450</v>
      </c>
      <c r="O786">
        <v>1050</v>
      </c>
      <c r="P786" t="s">
        <v>30</v>
      </c>
      <c r="Q786" t="s">
        <v>30</v>
      </c>
      <c r="R786" t="s">
        <v>31</v>
      </c>
      <c r="S786" t="s">
        <v>60</v>
      </c>
      <c r="T786" t="s">
        <v>33</v>
      </c>
      <c r="U786" t="s">
        <v>48</v>
      </c>
      <c r="V786">
        <v>1</v>
      </c>
      <c r="W786">
        <f>Table1[[#This Row],[Profit]]/Table1[[#This Row],[Sales]]</f>
        <v>0.3</v>
      </c>
    </row>
    <row r="787" spans="1:23" x14ac:dyDescent="0.25">
      <c r="A787" t="s">
        <v>1788</v>
      </c>
      <c r="B787" s="1">
        <v>45669</v>
      </c>
      <c r="C787" t="s">
        <v>1672</v>
      </c>
      <c r="D787" t="s">
        <v>94</v>
      </c>
      <c r="E787" t="s">
        <v>38</v>
      </c>
      <c r="F787" t="s">
        <v>39</v>
      </c>
      <c r="G787" t="s">
        <v>40</v>
      </c>
      <c r="H787" t="s">
        <v>41</v>
      </c>
      <c r="I787" t="s">
        <v>42</v>
      </c>
      <c r="J787">
        <v>4</v>
      </c>
      <c r="K787">
        <v>4500</v>
      </c>
      <c r="L787">
        <v>5</v>
      </c>
      <c r="M787">
        <v>17100</v>
      </c>
      <c r="N787">
        <v>12600</v>
      </c>
      <c r="O787">
        <v>4500</v>
      </c>
      <c r="P787" t="s">
        <v>43</v>
      </c>
      <c r="Q787" t="s">
        <v>44</v>
      </c>
      <c r="R787" t="s">
        <v>45</v>
      </c>
      <c r="S787" t="s">
        <v>32</v>
      </c>
      <c r="T787" t="s">
        <v>47</v>
      </c>
      <c r="U787" t="s">
        <v>34</v>
      </c>
      <c r="V787">
        <v>4</v>
      </c>
      <c r="W787">
        <f>Table1[[#This Row],[Profit]]/Table1[[#This Row],[Sales]]</f>
        <v>0.26315789473684209</v>
      </c>
    </row>
    <row r="788" spans="1:23" x14ac:dyDescent="0.25">
      <c r="A788" t="s">
        <v>1789</v>
      </c>
      <c r="B788" s="1">
        <v>45986</v>
      </c>
      <c r="C788" t="s">
        <v>1123</v>
      </c>
      <c r="D788" t="s">
        <v>1790</v>
      </c>
      <c r="E788" t="s">
        <v>25</v>
      </c>
      <c r="F788" t="s">
        <v>26</v>
      </c>
      <c r="G788" t="s">
        <v>27</v>
      </c>
      <c r="H788" t="s">
        <v>28</v>
      </c>
      <c r="I788" t="s">
        <v>29</v>
      </c>
      <c r="J788">
        <v>3</v>
      </c>
      <c r="K788">
        <v>800</v>
      </c>
      <c r="L788">
        <v>10</v>
      </c>
      <c r="M788">
        <v>2160</v>
      </c>
      <c r="N788">
        <v>1680</v>
      </c>
      <c r="O788">
        <v>480</v>
      </c>
      <c r="P788" t="s">
        <v>95</v>
      </c>
      <c r="Q788" t="s">
        <v>96</v>
      </c>
      <c r="R788" t="s">
        <v>45</v>
      </c>
      <c r="S788" t="s">
        <v>32</v>
      </c>
      <c r="T788" t="s">
        <v>56</v>
      </c>
      <c r="U788" t="s">
        <v>48</v>
      </c>
      <c r="V788">
        <v>2</v>
      </c>
      <c r="W788">
        <f>Table1[[#This Row],[Profit]]/Table1[[#This Row],[Sales]]</f>
        <v>0.22222222222222221</v>
      </c>
    </row>
    <row r="789" spans="1:23" x14ac:dyDescent="0.25">
      <c r="A789" t="s">
        <v>1791</v>
      </c>
      <c r="B789" s="1">
        <v>45902</v>
      </c>
      <c r="C789" t="s">
        <v>278</v>
      </c>
      <c r="D789" t="s">
        <v>589</v>
      </c>
      <c r="E789" t="s">
        <v>73</v>
      </c>
      <c r="F789" t="s">
        <v>74</v>
      </c>
      <c r="G789" t="s">
        <v>27</v>
      </c>
      <c r="H789" t="s">
        <v>75</v>
      </c>
      <c r="I789" t="s">
        <v>76</v>
      </c>
      <c r="J789">
        <v>5</v>
      </c>
      <c r="K789">
        <v>3500</v>
      </c>
      <c r="L789">
        <v>5</v>
      </c>
      <c r="M789">
        <v>16625</v>
      </c>
      <c r="N789">
        <v>12250</v>
      </c>
      <c r="O789">
        <v>4375</v>
      </c>
      <c r="P789" t="s">
        <v>43</v>
      </c>
      <c r="Q789" t="s">
        <v>44</v>
      </c>
      <c r="R789" t="s">
        <v>45</v>
      </c>
      <c r="S789" t="s">
        <v>32</v>
      </c>
      <c r="T789" t="s">
        <v>56</v>
      </c>
      <c r="U789" t="s">
        <v>34</v>
      </c>
      <c r="V789">
        <v>2</v>
      </c>
      <c r="W789">
        <f>Table1[[#This Row],[Profit]]/Table1[[#This Row],[Sales]]</f>
        <v>0.26315789473684209</v>
      </c>
    </row>
    <row r="790" spans="1:23" x14ac:dyDescent="0.25">
      <c r="A790" t="s">
        <v>1792</v>
      </c>
      <c r="B790" s="1">
        <v>45692</v>
      </c>
      <c r="C790" t="s">
        <v>1793</v>
      </c>
      <c r="D790" t="s">
        <v>999</v>
      </c>
      <c r="E790" t="s">
        <v>38</v>
      </c>
      <c r="F790" t="s">
        <v>39</v>
      </c>
      <c r="G790" t="s">
        <v>40</v>
      </c>
      <c r="H790" t="s">
        <v>41</v>
      </c>
      <c r="I790" t="s">
        <v>42</v>
      </c>
      <c r="J790">
        <v>2</v>
      </c>
      <c r="K790">
        <v>4500</v>
      </c>
      <c r="L790">
        <v>15</v>
      </c>
      <c r="M790">
        <v>7650</v>
      </c>
      <c r="N790">
        <v>6300</v>
      </c>
      <c r="O790">
        <v>1350</v>
      </c>
      <c r="P790" t="s">
        <v>30</v>
      </c>
      <c r="Q790" t="s">
        <v>30</v>
      </c>
      <c r="R790" t="s">
        <v>31</v>
      </c>
      <c r="S790" t="s">
        <v>60</v>
      </c>
      <c r="T790" t="s">
        <v>33</v>
      </c>
      <c r="U790" t="s">
        <v>34</v>
      </c>
      <c r="V790">
        <v>4</v>
      </c>
      <c r="W790">
        <f>Table1[[#This Row],[Profit]]/Table1[[#This Row],[Sales]]</f>
        <v>0.17647058823529413</v>
      </c>
    </row>
    <row r="791" spans="1:23" x14ac:dyDescent="0.25">
      <c r="A791" t="s">
        <v>1794</v>
      </c>
      <c r="B791" s="1">
        <v>45766</v>
      </c>
      <c r="C791" t="s">
        <v>318</v>
      </c>
      <c r="D791" t="s">
        <v>1033</v>
      </c>
      <c r="E791" t="s">
        <v>73</v>
      </c>
      <c r="F791" t="s">
        <v>74</v>
      </c>
      <c r="G791" t="s">
        <v>27</v>
      </c>
      <c r="H791" t="s">
        <v>75</v>
      </c>
      <c r="I791" t="s">
        <v>76</v>
      </c>
      <c r="J791">
        <v>2</v>
      </c>
      <c r="K791">
        <v>3500</v>
      </c>
      <c r="L791">
        <v>15</v>
      </c>
      <c r="M791">
        <v>5950</v>
      </c>
      <c r="N791">
        <v>4900</v>
      </c>
      <c r="O791">
        <v>1050</v>
      </c>
      <c r="P791" t="s">
        <v>30</v>
      </c>
      <c r="Q791" t="s">
        <v>30</v>
      </c>
      <c r="R791" t="s">
        <v>31</v>
      </c>
      <c r="S791" t="s">
        <v>32</v>
      </c>
      <c r="T791" t="s">
        <v>47</v>
      </c>
      <c r="U791" t="s">
        <v>48</v>
      </c>
      <c r="V791">
        <v>1</v>
      </c>
      <c r="W791">
        <f>Table1[[#This Row],[Profit]]/Table1[[#This Row],[Sales]]</f>
        <v>0.17647058823529413</v>
      </c>
    </row>
    <row r="792" spans="1:23" x14ac:dyDescent="0.25">
      <c r="A792" t="s">
        <v>1795</v>
      </c>
      <c r="B792" s="1">
        <v>45967</v>
      </c>
      <c r="C792" t="s">
        <v>1796</v>
      </c>
      <c r="D792" t="s">
        <v>1478</v>
      </c>
      <c r="E792" t="s">
        <v>73</v>
      </c>
      <c r="F792" t="s">
        <v>74</v>
      </c>
      <c r="G792" t="s">
        <v>27</v>
      </c>
      <c r="H792" t="s">
        <v>75</v>
      </c>
      <c r="I792" t="s">
        <v>76</v>
      </c>
      <c r="J792">
        <v>4</v>
      </c>
      <c r="K792">
        <v>3500</v>
      </c>
      <c r="L792">
        <v>10</v>
      </c>
      <c r="M792">
        <v>12600</v>
      </c>
      <c r="N792">
        <v>9800</v>
      </c>
      <c r="O792">
        <v>2800</v>
      </c>
      <c r="P792" t="s">
        <v>30</v>
      </c>
      <c r="Q792" t="s">
        <v>30</v>
      </c>
      <c r="R792" t="s">
        <v>31</v>
      </c>
      <c r="S792" t="s">
        <v>46</v>
      </c>
      <c r="T792" t="s">
        <v>47</v>
      </c>
      <c r="U792" t="s">
        <v>34</v>
      </c>
      <c r="V792">
        <v>2</v>
      </c>
      <c r="W792">
        <f>Table1[[#This Row],[Profit]]/Table1[[#This Row],[Sales]]</f>
        <v>0.22222222222222221</v>
      </c>
    </row>
    <row r="793" spans="1:23" x14ac:dyDescent="0.25">
      <c r="A793" t="s">
        <v>1797</v>
      </c>
      <c r="B793" s="1">
        <v>45767</v>
      </c>
      <c r="C793" t="s">
        <v>1798</v>
      </c>
      <c r="D793" t="s">
        <v>1734</v>
      </c>
      <c r="E793" t="s">
        <v>38</v>
      </c>
      <c r="F793" t="s">
        <v>39</v>
      </c>
      <c r="G793" t="s">
        <v>40</v>
      </c>
      <c r="H793" t="s">
        <v>41</v>
      </c>
      <c r="I793" t="s">
        <v>42</v>
      </c>
      <c r="J793">
        <v>4</v>
      </c>
      <c r="K793">
        <v>4500</v>
      </c>
      <c r="L793">
        <v>10</v>
      </c>
      <c r="M793">
        <v>16200</v>
      </c>
      <c r="N793">
        <v>12600</v>
      </c>
      <c r="O793">
        <v>3600</v>
      </c>
      <c r="P793" t="s">
        <v>109</v>
      </c>
      <c r="Q793" t="s">
        <v>110</v>
      </c>
      <c r="R793" t="s">
        <v>111</v>
      </c>
      <c r="S793" t="s">
        <v>60</v>
      </c>
      <c r="T793" t="s">
        <v>33</v>
      </c>
      <c r="U793" t="s">
        <v>48</v>
      </c>
      <c r="V793">
        <v>2</v>
      </c>
      <c r="W793">
        <f>Table1[[#This Row],[Profit]]/Table1[[#This Row],[Sales]]</f>
        <v>0.22222222222222221</v>
      </c>
    </row>
    <row r="794" spans="1:23" x14ac:dyDescent="0.25">
      <c r="A794" t="s">
        <v>1799</v>
      </c>
      <c r="B794" s="1">
        <v>45879</v>
      </c>
      <c r="C794" t="s">
        <v>412</v>
      </c>
      <c r="D794" t="s">
        <v>410</v>
      </c>
      <c r="E794" t="s">
        <v>73</v>
      </c>
      <c r="F794" t="s">
        <v>74</v>
      </c>
      <c r="G794" t="s">
        <v>27</v>
      </c>
      <c r="H794" t="s">
        <v>75</v>
      </c>
      <c r="I794" t="s">
        <v>76</v>
      </c>
      <c r="J794">
        <v>5</v>
      </c>
      <c r="K794">
        <v>3500</v>
      </c>
      <c r="L794">
        <v>15</v>
      </c>
      <c r="M794">
        <v>14875</v>
      </c>
      <c r="N794">
        <v>12250</v>
      </c>
      <c r="O794">
        <v>2625</v>
      </c>
      <c r="P794" t="s">
        <v>95</v>
      </c>
      <c r="Q794" t="s">
        <v>96</v>
      </c>
      <c r="R794" t="s">
        <v>45</v>
      </c>
      <c r="S794" t="s">
        <v>60</v>
      </c>
      <c r="T794" t="s">
        <v>33</v>
      </c>
      <c r="U794" t="s">
        <v>48</v>
      </c>
      <c r="V794">
        <v>2</v>
      </c>
      <c r="W794">
        <f>Table1[[#This Row],[Profit]]/Table1[[#This Row],[Sales]]</f>
        <v>0.17647058823529413</v>
      </c>
    </row>
    <row r="795" spans="1:23" x14ac:dyDescent="0.25">
      <c r="A795" t="s">
        <v>1800</v>
      </c>
      <c r="B795" s="1">
        <v>45849</v>
      </c>
      <c r="C795" t="s">
        <v>470</v>
      </c>
      <c r="D795" t="s">
        <v>455</v>
      </c>
      <c r="E795" t="s">
        <v>38</v>
      </c>
      <c r="F795" t="s">
        <v>39</v>
      </c>
      <c r="G795" t="s">
        <v>40</v>
      </c>
      <c r="H795" t="s">
        <v>41</v>
      </c>
      <c r="I795" t="s">
        <v>42</v>
      </c>
      <c r="J795">
        <v>5</v>
      </c>
      <c r="K795">
        <v>4500</v>
      </c>
      <c r="L795">
        <v>10</v>
      </c>
      <c r="M795">
        <v>20250</v>
      </c>
      <c r="N795">
        <v>15750</v>
      </c>
      <c r="O795">
        <v>4500.0000000000018</v>
      </c>
      <c r="P795" t="s">
        <v>30</v>
      </c>
      <c r="Q795" t="s">
        <v>30</v>
      </c>
      <c r="R795" t="s">
        <v>31</v>
      </c>
      <c r="S795" t="s">
        <v>46</v>
      </c>
      <c r="T795" t="s">
        <v>47</v>
      </c>
      <c r="U795" t="s">
        <v>34</v>
      </c>
      <c r="V795">
        <v>1</v>
      </c>
      <c r="W795">
        <f>Table1[[#This Row],[Profit]]/Table1[[#This Row],[Sales]]</f>
        <v>0.22222222222222232</v>
      </c>
    </row>
    <row r="796" spans="1:23" x14ac:dyDescent="0.25">
      <c r="A796" t="s">
        <v>1801</v>
      </c>
      <c r="B796" s="1">
        <v>45877</v>
      </c>
      <c r="C796" t="s">
        <v>852</v>
      </c>
      <c r="D796" t="s">
        <v>592</v>
      </c>
      <c r="E796" t="s">
        <v>25</v>
      </c>
      <c r="F796" t="s">
        <v>26</v>
      </c>
      <c r="G796" t="s">
        <v>27</v>
      </c>
      <c r="H796" t="s">
        <v>28</v>
      </c>
      <c r="I796" t="s">
        <v>29</v>
      </c>
      <c r="J796">
        <v>1</v>
      </c>
      <c r="K796">
        <v>800</v>
      </c>
      <c r="L796">
        <v>15</v>
      </c>
      <c r="M796">
        <v>680</v>
      </c>
      <c r="N796">
        <v>560</v>
      </c>
      <c r="O796">
        <v>120</v>
      </c>
      <c r="P796" t="s">
        <v>30</v>
      </c>
      <c r="Q796" t="s">
        <v>30</v>
      </c>
      <c r="R796" t="s">
        <v>31</v>
      </c>
      <c r="S796" t="s">
        <v>32</v>
      </c>
      <c r="T796" t="s">
        <v>56</v>
      </c>
      <c r="U796" t="s">
        <v>48</v>
      </c>
      <c r="V796">
        <v>1</v>
      </c>
      <c r="W796">
        <f>Table1[[#This Row],[Profit]]/Table1[[#This Row],[Sales]]</f>
        <v>0.17647058823529413</v>
      </c>
    </row>
    <row r="797" spans="1:23" x14ac:dyDescent="0.25">
      <c r="A797" t="s">
        <v>1802</v>
      </c>
      <c r="B797" s="1">
        <v>45902</v>
      </c>
      <c r="C797" t="s">
        <v>978</v>
      </c>
      <c r="D797" t="s">
        <v>257</v>
      </c>
      <c r="E797" t="s">
        <v>73</v>
      </c>
      <c r="F797" t="s">
        <v>74</v>
      </c>
      <c r="G797" t="s">
        <v>27</v>
      </c>
      <c r="H797" t="s">
        <v>75</v>
      </c>
      <c r="I797" t="s">
        <v>76</v>
      </c>
      <c r="J797">
        <v>4</v>
      </c>
      <c r="K797">
        <v>3500</v>
      </c>
      <c r="L797">
        <v>5</v>
      </c>
      <c r="M797">
        <v>13300</v>
      </c>
      <c r="N797">
        <v>9800</v>
      </c>
      <c r="O797">
        <v>3500</v>
      </c>
      <c r="P797" t="s">
        <v>43</v>
      </c>
      <c r="Q797" t="s">
        <v>44</v>
      </c>
      <c r="R797" t="s">
        <v>45</v>
      </c>
      <c r="S797" t="s">
        <v>60</v>
      </c>
      <c r="T797" t="s">
        <v>33</v>
      </c>
      <c r="U797" t="s">
        <v>48</v>
      </c>
      <c r="V797">
        <v>5</v>
      </c>
      <c r="W797">
        <f>Table1[[#This Row],[Profit]]/Table1[[#This Row],[Sales]]</f>
        <v>0.26315789473684209</v>
      </c>
    </row>
    <row r="798" spans="1:23" x14ac:dyDescent="0.25">
      <c r="A798" t="s">
        <v>1803</v>
      </c>
      <c r="B798" s="1">
        <v>45670</v>
      </c>
      <c r="C798" t="s">
        <v>335</v>
      </c>
      <c r="D798" t="s">
        <v>1069</v>
      </c>
      <c r="E798" t="s">
        <v>52</v>
      </c>
      <c r="F798" t="s">
        <v>53</v>
      </c>
      <c r="G798" t="s">
        <v>27</v>
      </c>
      <c r="H798" t="s">
        <v>54</v>
      </c>
      <c r="I798" t="s">
        <v>55</v>
      </c>
      <c r="J798">
        <v>5</v>
      </c>
      <c r="K798">
        <v>55000</v>
      </c>
      <c r="L798">
        <v>15</v>
      </c>
      <c r="M798">
        <v>233750</v>
      </c>
      <c r="N798">
        <v>192500</v>
      </c>
      <c r="O798">
        <v>41250</v>
      </c>
      <c r="P798" t="s">
        <v>109</v>
      </c>
      <c r="Q798" t="s">
        <v>110</v>
      </c>
      <c r="R798" t="s">
        <v>111</v>
      </c>
      <c r="S798" t="s">
        <v>46</v>
      </c>
      <c r="T798" t="s">
        <v>47</v>
      </c>
      <c r="U798" t="s">
        <v>34</v>
      </c>
      <c r="V798">
        <v>1</v>
      </c>
      <c r="W798">
        <f>Table1[[#This Row],[Profit]]/Table1[[#This Row],[Sales]]</f>
        <v>0.17647058823529413</v>
      </c>
    </row>
    <row r="799" spans="1:23" x14ac:dyDescent="0.25">
      <c r="A799" t="s">
        <v>1804</v>
      </c>
      <c r="B799" s="1">
        <v>45705</v>
      </c>
      <c r="C799" t="s">
        <v>894</v>
      </c>
      <c r="D799" t="s">
        <v>1805</v>
      </c>
      <c r="E799" t="s">
        <v>25</v>
      </c>
      <c r="F799" t="s">
        <v>26</v>
      </c>
      <c r="G799" t="s">
        <v>27</v>
      </c>
      <c r="H799" t="s">
        <v>28</v>
      </c>
      <c r="I799" t="s">
        <v>29</v>
      </c>
      <c r="J799">
        <v>3</v>
      </c>
      <c r="K799">
        <v>800</v>
      </c>
      <c r="L799">
        <v>5</v>
      </c>
      <c r="M799">
        <v>2280</v>
      </c>
      <c r="N799">
        <v>1680</v>
      </c>
      <c r="O799">
        <v>600</v>
      </c>
      <c r="P799" t="s">
        <v>109</v>
      </c>
      <c r="Q799" t="s">
        <v>110</v>
      </c>
      <c r="R799" t="s">
        <v>111</v>
      </c>
      <c r="S799" t="s">
        <v>46</v>
      </c>
      <c r="T799" t="s">
        <v>47</v>
      </c>
      <c r="U799" t="s">
        <v>34</v>
      </c>
      <c r="V799">
        <v>4</v>
      </c>
      <c r="W799">
        <f>Table1[[#This Row],[Profit]]/Table1[[#This Row],[Sales]]</f>
        <v>0.26315789473684209</v>
      </c>
    </row>
    <row r="800" spans="1:23" x14ac:dyDescent="0.25">
      <c r="A800" t="s">
        <v>1806</v>
      </c>
      <c r="B800" s="1">
        <v>45933</v>
      </c>
      <c r="C800" t="s">
        <v>1242</v>
      </c>
      <c r="D800" t="s">
        <v>1807</v>
      </c>
      <c r="E800" t="s">
        <v>73</v>
      </c>
      <c r="F800" t="s">
        <v>74</v>
      </c>
      <c r="G800" t="s">
        <v>27</v>
      </c>
      <c r="H800" t="s">
        <v>75</v>
      </c>
      <c r="I800" t="s">
        <v>76</v>
      </c>
      <c r="J800">
        <v>5</v>
      </c>
      <c r="K800">
        <v>3500</v>
      </c>
      <c r="L800">
        <v>15</v>
      </c>
      <c r="M800">
        <v>14875</v>
      </c>
      <c r="N800">
        <v>12250</v>
      </c>
      <c r="O800">
        <v>2625</v>
      </c>
      <c r="P800" t="s">
        <v>30</v>
      </c>
      <c r="Q800" t="s">
        <v>30</v>
      </c>
      <c r="R800" t="s">
        <v>31</v>
      </c>
      <c r="S800" t="s">
        <v>46</v>
      </c>
      <c r="T800" t="s">
        <v>47</v>
      </c>
      <c r="U800" t="s">
        <v>48</v>
      </c>
      <c r="V800">
        <v>5</v>
      </c>
      <c r="W800">
        <f>Table1[[#This Row],[Profit]]/Table1[[#This Row],[Sales]]</f>
        <v>0.17647058823529413</v>
      </c>
    </row>
    <row r="801" spans="1:23" x14ac:dyDescent="0.25">
      <c r="A801" t="s">
        <v>1808</v>
      </c>
      <c r="B801" s="1">
        <v>45899</v>
      </c>
      <c r="C801" t="s">
        <v>1809</v>
      </c>
      <c r="D801" t="s">
        <v>904</v>
      </c>
      <c r="E801" t="s">
        <v>73</v>
      </c>
      <c r="F801" t="s">
        <v>74</v>
      </c>
      <c r="G801" t="s">
        <v>27</v>
      </c>
      <c r="H801" t="s">
        <v>75</v>
      </c>
      <c r="I801" t="s">
        <v>76</v>
      </c>
      <c r="J801">
        <v>2</v>
      </c>
      <c r="K801">
        <v>3500</v>
      </c>
      <c r="L801">
        <v>0</v>
      </c>
      <c r="M801">
        <v>7000</v>
      </c>
      <c r="N801">
        <v>4900</v>
      </c>
      <c r="O801">
        <v>2100</v>
      </c>
      <c r="P801" t="s">
        <v>30</v>
      </c>
      <c r="Q801" t="s">
        <v>30</v>
      </c>
      <c r="R801" t="s">
        <v>31</v>
      </c>
      <c r="S801" t="s">
        <v>46</v>
      </c>
      <c r="T801" t="s">
        <v>56</v>
      </c>
      <c r="U801" t="s">
        <v>48</v>
      </c>
      <c r="V801">
        <v>2</v>
      </c>
      <c r="W801">
        <f>Table1[[#This Row],[Profit]]/Table1[[#This Row],[Sales]]</f>
        <v>0.3</v>
      </c>
    </row>
    <row r="802" spans="1:23" x14ac:dyDescent="0.25">
      <c r="A802" t="s">
        <v>1810</v>
      </c>
      <c r="B802" s="1">
        <v>45726</v>
      </c>
      <c r="C802" t="s">
        <v>1811</v>
      </c>
      <c r="D802" t="s">
        <v>24</v>
      </c>
      <c r="E802" t="s">
        <v>52</v>
      </c>
      <c r="F802" t="s">
        <v>53</v>
      </c>
      <c r="G802" t="s">
        <v>27</v>
      </c>
      <c r="H802" t="s">
        <v>54</v>
      </c>
      <c r="I802" t="s">
        <v>55</v>
      </c>
      <c r="J802">
        <v>2</v>
      </c>
      <c r="K802">
        <v>55000</v>
      </c>
      <c r="L802">
        <v>5</v>
      </c>
      <c r="M802">
        <v>104500</v>
      </c>
      <c r="N802">
        <v>77000</v>
      </c>
      <c r="O802">
        <v>27500</v>
      </c>
      <c r="P802" t="s">
        <v>30</v>
      </c>
      <c r="Q802" t="s">
        <v>30</v>
      </c>
      <c r="R802" t="s">
        <v>31</v>
      </c>
      <c r="S802" t="s">
        <v>60</v>
      </c>
      <c r="T802" t="s">
        <v>33</v>
      </c>
      <c r="U802" t="s">
        <v>48</v>
      </c>
      <c r="V802">
        <v>3</v>
      </c>
      <c r="W802">
        <f>Table1[[#This Row],[Profit]]/Table1[[#This Row],[Sales]]</f>
        <v>0.26315789473684209</v>
      </c>
    </row>
    <row r="803" spans="1:23" x14ac:dyDescent="0.25">
      <c r="A803" t="s">
        <v>1812</v>
      </c>
      <c r="B803" s="1">
        <v>45691</v>
      </c>
      <c r="C803" t="s">
        <v>1813</v>
      </c>
      <c r="D803" t="s">
        <v>330</v>
      </c>
      <c r="E803" t="s">
        <v>67</v>
      </c>
      <c r="F803" t="s">
        <v>68</v>
      </c>
      <c r="G803" t="s">
        <v>27</v>
      </c>
      <c r="H803" t="s">
        <v>28</v>
      </c>
      <c r="I803" t="s">
        <v>69</v>
      </c>
      <c r="J803">
        <v>4</v>
      </c>
      <c r="K803">
        <v>1500</v>
      </c>
      <c r="L803">
        <v>10</v>
      </c>
      <c r="M803">
        <v>5400</v>
      </c>
      <c r="N803">
        <v>4200</v>
      </c>
      <c r="O803">
        <v>1200</v>
      </c>
      <c r="P803" t="s">
        <v>30</v>
      </c>
      <c r="Q803" t="s">
        <v>30</v>
      </c>
      <c r="R803" t="s">
        <v>31</v>
      </c>
      <c r="S803" t="s">
        <v>60</v>
      </c>
      <c r="T803" t="s">
        <v>47</v>
      </c>
      <c r="U803" t="s">
        <v>48</v>
      </c>
      <c r="V803">
        <v>5</v>
      </c>
      <c r="W803">
        <f>Table1[[#This Row],[Profit]]/Table1[[#This Row],[Sales]]</f>
        <v>0.22222222222222221</v>
      </c>
    </row>
    <row r="804" spans="1:23" x14ac:dyDescent="0.25">
      <c r="A804" t="s">
        <v>1814</v>
      </c>
      <c r="B804" s="1">
        <v>45764</v>
      </c>
      <c r="C804" t="s">
        <v>1815</v>
      </c>
      <c r="D804" t="s">
        <v>1816</v>
      </c>
      <c r="E804" t="s">
        <v>38</v>
      </c>
      <c r="F804" t="s">
        <v>39</v>
      </c>
      <c r="G804" t="s">
        <v>40</v>
      </c>
      <c r="H804" t="s">
        <v>41</v>
      </c>
      <c r="I804" t="s">
        <v>42</v>
      </c>
      <c r="J804">
        <v>4</v>
      </c>
      <c r="K804">
        <v>4500</v>
      </c>
      <c r="L804">
        <v>0</v>
      </c>
      <c r="M804">
        <v>18000</v>
      </c>
      <c r="N804">
        <v>12600</v>
      </c>
      <c r="O804">
        <v>5400</v>
      </c>
      <c r="P804" t="s">
        <v>30</v>
      </c>
      <c r="Q804" t="s">
        <v>30</v>
      </c>
      <c r="R804" t="s">
        <v>31</v>
      </c>
      <c r="S804" t="s">
        <v>32</v>
      </c>
      <c r="T804" t="s">
        <v>47</v>
      </c>
      <c r="U804" t="s">
        <v>48</v>
      </c>
      <c r="V804">
        <v>4</v>
      </c>
      <c r="W804">
        <f>Table1[[#This Row],[Profit]]/Table1[[#This Row],[Sales]]</f>
        <v>0.3</v>
      </c>
    </row>
    <row r="805" spans="1:23" x14ac:dyDescent="0.25">
      <c r="A805" t="s">
        <v>1817</v>
      </c>
      <c r="B805" s="1">
        <v>45885</v>
      </c>
      <c r="C805" t="s">
        <v>725</v>
      </c>
      <c r="D805" t="s">
        <v>1818</v>
      </c>
      <c r="E805" t="s">
        <v>73</v>
      </c>
      <c r="F805" t="s">
        <v>74</v>
      </c>
      <c r="G805" t="s">
        <v>27</v>
      </c>
      <c r="H805" t="s">
        <v>75</v>
      </c>
      <c r="I805" t="s">
        <v>76</v>
      </c>
      <c r="J805">
        <v>2</v>
      </c>
      <c r="K805">
        <v>3500</v>
      </c>
      <c r="L805">
        <v>10</v>
      </c>
      <c r="M805">
        <v>6300</v>
      </c>
      <c r="N805">
        <v>4900</v>
      </c>
      <c r="O805">
        <v>1400</v>
      </c>
      <c r="P805" t="s">
        <v>109</v>
      </c>
      <c r="Q805" t="s">
        <v>110</v>
      </c>
      <c r="R805" t="s">
        <v>111</v>
      </c>
      <c r="S805" t="s">
        <v>60</v>
      </c>
      <c r="T805" t="s">
        <v>56</v>
      </c>
      <c r="U805" t="s">
        <v>34</v>
      </c>
      <c r="V805">
        <v>2</v>
      </c>
      <c r="W805">
        <f>Table1[[#This Row],[Profit]]/Table1[[#This Row],[Sales]]</f>
        <v>0.22222222222222221</v>
      </c>
    </row>
    <row r="806" spans="1:23" x14ac:dyDescent="0.25">
      <c r="A806" t="s">
        <v>1819</v>
      </c>
      <c r="B806" s="1">
        <v>45770</v>
      </c>
      <c r="C806" t="s">
        <v>1227</v>
      </c>
      <c r="D806" t="s">
        <v>1256</v>
      </c>
      <c r="E806" t="s">
        <v>52</v>
      </c>
      <c r="F806" t="s">
        <v>53</v>
      </c>
      <c r="G806" t="s">
        <v>27</v>
      </c>
      <c r="H806" t="s">
        <v>54</v>
      </c>
      <c r="I806" t="s">
        <v>55</v>
      </c>
      <c r="J806">
        <v>3</v>
      </c>
      <c r="K806">
        <v>55000</v>
      </c>
      <c r="L806">
        <v>10</v>
      </c>
      <c r="M806">
        <v>148500</v>
      </c>
      <c r="N806">
        <v>115500</v>
      </c>
      <c r="O806">
        <v>33000.000000000007</v>
      </c>
      <c r="P806" t="s">
        <v>95</v>
      </c>
      <c r="Q806" t="s">
        <v>96</v>
      </c>
      <c r="R806" t="s">
        <v>45</v>
      </c>
      <c r="S806" t="s">
        <v>32</v>
      </c>
      <c r="T806" t="s">
        <v>33</v>
      </c>
      <c r="U806" t="s">
        <v>34</v>
      </c>
      <c r="V806">
        <v>1</v>
      </c>
      <c r="W806">
        <f>Table1[[#This Row],[Profit]]/Table1[[#This Row],[Sales]]</f>
        <v>0.22222222222222227</v>
      </c>
    </row>
    <row r="807" spans="1:23" x14ac:dyDescent="0.25">
      <c r="A807" t="s">
        <v>1820</v>
      </c>
      <c r="B807" s="1">
        <v>45725</v>
      </c>
      <c r="C807" t="s">
        <v>1103</v>
      </c>
      <c r="D807" t="s">
        <v>1821</v>
      </c>
      <c r="E807" t="s">
        <v>52</v>
      </c>
      <c r="F807" t="s">
        <v>53</v>
      </c>
      <c r="G807" t="s">
        <v>27</v>
      </c>
      <c r="H807" t="s">
        <v>54</v>
      </c>
      <c r="I807" t="s">
        <v>55</v>
      </c>
      <c r="J807">
        <v>3</v>
      </c>
      <c r="K807">
        <v>55000</v>
      </c>
      <c r="L807">
        <v>10</v>
      </c>
      <c r="M807">
        <v>148500</v>
      </c>
      <c r="N807">
        <v>115500</v>
      </c>
      <c r="O807">
        <v>33000.000000000007</v>
      </c>
      <c r="P807" t="s">
        <v>30</v>
      </c>
      <c r="Q807" t="s">
        <v>30</v>
      </c>
      <c r="R807" t="s">
        <v>31</v>
      </c>
      <c r="S807" t="s">
        <v>32</v>
      </c>
      <c r="T807" t="s">
        <v>33</v>
      </c>
      <c r="U807" t="s">
        <v>34</v>
      </c>
      <c r="V807">
        <v>1</v>
      </c>
      <c r="W807">
        <f>Table1[[#This Row],[Profit]]/Table1[[#This Row],[Sales]]</f>
        <v>0.22222222222222227</v>
      </c>
    </row>
    <row r="808" spans="1:23" x14ac:dyDescent="0.25">
      <c r="A808" t="s">
        <v>1822</v>
      </c>
      <c r="B808" s="1">
        <v>45812</v>
      </c>
      <c r="C808" t="s">
        <v>562</v>
      </c>
      <c r="D808" t="s">
        <v>1823</v>
      </c>
      <c r="E808" t="s">
        <v>25</v>
      </c>
      <c r="F808" t="s">
        <v>26</v>
      </c>
      <c r="G808" t="s">
        <v>27</v>
      </c>
      <c r="H808" t="s">
        <v>28</v>
      </c>
      <c r="I808" t="s">
        <v>29</v>
      </c>
      <c r="J808">
        <v>3</v>
      </c>
      <c r="K808">
        <v>800</v>
      </c>
      <c r="L808">
        <v>15</v>
      </c>
      <c r="M808">
        <v>2040</v>
      </c>
      <c r="N808">
        <v>1680</v>
      </c>
      <c r="O808">
        <v>360</v>
      </c>
      <c r="P808" t="s">
        <v>43</v>
      </c>
      <c r="Q808" t="s">
        <v>44</v>
      </c>
      <c r="R808" t="s">
        <v>45</v>
      </c>
      <c r="S808" t="s">
        <v>60</v>
      </c>
      <c r="T808" t="s">
        <v>47</v>
      </c>
      <c r="U808" t="s">
        <v>34</v>
      </c>
      <c r="V808">
        <v>3</v>
      </c>
      <c r="W808">
        <f>Table1[[#This Row],[Profit]]/Table1[[#This Row],[Sales]]</f>
        <v>0.17647058823529413</v>
      </c>
    </row>
    <row r="809" spans="1:23" x14ac:dyDescent="0.25">
      <c r="A809" t="s">
        <v>1824</v>
      </c>
      <c r="B809" s="1">
        <v>45882</v>
      </c>
      <c r="C809" t="s">
        <v>1261</v>
      </c>
      <c r="D809" t="s">
        <v>1825</v>
      </c>
      <c r="E809" t="s">
        <v>67</v>
      </c>
      <c r="F809" t="s">
        <v>68</v>
      </c>
      <c r="G809" t="s">
        <v>27</v>
      </c>
      <c r="H809" t="s">
        <v>28</v>
      </c>
      <c r="I809" t="s">
        <v>69</v>
      </c>
      <c r="J809">
        <v>2</v>
      </c>
      <c r="K809">
        <v>1500</v>
      </c>
      <c r="L809">
        <v>5</v>
      </c>
      <c r="M809">
        <v>2850</v>
      </c>
      <c r="N809">
        <v>2100</v>
      </c>
      <c r="O809">
        <v>750</v>
      </c>
      <c r="P809" t="s">
        <v>30</v>
      </c>
      <c r="Q809" t="s">
        <v>30</v>
      </c>
      <c r="R809" t="s">
        <v>31</v>
      </c>
      <c r="S809" t="s">
        <v>32</v>
      </c>
      <c r="T809" t="s">
        <v>33</v>
      </c>
      <c r="U809" t="s">
        <v>48</v>
      </c>
      <c r="V809">
        <v>5</v>
      </c>
      <c r="W809">
        <f>Table1[[#This Row],[Profit]]/Table1[[#This Row],[Sales]]</f>
        <v>0.26315789473684209</v>
      </c>
    </row>
    <row r="810" spans="1:23" x14ac:dyDescent="0.25">
      <c r="A810" t="s">
        <v>1826</v>
      </c>
      <c r="B810" s="1">
        <v>45962</v>
      </c>
      <c r="C810" t="s">
        <v>473</v>
      </c>
      <c r="D810" t="s">
        <v>421</v>
      </c>
      <c r="E810" t="s">
        <v>52</v>
      </c>
      <c r="F810" t="s">
        <v>53</v>
      </c>
      <c r="G810" t="s">
        <v>27</v>
      </c>
      <c r="H810" t="s">
        <v>54</v>
      </c>
      <c r="I810" t="s">
        <v>55</v>
      </c>
      <c r="J810">
        <v>3</v>
      </c>
      <c r="K810">
        <v>55000</v>
      </c>
      <c r="L810">
        <v>15</v>
      </c>
      <c r="M810">
        <v>140250</v>
      </c>
      <c r="N810">
        <v>115500</v>
      </c>
      <c r="O810">
        <v>24750.000000000011</v>
      </c>
      <c r="P810" t="s">
        <v>109</v>
      </c>
      <c r="Q810" t="s">
        <v>110</v>
      </c>
      <c r="R810" t="s">
        <v>111</v>
      </c>
      <c r="S810" t="s">
        <v>60</v>
      </c>
      <c r="T810" t="s">
        <v>33</v>
      </c>
      <c r="U810" t="s">
        <v>34</v>
      </c>
      <c r="V810">
        <v>1</v>
      </c>
      <c r="W810">
        <f>Table1[[#This Row],[Profit]]/Table1[[#This Row],[Sales]]</f>
        <v>0.17647058823529418</v>
      </c>
    </row>
    <row r="811" spans="1:23" x14ac:dyDescent="0.25">
      <c r="A811" t="s">
        <v>1827</v>
      </c>
      <c r="B811" s="1">
        <v>45907</v>
      </c>
      <c r="C811" t="s">
        <v>193</v>
      </c>
      <c r="D811" t="s">
        <v>1828</v>
      </c>
      <c r="E811" t="s">
        <v>73</v>
      </c>
      <c r="F811" t="s">
        <v>74</v>
      </c>
      <c r="G811" t="s">
        <v>27</v>
      </c>
      <c r="H811" t="s">
        <v>75</v>
      </c>
      <c r="I811" t="s">
        <v>76</v>
      </c>
      <c r="J811">
        <v>3</v>
      </c>
      <c r="K811">
        <v>3500</v>
      </c>
      <c r="L811">
        <v>0</v>
      </c>
      <c r="M811">
        <v>10500</v>
      </c>
      <c r="N811">
        <v>7349.9999999999991</v>
      </c>
      <c r="O811">
        <v>3150.0000000000009</v>
      </c>
      <c r="P811" t="s">
        <v>95</v>
      </c>
      <c r="Q811" t="s">
        <v>96</v>
      </c>
      <c r="R811" t="s">
        <v>45</v>
      </c>
      <c r="S811" t="s">
        <v>46</v>
      </c>
      <c r="T811" t="s">
        <v>56</v>
      </c>
      <c r="U811" t="s">
        <v>48</v>
      </c>
      <c r="V811">
        <v>3</v>
      </c>
      <c r="W811">
        <f>Table1[[#This Row],[Profit]]/Table1[[#This Row],[Sales]]</f>
        <v>0.3000000000000001</v>
      </c>
    </row>
    <row r="812" spans="1:23" x14ac:dyDescent="0.25">
      <c r="A812" t="s">
        <v>1829</v>
      </c>
      <c r="B812" s="1">
        <v>45856</v>
      </c>
      <c r="C812" t="s">
        <v>1364</v>
      </c>
      <c r="D812" t="s">
        <v>188</v>
      </c>
      <c r="E812" t="s">
        <v>25</v>
      </c>
      <c r="F812" t="s">
        <v>26</v>
      </c>
      <c r="G812" t="s">
        <v>27</v>
      </c>
      <c r="H812" t="s">
        <v>28</v>
      </c>
      <c r="I812" t="s">
        <v>29</v>
      </c>
      <c r="J812">
        <v>5</v>
      </c>
      <c r="K812">
        <v>800</v>
      </c>
      <c r="L812">
        <v>0</v>
      </c>
      <c r="M812">
        <v>4000</v>
      </c>
      <c r="N812">
        <v>2800</v>
      </c>
      <c r="O812">
        <v>1200</v>
      </c>
      <c r="P812" t="s">
        <v>95</v>
      </c>
      <c r="Q812" t="s">
        <v>96</v>
      </c>
      <c r="R812" t="s">
        <v>45</v>
      </c>
      <c r="S812" t="s">
        <v>60</v>
      </c>
      <c r="T812" t="s">
        <v>33</v>
      </c>
      <c r="U812" t="s">
        <v>48</v>
      </c>
      <c r="V812">
        <v>3</v>
      </c>
      <c r="W812">
        <f>Table1[[#This Row],[Profit]]/Table1[[#This Row],[Sales]]</f>
        <v>0.3</v>
      </c>
    </row>
    <row r="813" spans="1:23" x14ac:dyDescent="0.25">
      <c r="A813" t="s">
        <v>1830</v>
      </c>
      <c r="B813" s="1">
        <v>45878</v>
      </c>
      <c r="C813" t="s">
        <v>1831</v>
      </c>
      <c r="D813" t="s">
        <v>1254</v>
      </c>
      <c r="E813" t="s">
        <v>25</v>
      </c>
      <c r="F813" t="s">
        <v>26</v>
      </c>
      <c r="G813" t="s">
        <v>27</v>
      </c>
      <c r="H813" t="s">
        <v>28</v>
      </c>
      <c r="I813" t="s">
        <v>29</v>
      </c>
      <c r="J813">
        <v>1</v>
      </c>
      <c r="K813">
        <v>800</v>
      </c>
      <c r="L813">
        <v>5</v>
      </c>
      <c r="M813">
        <v>760</v>
      </c>
      <c r="N813">
        <v>560</v>
      </c>
      <c r="O813">
        <v>200</v>
      </c>
      <c r="P813" t="s">
        <v>30</v>
      </c>
      <c r="Q813" t="s">
        <v>30</v>
      </c>
      <c r="R813" t="s">
        <v>31</v>
      </c>
      <c r="S813" t="s">
        <v>46</v>
      </c>
      <c r="T813" t="s">
        <v>47</v>
      </c>
      <c r="U813" t="s">
        <v>48</v>
      </c>
      <c r="V813">
        <v>1</v>
      </c>
      <c r="W813">
        <f>Table1[[#This Row],[Profit]]/Table1[[#This Row],[Sales]]</f>
        <v>0.26315789473684209</v>
      </c>
    </row>
    <row r="814" spans="1:23" x14ac:dyDescent="0.25">
      <c r="A814" t="s">
        <v>1832</v>
      </c>
      <c r="B814" s="1">
        <v>45911</v>
      </c>
      <c r="C814" t="s">
        <v>315</v>
      </c>
      <c r="D814" t="s">
        <v>1833</v>
      </c>
      <c r="E814" t="s">
        <v>67</v>
      </c>
      <c r="F814" t="s">
        <v>68</v>
      </c>
      <c r="G814" t="s">
        <v>27</v>
      </c>
      <c r="H814" t="s">
        <v>28</v>
      </c>
      <c r="I814" t="s">
        <v>69</v>
      </c>
      <c r="J814">
        <v>5</v>
      </c>
      <c r="K814">
        <v>1500</v>
      </c>
      <c r="L814">
        <v>15</v>
      </c>
      <c r="M814">
        <v>6375</v>
      </c>
      <c r="N814">
        <v>5250</v>
      </c>
      <c r="O814">
        <v>1125</v>
      </c>
      <c r="P814" t="s">
        <v>30</v>
      </c>
      <c r="Q814" t="s">
        <v>30</v>
      </c>
      <c r="R814" t="s">
        <v>31</v>
      </c>
      <c r="S814" t="s">
        <v>32</v>
      </c>
      <c r="T814" t="s">
        <v>33</v>
      </c>
      <c r="U814" t="s">
        <v>34</v>
      </c>
      <c r="V814">
        <v>4</v>
      </c>
      <c r="W814">
        <f>Table1[[#This Row],[Profit]]/Table1[[#This Row],[Sales]]</f>
        <v>0.17647058823529413</v>
      </c>
    </row>
    <row r="815" spans="1:23" x14ac:dyDescent="0.25">
      <c r="A815" t="s">
        <v>1834</v>
      </c>
      <c r="B815" s="1">
        <v>45799</v>
      </c>
      <c r="C815" t="s">
        <v>1835</v>
      </c>
      <c r="D815" t="s">
        <v>1256</v>
      </c>
      <c r="E815" t="s">
        <v>67</v>
      </c>
      <c r="F815" t="s">
        <v>68</v>
      </c>
      <c r="G815" t="s">
        <v>27</v>
      </c>
      <c r="H815" t="s">
        <v>28</v>
      </c>
      <c r="I815" t="s">
        <v>69</v>
      </c>
      <c r="J815">
        <v>4</v>
      </c>
      <c r="K815">
        <v>1500</v>
      </c>
      <c r="L815">
        <v>15</v>
      </c>
      <c r="M815">
        <v>5100</v>
      </c>
      <c r="N815">
        <v>4200</v>
      </c>
      <c r="O815">
        <v>900</v>
      </c>
      <c r="P815" t="s">
        <v>109</v>
      </c>
      <c r="Q815" t="s">
        <v>110</v>
      </c>
      <c r="R815" t="s">
        <v>111</v>
      </c>
      <c r="S815" t="s">
        <v>60</v>
      </c>
      <c r="T815" t="s">
        <v>56</v>
      </c>
      <c r="U815" t="s">
        <v>34</v>
      </c>
      <c r="V815">
        <v>5</v>
      </c>
      <c r="W815">
        <f>Table1[[#This Row],[Profit]]/Table1[[#This Row],[Sales]]</f>
        <v>0.17647058823529413</v>
      </c>
    </row>
    <row r="816" spans="1:23" x14ac:dyDescent="0.25">
      <c r="A816" t="s">
        <v>1836</v>
      </c>
      <c r="B816" s="1">
        <v>45948</v>
      </c>
      <c r="C816" t="s">
        <v>1771</v>
      </c>
      <c r="D816" t="s">
        <v>655</v>
      </c>
      <c r="E816" t="s">
        <v>38</v>
      </c>
      <c r="F816" t="s">
        <v>39</v>
      </c>
      <c r="G816" t="s">
        <v>40</v>
      </c>
      <c r="H816" t="s">
        <v>41</v>
      </c>
      <c r="I816" t="s">
        <v>42</v>
      </c>
      <c r="J816">
        <v>3</v>
      </c>
      <c r="K816">
        <v>4500</v>
      </c>
      <c r="L816">
        <v>5</v>
      </c>
      <c r="M816">
        <v>12825</v>
      </c>
      <c r="N816">
        <v>9450</v>
      </c>
      <c r="O816">
        <v>3375</v>
      </c>
      <c r="P816" t="s">
        <v>109</v>
      </c>
      <c r="Q816" t="s">
        <v>110</v>
      </c>
      <c r="R816" t="s">
        <v>111</v>
      </c>
      <c r="S816" t="s">
        <v>60</v>
      </c>
      <c r="T816" t="s">
        <v>47</v>
      </c>
      <c r="U816" t="s">
        <v>48</v>
      </c>
      <c r="V816">
        <v>4</v>
      </c>
      <c r="W816">
        <f>Table1[[#This Row],[Profit]]/Table1[[#This Row],[Sales]]</f>
        <v>0.26315789473684209</v>
      </c>
    </row>
    <row r="817" spans="1:23" x14ac:dyDescent="0.25">
      <c r="A817" t="s">
        <v>1837</v>
      </c>
      <c r="B817" s="1">
        <v>45738</v>
      </c>
      <c r="C817" t="s">
        <v>1838</v>
      </c>
      <c r="D817" t="s">
        <v>1208</v>
      </c>
      <c r="E817" t="s">
        <v>38</v>
      </c>
      <c r="F817" t="s">
        <v>39</v>
      </c>
      <c r="G817" t="s">
        <v>40</v>
      </c>
      <c r="H817" t="s">
        <v>41</v>
      </c>
      <c r="I817" t="s">
        <v>42</v>
      </c>
      <c r="J817">
        <v>3</v>
      </c>
      <c r="K817">
        <v>4500</v>
      </c>
      <c r="L817">
        <v>0</v>
      </c>
      <c r="M817">
        <v>13500</v>
      </c>
      <c r="N817">
        <v>9450</v>
      </c>
      <c r="O817">
        <v>4050</v>
      </c>
      <c r="P817" t="s">
        <v>109</v>
      </c>
      <c r="Q817" t="s">
        <v>110</v>
      </c>
      <c r="R817" t="s">
        <v>111</v>
      </c>
      <c r="S817" t="s">
        <v>60</v>
      </c>
      <c r="T817" t="s">
        <v>47</v>
      </c>
      <c r="U817" t="s">
        <v>34</v>
      </c>
      <c r="V817">
        <v>3</v>
      </c>
      <c r="W817">
        <f>Table1[[#This Row],[Profit]]/Table1[[#This Row],[Sales]]</f>
        <v>0.3</v>
      </c>
    </row>
    <row r="818" spans="1:23" x14ac:dyDescent="0.25">
      <c r="A818" t="s">
        <v>1839</v>
      </c>
      <c r="B818" s="1">
        <v>45834</v>
      </c>
      <c r="C818" t="s">
        <v>1600</v>
      </c>
      <c r="D818" t="s">
        <v>1840</v>
      </c>
      <c r="E818" t="s">
        <v>52</v>
      </c>
      <c r="F818" t="s">
        <v>53</v>
      </c>
      <c r="G818" t="s">
        <v>27</v>
      </c>
      <c r="H818" t="s">
        <v>54</v>
      </c>
      <c r="I818" t="s">
        <v>55</v>
      </c>
      <c r="J818">
        <v>3</v>
      </c>
      <c r="K818">
        <v>55000</v>
      </c>
      <c r="L818">
        <v>15</v>
      </c>
      <c r="M818">
        <v>140250</v>
      </c>
      <c r="N818">
        <v>115500</v>
      </c>
      <c r="O818">
        <v>24750.000000000011</v>
      </c>
      <c r="P818" t="s">
        <v>109</v>
      </c>
      <c r="Q818" t="s">
        <v>110</v>
      </c>
      <c r="R818" t="s">
        <v>111</v>
      </c>
      <c r="S818" t="s">
        <v>60</v>
      </c>
      <c r="T818" t="s">
        <v>47</v>
      </c>
      <c r="U818" t="s">
        <v>34</v>
      </c>
      <c r="V818">
        <v>1</v>
      </c>
      <c r="W818">
        <f>Table1[[#This Row],[Profit]]/Table1[[#This Row],[Sales]]</f>
        <v>0.17647058823529418</v>
      </c>
    </row>
    <row r="819" spans="1:23" x14ac:dyDescent="0.25">
      <c r="A819" t="s">
        <v>1841</v>
      </c>
      <c r="B819" s="1">
        <v>45689</v>
      </c>
      <c r="C819" t="s">
        <v>1842</v>
      </c>
      <c r="D819" t="s">
        <v>479</v>
      </c>
      <c r="E819" t="s">
        <v>38</v>
      </c>
      <c r="F819" t="s">
        <v>39</v>
      </c>
      <c r="G819" t="s">
        <v>40</v>
      </c>
      <c r="H819" t="s">
        <v>41</v>
      </c>
      <c r="I819" t="s">
        <v>42</v>
      </c>
      <c r="J819">
        <v>1</v>
      </c>
      <c r="K819">
        <v>4500</v>
      </c>
      <c r="L819">
        <v>15</v>
      </c>
      <c r="M819">
        <v>3825</v>
      </c>
      <c r="N819">
        <v>3150</v>
      </c>
      <c r="O819">
        <v>675</v>
      </c>
      <c r="P819" t="s">
        <v>30</v>
      </c>
      <c r="Q819" t="s">
        <v>30</v>
      </c>
      <c r="R819" t="s">
        <v>31</v>
      </c>
      <c r="S819" t="s">
        <v>46</v>
      </c>
      <c r="T819" t="s">
        <v>33</v>
      </c>
      <c r="U819" t="s">
        <v>34</v>
      </c>
      <c r="V819">
        <v>2</v>
      </c>
      <c r="W819">
        <f>Table1[[#This Row],[Profit]]/Table1[[#This Row],[Sales]]</f>
        <v>0.17647058823529413</v>
      </c>
    </row>
    <row r="820" spans="1:23" x14ac:dyDescent="0.25">
      <c r="A820" t="s">
        <v>1843</v>
      </c>
      <c r="B820" s="1">
        <v>45766</v>
      </c>
      <c r="C820" t="s">
        <v>1528</v>
      </c>
      <c r="D820" t="s">
        <v>1844</v>
      </c>
      <c r="E820" t="s">
        <v>52</v>
      </c>
      <c r="F820" t="s">
        <v>53</v>
      </c>
      <c r="G820" t="s">
        <v>27</v>
      </c>
      <c r="H820" t="s">
        <v>54</v>
      </c>
      <c r="I820" t="s">
        <v>55</v>
      </c>
      <c r="J820">
        <v>1</v>
      </c>
      <c r="K820">
        <v>55000</v>
      </c>
      <c r="L820">
        <v>5</v>
      </c>
      <c r="M820">
        <v>52250</v>
      </c>
      <c r="N820">
        <v>38500</v>
      </c>
      <c r="O820">
        <v>13750</v>
      </c>
      <c r="P820" t="s">
        <v>109</v>
      </c>
      <c r="Q820" t="s">
        <v>110</v>
      </c>
      <c r="R820" t="s">
        <v>111</v>
      </c>
      <c r="S820" t="s">
        <v>32</v>
      </c>
      <c r="T820" t="s">
        <v>47</v>
      </c>
      <c r="U820" t="s">
        <v>34</v>
      </c>
      <c r="V820">
        <v>4</v>
      </c>
      <c r="W820">
        <f>Table1[[#This Row],[Profit]]/Table1[[#This Row],[Sales]]</f>
        <v>0.26315789473684209</v>
      </c>
    </row>
    <row r="821" spans="1:23" x14ac:dyDescent="0.25">
      <c r="A821" t="s">
        <v>1845</v>
      </c>
      <c r="B821" s="1">
        <v>45843</v>
      </c>
      <c r="C821" t="s">
        <v>543</v>
      </c>
      <c r="D821" t="s">
        <v>168</v>
      </c>
      <c r="E821" t="s">
        <v>67</v>
      </c>
      <c r="F821" t="s">
        <v>68</v>
      </c>
      <c r="G821" t="s">
        <v>27</v>
      </c>
      <c r="H821" t="s">
        <v>28</v>
      </c>
      <c r="I821" t="s">
        <v>69</v>
      </c>
      <c r="J821">
        <v>3</v>
      </c>
      <c r="K821">
        <v>1500</v>
      </c>
      <c r="L821">
        <v>5</v>
      </c>
      <c r="M821">
        <v>4275</v>
      </c>
      <c r="N821">
        <v>3150</v>
      </c>
      <c r="O821">
        <v>1125</v>
      </c>
      <c r="P821" t="s">
        <v>109</v>
      </c>
      <c r="Q821" t="s">
        <v>110</v>
      </c>
      <c r="R821" t="s">
        <v>111</v>
      </c>
      <c r="S821" t="s">
        <v>60</v>
      </c>
      <c r="T821" t="s">
        <v>47</v>
      </c>
      <c r="U821" t="s">
        <v>34</v>
      </c>
      <c r="V821">
        <v>1</v>
      </c>
      <c r="W821">
        <f>Table1[[#This Row],[Profit]]/Table1[[#This Row],[Sales]]</f>
        <v>0.26315789473684209</v>
      </c>
    </row>
    <row r="822" spans="1:23" x14ac:dyDescent="0.25">
      <c r="A822" t="s">
        <v>1846</v>
      </c>
      <c r="B822" s="1">
        <v>45784</v>
      </c>
      <c r="C822" t="s">
        <v>1847</v>
      </c>
      <c r="D822" t="s">
        <v>1093</v>
      </c>
      <c r="E822" t="s">
        <v>52</v>
      </c>
      <c r="F822" t="s">
        <v>53</v>
      </c>
      <c r="G822" t="s">
        <v>27</v>
      </c>
      <c r="H822" t="s">
        <v>54</v>
      </c>
      <c r="I822" t="s">
        <v>55</v>
      </c>
      <c r="J822">
        <v>4</v>
      </c>
      <c r="K822">
        <v>55000</v>
      </c>
      <c r="L822">
        <v>15</v>
      </c>
      <c r="M822">
        <v>187000</v>
      </c>
      <c r="N822">
        <v>154000</v>
      </c>
      <c r="O822">
        <v>33000</v>
      </c>
      <c r="P822" t="s">
        <v>109</v>
      </c>
      <c r="Q822" t="s">
        <v>110</v>
      </c>
      <c r="R822" t="s">
        <v>111</v>
      </c>
      <c r="S822" t="s">
        <v>46</v>
      </c>
      <c r="T822" t="s">
        <v>56</v>
      </c>
      <c r="U822" t="s">
        <v>34</v>
      </c>
      <c r="V822">
        <v>2</v>
      </c>
      <c r="W822">
        <f>Table1[[#This Row],[Profit]]/Table1[[#This Row],[Sales]]</f>
        <v>0.17647058823529413</v>
      </c>
    </row>
    <row r="823" spans="1:23" x14ac:dyDescent="0.25">
      <c r="A823" t="s">
        <v>1848</v>
      </c>
      <c r="B823" s="1">
        <v>45902</v>
      </c>
      <c r="C823" t="s">
        <v>356</v>
      </c>
      <c r="D823" t="s">
        <v>1849</v>
      </c>
      <c r="E823" t="s">
        <v>52</v>
      </c>
      <c r="F823" t="s">
        <v>53</v>
      </c>
      <c r="G823" t="s">
        <v>27</v>
      </c>
      <c r="H823" t="s">
        <v>54</v>
      </c>
      <c r="I823" t="s">
        <v>55</v>
      </c>
      <c r="J823">
        <v>5</v>
      </c>
      <c r="K823">
        <v>55000</v>
      </c>
      <c r="L823">
        <v>5</v>
      </c>
      <c r="M823">
        <v>261250</v>
      </c>
      <c r="N823">
        <v>192500</v>
      </c>
      <c r="O823">
        <v>68750</v>
      </c>
      <c r="P823" t="s">
        <v>30</v>
      </c>
      <c r="Q823" t="s">
        <v>30</v>
      </c>
      <c r="R823" t="s">
        <v>31</v>
      </c>
      <c r="S823" t="s">
        <v>32</v>
      </c>
      <c r="T823" t="s">
        <v>56</v>
      </c>
      <c r="U823" t="s">
        <v>34</v>
      </c>
      <c r="V823">
        <v>5</v>
      </c>
      <c r="W823">
        <f>Table1[[#This Row],[Profit]]/Table1[[#This Row],[Sales]]</f>
        <v>0.26315789473684209</v>
      </c>
    </row>
    <row r="824" spans="1:23" x14ac:dyDescent="0.25">
      <c r="A824" t="s">
        <v>1850</v>
      </c>
      <c r="B824" s="1">
        <v>45731</v>
      </c>
      <c r="C824" t="s">
        <v>1851</v>
      </c>
      <c r="D824" t="s">
        <v>1559</v>
      </c>
      <c r="E824" t="s">
        <v>73</v>
      </c>
      <c r="F824" t="s">
        <v>74</v>
      </c>
      <c r="G824" t="s">
        <v>27</v>
      </c>
      <c r="H824" t="s">
        <v>75</v>
      </c>
      <c r="I824" t="s">
        <v>76</v>
      </c>
      <c r="J824">
        <v>1</v>
      </c>
      <c r="K824">
        <v>3500</v>
      </c>
      <c r="L824">
        <v>5</v>
      </c>
      <c r="M824">
        <v>3325</v>
      </c>
      <c r="N824">
        <v>2450</v>
      </c>
      <c r="O824">
        <v>875</v>
      </c>
      <c r="P824" t="s">
        <v>43</v>
      </c>
      <c r="Q824" t="s">
        <v>44</v>
      </c>
      <c r="R824" t="s">
        <v>45</v>
      </c>
      <c r="S824" t="s">
        <v>32</v>
      </c>
      <c r="T824" t="s">
        <v>33</v>
      </c>
      <c r="U824" t="s">
        <v>48</v>
      </c>
      <c r="V824">
        <v>5</v>
      </c>
      <c r="W824">
        <f>Table1[[#This Row],[Profit]]/Table1[[#This Row],[Sales]]</f>
        <v>0.26315789473684209</v>
      </c>
    </row>
    <row r="825" spans="1:23" x14ac:dyDescent="0.25">
      <c r="A825" t="s">
        <v>1852</v>
      </c>
      <c r="B825" s="1">
        <v>45913</v>
      </c>
      <c r="C825" t="s">
        <v>758</v>
      </c>
      <c r="D825" t="s">
        <v>1853</v>
      </c>
      <c r="E825" t="s">
        <v>25</v>
      </c>
      <c r="F825" t="s">
        <v>26</v>
      </c>
      <c r="G825" t="s">
        <v>27</v>
      </c>
      <c r="H825" t="s">
        <v>28</v>
      </c>
      <c r="I825" t="s">
        <v>29</v>
      </c>
      <c r="J825">
        <v>3</v>
      </c>
      <c r="K825">
        <v>800</v>
      </c>
      <c r="L825">
        <v>0</v>
      </c>
      <c r="M825">
        <v>2400</v>
      </c>
      <c r="N825">
        <v>1680</v>
      </c>
      <c r="O825">
        <v>720</v>
      </c>
      <c r="P825" t="s">
        <v>109</v>
      </c>
      <c r="Q825" t="s">
        <v>110</v>
      </c>
      <c r="R825" t="s">
        <v>111</v>
      </c>
      <c r="S825" t="s">
        <v>46</v>
      </c>
      <c r="T825" t="s">
        <v>47</v>
      </c>
      <c r="U825" t="s">
        <v>48</v>
      </c>
      <c r="V825">
        <v>5</v>
      </c>
      <c r="W825">
        <f>Table1[[#This Row],[Profit]]/Table1[[#This Row],[Sales]]</f>
        <v>0.3</v>
      </c>
    </row>
    <row r="826" spans="1:23" x14ac:dyDescent="0.25">
      <c r="A826" t="s">
        <v>1854</v>
      </c>
      <c r="B826" s="1">
        <v>45816</v>
      </c>
      <c r="C826" t="s">
        <v>1320</v>
      </c>
      <c r="D826" t="s">
        <v>1704</v>
      </c>
      <c r="E826" t="s">
        <v>52</v>
      </c>
      <c r="F826" t="s">
        <v>53</v>
      </c>
      <c r="G826" t="s">
        <v>27</v>
      </c>
      <c r="H826" t="s">
        <v>54</v>
      </c>
      <c r="I826" t="s">
        <v>55</v>
      </c>
      <c r="J826">
        <v>3</v>
      </c>
      <c r="K826">
        <v>55000</v>
      </c>
      <c r="L826">
        <v>15</v>
      </c>
      <c r="M826">
        <v>140250</v>
      </c>
      <c r="N826">
        <v>115500</v>
      </c>
      <c r="O826">
        <v>24750.000000000011</v>
      </c>
      <c r="P826" t="s">
        <v>30</v>
      </c>
      <c r="Q826" t="s">
        <v>30</v>
      </c>
      <c r="R826" t="s">
        <v>31</v>
      </c>
      <c r="S826" t="s">
        <v>60</v>
      </c>
      <c r="T826" t="s">
        <v>33</v>
      </c>
      <c r="U826" t="s">
        <v>48</v>
      </c>
      <c r="V826">
        <v>5</v>
      </c>
      <c r="W826">
        <f>Table1[[#This Row],[Profit]]/Table1[[#This Row],[Sales]]</f>
        <v>0.17647058823529418</v>
      </c>
    </row>
    <row r="827" spans="1:23" x14ac:dyDescent="0.25">
      <c r="A827" t="s">
        <v>1855</v>
      </c>
      <c r="B827" s="1">
        <v>45697</v>
      </c>
      <c r="C827" t="s">
        <v>81</v>
      </c>
      <c r="D827" t="s">
        <v>351</v>
      </c>
      <c r="E827" t="s">
        <v>67</v>
      </c>
      <c r="F827" t="s">
        <v>68</v>
      </c>
      <c r="G827" t="s">
        <v>27</v>
      </c>
      <c r="H827" t="s">
        <v>28</v>
      </c>
      <c r="I827" t="s">
        <v>69</v>
      </c>
      <c r="J827">
        <v>3</v>
      </c>
      <c r="K827">
        <v>1500</v>
      </c>
      <c r="L827">
        <v>10</v>
      </c>
      <c r="M827">
        <v>4050</v>
      </c>
      <c r="N827">
        <v>3150</v>
      </c>
      <c r="O827">
        <v>900</v>
      </c>
      <c r="P827" t="s">
        <v>30</v>
      </c>
      <c r="Q827" t="s">
        <v>30</v>
      </c>
      <c r="R827" t="s">
        <v>31</v>
      </c>
      <c r="S827" t="s">
        <v>60</v>
      </c>
      <c r="T827" t="s">
        <v>47</v>
      </c>
      <c r="U827" t="s">
        <v>48</v>
      </c>
      <c r="V827">
        <v>4</v>
      </c>
      <c r="W827">
        <f>Table1[[#This Row],[Profit]]/Table1[[#This Row],[Sales]]</f>
        <v>0.22222222222222221</v>
      </c>
    </row>
    <row r="828" spans="1:23" x14ac:dyDescent="0.25">
      <c r="A828" t="s">
        <v>1856</v>
      </c>
      <c r="B828" s="1">
        <v>45744</v>
      </c>
      <c r="C828" t="s">
        <v>1857</v>
      </c>
      <c r="D828" t="s">
        <v>917</v>
      </c>
      <c r="E828" t="s">
        <v>73</v>
      </c>
      <c r="F828" t="s">
        <v>74</v>
      </c>
      <c r="G828" t="s">
        <v>27</v>
      </c>
      <c r="H828" t="s">
        <v>75</v>
      </c>
      <c r="I828" t="s">
        <v>76</v>
      </c>
      <c r="J828">
        <v>2</v>
      </c>
      <c r="K828">
        <v>3500</v>
      </c>
      <c r="L828">
        <v>0</v>
      </c>
      <c r="M828">
        <v>7000</v>
      </c>
      <c r="N828">
        <v>4900</v>
      </c>
      <c r="O828">
        <v>2100</v>
      </c>
      <c r="P828" t="s">
        <v>109</v>
      </c>
      <c r="Q828" t="s">
        <v>110</v>
      </c>
      <c r="R828" t="s">
        <v>111</v>
      </c>
      <c r="S828" t="s">
        <v>60</v>
      </c>
      <c r="T828" t="s">
        <v>56</v>
      </c>
      <c r="U828" t="s">
        <v>48</v>
      </c>
      <c r="V828">
        <v>4</v>
      </c>
      <c r="W828">
        <f>Table1[[#This Row],[Profit]]/Table1[[#This Row],[Sales]]</f>
        <v>0.3</v>
      </c>
    </row>
    <row r="829" spans="1:23" x14ac:dyDescent="0.25">
      <c r="A829" t="s">
        <v>1858</v>
      </c>
      <c r="B829" s="1">
        <v>45853</v>
      </c>
      <c r="C829" t="s">
        <v>1859</v>
      </c>
      <c r="D829" t="s">
        <v>162</v>
      </c>
      <c r="E829" t="s">
        <v>67</v>
      </c>
      <c r="F829" t="s">
        <v>68</v>
      </c>
      <c r="G829" t="s">
        <v>27</v>
      </c>
      <c r="H829" t="s">
        <v>28</v>
      </c>
      <c r="I829" t="s">
        <v>69</v>
      </c>
      <c r="J829">
        <v>2</v>
      </c>
      <c r="K829">
        <v>1500</v>
      </c>
      <c r="L829">
        <v>15</v>
      </c>
      <c r="M829">
        <v>2550</v>
      </c>
      <c r="N829">
        <v>2100</v>
      </c>
      <c r="O829">
        <v>450</v>
      </c>
      <c r="P829" t="s">
        <v>43</v>
      </c>
      <c r="Q829" t="s">
        <v>44</v>
      </c>
      <c r="R829" t="s">
        <v>45</v>
      </c>
      <c r="S829" t="s">
        <v>32</v>
      </c>
      <c r="T829" t="s">
        <v>56</v>
      </c>
      <c r="U829" t="s">
        <v>48</v>
      </c>
      <c r="V829">
        <v>1</v>
      </c>
      <c r="W829">
        <f>Table1[[#This Row],[Profit]]/Table1[[#This Row],[Sales]]</f>
        <v>0.17647058823529413</v>
      </c>
    </row>
    <row r="830" spans="1:23" x14ac:dyDescent="0.25">
      <c r="A830" t="s">
        <v>1860</v>
      </c>
      <c r="B830" s="1">
        <v>45683</v>
      </c>
      <c r="C830" t="s">
        <v>739</v>
      </c>
      <c r="D830" t="s">
        <v>1573</v>
      </c>
      <c r="E830" t="s">
        <v>25</v>
      </c>
      <c r="F830" t="s">
        <v>26</v>
      </c>
      <c r="G830" t="s">
        <v>27</v>
      </c>
      <c r="H830" t="s">
        <v>28</v>
      </c>
      <c r="I830" t="s">
        <v>29</v>
      </c>
      <c r="J830">
        <v>2</v>
      </c>
      <c r="K830">
        <v>800</v>
      </c>
      <c r="L830">
        <v>5</v>
      </c>
      <c r="M830">
        <v>1520</v>
      </c>
      <c r="N830">
        <v>1120</v>
      </c>
      <c r="O830">
        <v>400</v>
      </c>
      <c r="P830" t="s">
        <v>95</v>
      </c>
      <c r="Q830" t="s">
        <v>96</v>
      </c>
      <c r="R830" t="s">
        <v>45</v>
      </c>
      <c r="S830" t="s">
        <v>60</v>
      </c>
      <c r="T830" t="s">
        <v>47</v>
      </c>
      <c r="U830" t="s">
        <v>48</v>
      </c>
      <c r="V830">
        <v>1</v>
      </c>
      <c r="W830">
        <f>Table1[[#This Row],[Profit]]/Table1[[#This Row],[Sales]]</f>
        <v>0.26315789473684209</v>
      </c>
    </row>
    <row r="831" spans="1:23" x14ac:dyDescent="0.25">
      <c r="A831" t="s">
        <v>1861</v>
      </c>
      <c r="B831" s="1">
        <v>45936</v>
      </c>
      <c r="C831" t="s">
        <v>1862</v>
      </c>
      <c r="D831" t="s">
        <v>1458</v>
      </c>
      <c r="E831" t="s">
        <v>73</v>
      </c>
      <c r="F831" t="s">
        <v>74</v>
      </c>
      <c r="G831" t="s">
        <v>27</v>
      </c>
      <c r="H831" t="s">
        <v>75</v>
      </c>
      <c r="I831" t="s">
        <v>76</v>
      </c>
      <c r="J831">
        <v>2</v>
      </c>
      <c r="K831">
        <v>3500</v>
      </c>
      <c r="L831">
        <v>0</v>
      </c>
      <c r="M831">
        <v>7000</v>
      </c>
      <c r="N831">
        <v>4900</v>
      </c>
      <c r="O831">
        <v>2100</v>
      </c>
      <c r="P831" t="s">
        <v>43</v>
      </c>
      <c r="Q831" t="s">
        <v>44</v>
      </c>
      <c r="R831" t="s">
        <v>45</v>
      </c>
      <c r="S831" t="s">
        <v>32</v>
      </c>
      <c r="T831" t="s">
        <v>33</v>
      </c>
      <c r="U831" t="s">
        <v>48</v>
      </c>
      <c r="V831">
        <v>5</v>
      </c>
      <c r="W831">
        <f>Table1[[#This Row],[Profit]]/Table1[[#This Row],[Sales]]</f>
        <v>0.3</v>
      </c>
    </row>
    <row r="832" spans="1:23" x14ac:dyDescent="0.25">
      <c r="A832" t="s">
        <v>1863</v>
      </c>
      <c r="B832" s="1">
        <v>45904</v>
      </c>
      <c r="C832" t="s">
        <v>1864</v>
      </c>
      <c r="D832" t="s">
        <v>1865</v>
      </c>
      <c r="E832" t="s">
        <v>52</v>
      </c>
      <c r="F832" t="s">
        <v>53</v>
      </c>
      <c r="G832" t="s">
        <v>27</v>
      </c>
      <c r="H832" t="s">
        <v>54</v>
      </c>
      <c r="I832" t="s">
        <v>55</v>
      </c>
      <c r="J832">
        <v>4</v>
      </c>
      <c r="K832">
        <v>55000</v>
      </c>
      <c r="L832">
        <v>15</v>
      </c>
      <c r="M832">
        <v>187000</v>
      </c>
      <c r="N832">
        <v>154000</v>
      </c>
      <c r="O832">
        <v>33000</v>
      </c>
      <c r="P832" t="s">
        <v>95</v>
      </c>
      <c r="Q832" t="s">
        <v>96</v>
      </c>
      <c r="R832" t="s">
        <v>45</v>
      </c>
      <c r="S832" t="s">
        <v>46</v>
      </c>
      <c r="T832" t="s">
        <v>56</v>
      </c>
      <c r="U832" t="s">
        <v>34</v>
      </c>
      <c r="V832">
        <v>5</v>
      </c>
      <c r="W832">
        <f>Table1[[#This Row],[Profit]]/Table1[[#This Row],[Sales]]</f>
        <v>0.17647058823529413</v>
      </c>
    </row>
    <row r="833" spans="1:23" x14ac:dyDescent="0.25">
      <c r="A833" t="s">
        <v>1866</v>
      </c>
      <c r="B833" s="1">
        <v>45968</v>
      </c>
      <c r="C833" t="s">
        <v>1867</v>
      </c>
      <c r="D833" t="s">
        <v>504</v>
      </c>
      <c r="E833" t="s">
        <v>67</v>
      </c>
      <c r="F833" t="s">
        <v>68</v>
      </c>
      <c r="G833" t="s">
        <v>27</v>
      </c>
      <c r="H833" t="s">
        <v>28</v>
      </c>
      <c r="I833" t="s">
        <v>69</v>
      </c>
      <c r="J833">
        <v>5</v>
      </c>
      <c r="K833">
        <v>1500</v>
      </c>
      <c r="L833">
        <v>10</v>
      </c>
      <c r="M833">
        <v>6750</v>
      </c>
      <c r="N833">
        <v>5250</v>
      </c>
      <c r="O833">
        <v>1500</v>
      </c>
      <c r="P833" t="s">
        <v>95</v>
      </c>
      <c r="Q833" t="s">
        <v>96</v>
      </c>
      <c r="R833" t="s">
        <v>45</v>
      </c>
      <c r="S833" t="s">
        <v>46</v>
      </c>
      <c r="T833" t="s">
        <v>33</v>
      </c>
      <c r="U833" t="s">
        <v>48</v>
      </c>
      <c r="V833">
        <v>5</v>
      </c>
      <c r="W833">
        <f>Table1[[#This Row],[Profit]]/Table1[[#This Row],[Sales]]</f>
        <v>0.22222222222222221</v>
      </c>
    </row>
    <row r="834" spans="1:23" x14ac:dyDescent="0.25">
      <c r="A834" t="s">
        <v>1868</v>
      </c>
      <c r="B834" s="1">
        <v>45803</v>
      </c>
      <c r="C834" t="s">
        <v>669</v>
      </c>
      <c r="D834" t="s">
        <v>1869</v>
      </c>
      <c r="E834" t="s">
        <v>73</v>
      </c>
      <c r="F834" t="s">
        <v>74</v>
      </c>
      <c r="G834" t="s">
        <v>27</v>
      </c>
      <c r="H834" t="s">
        <v>75</v>
      </c>
      <c r="I834" t="s">
        <v>76</v>
      </c>
      <c r="J834">
        <v>1</v>
      </c>
      <c r="K834">
        <v>3500</v>
      </c>
      <c r="L834">
        <v>15</v>
      </c>
      <c r="M834">
        <v>2975</v>
      </c>
      <c r="N834">
        <v>2450</v>
      </c>
      <c r="O834">
        <v>525</v>
      </c>
      <c r="P834" t="s">
        <v>30</v>
      </c>
      <c r="Q834" t="s">
        <v>30</v>
      </c>
      <c r="R834" t="s">
        <v>31</v>
      </c>
      <c r="S834" t="s">
        <v>46</v>
      </c>
      <c r="T834" t="s">
        <v>33</v>
      </c>
      <c r="U834" t="s">
        <v>48</v>
      </c>
      <c r="V834">
        <v>5</v>
      </c>
      <c r="W834">
        <f>Table1[[#This Row],[Profit]]/Table1[[#This Row],[Sales]]</f>
        <v>0.17647058823529413</v>
      </c>
    </row>
    <row r="835" spans="1:23" x14ac:dyDescent="0.25">
      <c r="A835" t="s">
        <v>1870</v>
      </c>
      <c r="B835" s="1">
        <v>45677</v>
      </c>
      <c r="C835" t="s">
        <v>1871</v>
      </c>
      <c r="D835" t="s">
        <v>1132</v>
      </c>
      <c r="E835" t="s">
        <v>25</v>
      </c>
      <c r="F835" t="s">
        <v>26</v>
      </c>
      <c r="G835" t="s">
        <v>27</v>
      </c>
      <c r="H835" t="s">
        <v>28</v>
      </c>
      <c r="I835" t="s">
        <v>29</v>
      </c>
      <c r="J835">
        <v>1</v>
      </c>
      <c r="K835">
        <v>800</v>
      </c>
      <c r="L835">
        <v>0</v>
      </c>
      <c r="M835">
        <v>800</v>
      </c>
      <c r="N835">
        <v>560</v>
      </c>
      <c r="O835">
        <v>240</v>
      </c>
      <c r="P835" t="s">
        <v>109</v>
      </c>
      <c r="Q835" t="s">
        <v>110</v>
      </c>
      <c r="R835" t="s">
        <v>111</v>
      </c>
      <c r="S835" t="s">
        <v>60</v>
      </c>
      <c r="T835" t="s">
        <v>33</v>
      </c>
      <c r="U835" t="s">
        <v>34</v>
      </c>
      <c r="V835">
        <v>5</v>
      </c>
      <c r="W835">
        <f>Table1[[#This Row],[Profit]]/Table1[[#This Row],[Sales]]</f>
        <v>0.3</v>
      </c>
    </row>
    <row r="836" spans="1:23" x14ac:dyDescent="0.25">
      <c r="A836" t="s">
        <v>1872</v>
      </c>
      <c r="B836" s="1">
        <v>45665</v>
      </c>
      <c r="C836" t="s">
        <v>1873</v>
      </c>
      <c r="D836" t="s">
        <v>1237</v>
      </c>
      <c r="E836" t="s">
        <v>52</v>
      </c>
      <c r="F836" t="s">
        <v>53</v>
      </c>
      <c r="G836" t="s">
        <v>27</v>
      </c>
      <c r="H836" t="s">
        <v>54</v>
      </c>
      <c r="I836" t="s">
        <v>55</v>
      </c>
      <c r="J836">
        <v>1</v>
      </c>
      <c r="K836">
        <v>55000</v>
      </c>
      <c r="L836">
        <v>10</v>
      </c>
      <c r="M836">
        <v>49500</v>
      </c>
      <c r="N836">
        <v>38500</v>
      </c>
      <c r="O836">
        <v>11000</v>
      </c>
      <c r="P836" t="s">
        <v>30</v>
      </c>
      <c r="Q836" t="s">
        <v>30</v>
      </c>
      <c r="R836" t="s">
        <v>31</v>
      </c>
      <c r="S836" t="s">
        <v>46</v>
      </c>
      <c r="T836" t="s">
        <v>47</v>
      </c>
      <c r="U836" t="s">
        <v>34</v>
      </c>
      <c r="V836">
        <v>4</v>
      </c>
      <c r="W836">
        <f>Table1[[#This Row],[Profit]]/Table1[[#This Row],[Sales]]</f>
        <v>0.22222222222222221</v>
      </c>
    </row>
    <row r="837" spans="1:23" x14ac:dyDescent="0.25">
      <c r="A837" t="s">
        <v>1874</v>
      </c>
      <c r="B837" s="1">
        <v>45793</v>
      </c>
      <c r="C837" t="s">
        <v>1875</v>
      </c>
      <c r="D837" t="s">
        <v>220</v>
      </c>
      <c r="E837" t="s">
        <v>73</v>
      </c>
      <c r="F837" t="s">
        <v>74</v>
      </c>
      <c r="G837" t="s">
        <v>27</v>
      </c>
      <c r="H837" t="s">
        <v>75</v>
      </c>
      <c r="I837" t="s">
        <v>76</v>
      </c>
      <c r="J837">
        <v>3</v>
      </c>
      <c r="K837">
        <v>3500</v>
      </c>
      <c r="L837">
        <v>10</v>
      </c>
      <c r="M837">
        <v>9450</v>
      </c>
      <c r="N837">
        <v>7349.9999999999991</v>
      </c>
      <c r="O837">
        <v>2100.0000000000009</v>
      </c>
      <c r="P837" t="s">
        <v>30</v>
      </c>
      <c r="Q837" t="s">
        <v>30</v>
      </c>
      <c r="R837" t="s">
        <v>31</v>
      </c>
      <c r="S837" t="s">
        <v>46</v>
      </c>
      <c r="T837" t="s">
        <v>56</v>
      </c>
      <c r="U837" t="s">
        <v>34</v>
      </c>
      <c r="V837">
        <v>3</v>
      </c>
      <c r="W837">
        <f>Table1[[#This Row],[Profit]]/Table1[[#This Row],[Sales]]</f>
        <v>0.22222222222222232</v>
      </c>
    </row>
    <row r="838" spans="1:23" x14ac:dyDescent="0.25">
      <c r="A838" t="s">
        <v>1876</v>
      </c>
      <c r="B838" s="1">
        <v>45805</v>
      </c>
      <c r="C838" t="s">
        <v>1877</v>
      </c>
      <c r="D838" t="s">
        <v>1640</v>
      </c>
      <c r="E838" t="s">
        <v>25</v>
      </c>
      <c r="F838" t="s">
        <v>26</v>
      </c>
      <c r="G838" t="s">
        <v>27</v>
      </c>
      <c r="H838" t="s">
        <v>28</v>
      </c>
      <c r="I838" t="s">
        <v>29</v>
      </c>
      <c r="J838">
        <v>5</v>
      </c>
      <c r="K838">
        <v>800</v>
      </c>
      <c r="L838">
        <v>0</v>
      </c>
      <c r="M838">
        <v>4000</v>
      </c>
      <c r="N838">
        <v>2800</v>
      </c>
      <c r="O838">
        <v>1200</v>
      </c>
      <c r="P838" t="s">
        <v>30</v>
      </c>
      <c r="Q838" t="s">
        <v>30</v>
      </c>
      <c r="R838" t="s">
        <v>31</v>
      </c>
      <c r="S838" t="s">
        <v>32</v>
      </c>
      <c r="T838" t="s">
        <v>56</v>
      </c>
      <c r="U838" t="s">
        <v>34</v>
      </c>
      <c r="V838">
        <v>3</v>
      </c>
      <c r="W838">
        <f>Table1[[#This Row],[Profit]]/Table1[[#This Row],[Sales]]</f>
        <v>0.3</v>
      </c>
    </row>
    <row r="839" spans="1:23" x14ac:dyDescent="0.25">
      <c r="A839" t="s">
        <v>1878</v>
      </c>
      <c r="B839" s="1">
        <v>46000</v>
      </c>
      <c r="C839" t="s">
        <v>1809</v>
      </c>
      <c r="D839" t="s">
        <v>153</v>
      </c>
      <c r="E839" t="s">
        <v>38</v>
      </c>
      <c r="F839" t="s">
        <v>39</v>
      </c>
      <c r="G839" t="s">
        <v>40</v>
      </c>
      <c r="H839" t="s">
        <v>41</v>
      </c>
      <c r="I839" t="s">
        <v>42</v>
      </c>
      <c r="J839">
        <v>3</v>
      </c>
      <c r="K839">
        <v>4500</v>
      </c>
      <c r="L839">
        <v>0</v>
      </c>
      <c r="M839">
        <v>13500</v>
      </c>
      <c r="N839">
        <v>9450</v>
      </c>
      <c r="O839">
        <v>4050</v>
      </c>
      <c r="P839" t="s">
        <v>30</v>
      </c>
      <c r="Q839" t="s">
        <v>30</v>
      </c>
      <c r="R839" t="s">
        <v>31</v>
      </c>
      <c r="S839" t="s">
        <v>32</v>
      </c>
      <c r="T839" t="s">
        <v>56</v>
      </c>
      <c r="U839" t="s">
        <v>34</v>
      </c>
      <c r="V839">
        <v>3</v>
      </c>
      <c r="W839">
        <f>Table1[[#This Row],[Profit]]/Table1[[#This Row],[Sales]]</f>
        <v>0.3</v>
      </c>
    </row>
    <row r="840" spans="1:23" x14ac:dyDescent="0.25">
      <c r="A840" t="s">
        <v>1879</v>
      </c>
      <c r="B840" s="1">
        <v>45808</v>
      </c>
      <c r="C840" t="s">
        <v>1815</v>
      </c>
      <c r="D840" t="s">
        <v>37</v>
      </c>
      <c r="E840" t="s">
        <v>73</v>
      </c>
      <c r="F840" t="s">
        <v>74</v>
      </c>
      <c r="G840" t="s">
        <v>27</v>
      </c>
      <c r="H840" t="s">
        <v>75</v>
      </c>
      <c r="I840" t="s">
        <v>76</v>
      </c>
      <c r="J840">
        <v>2</v>
      </c>
      <c r="K840">
        <v>3500</v>
      </c>
      <c r="L840">
        <v>10</v>
      </c>
      <c r="M840">
        <v>6300</v>
      </c>
      <c r="N840">
        <v>4900</v>
      </c>
      <c r="O840">
        <v>1400</v>
      </c>
      <c r="P840" t="s">
        <v>95</v>
      </c>
      <c r="Q840" t="s">
        <v>96</v>
      </c>
      <c r="R840" t="s">
        <v>45</v>
      </c>
      <c r="S840" t="s">
        <v>32</v>
      </c>
      <c r="T840" t="s">
        <v>47</v>
      </c>
      <c r="U840" t="s">
        <v>48</v>
      </c>
      <c r="V840">
        <v>5</v>
      </c>
      <c r="W840">
        <f>Table1[[#This Row],[Profit]]/Table1[[#This Row],[Sales]]</f>
        <v>0.22222222222222221</v>
      </c>
    </row>
    <row r="841" spans="1:23" x14ac:dyDescent="0.25">
      <c r="A841" t="s">
        <v>1880</v>
      </c>
      <c r="B841" s="1">
        <v>45970</v>
      </c>
      <c r="C841" t="s">
        <v>1851</v>
      </c>
      <c r="D841" t="s">
        <v>415</v>
      </c>
      <c r="E841" t="s">
        <v>52</v>
      </c>
      <c r="F841" t="s">
        <v>53</v>
      </c>
      <c r="G841" t="s">
        <v>27</v>
      </c>
      <c r="H841" t="s">
        <v>54</v>
      </c>
      <c r="I841" t="s">
        <v>55</v>
      </c>
      <c r="J841">
        <v>4</v>
      </c>
      <c r="K841">
        <v>55000</v>
      </c>
      <c r="L841">
        <v>15</v>
      </c>
      <c r="M841">
        <v>187000</v>
      </c>
      <c r="N841">
        <v>154000</v>
      </c>
      <c r="O841">
        <v>33000</v>
      </c>
      <c r="P841" t="s">
        <v>109</v>
      </c>
      <c r="Q841" t="s">
        <v>110</v>
      </c>
      <c r="R841" t="s">
        <v>111</v>
      </c>
      <c r="S841" t="s">
        <v>46</v>
      </c>
      <c r="T841" t="s">
        <v>33</v>
      </c>
      <c r="U841" t="s">
        <v>34</v>
      </c>
      <c r="V841">
        <v>1</v>
      </c>
      <c r="W841">
        <f>Table1[[#This Row],[Profit]]/Table1[[#This Row],[Sales]]</f>
        <v>0.17647058823529413</v>
      </c>
    </row>
    <row r="842" spans="1:23" x14ac:dyDescent="0.25">
      <c r="A842" t="s">
        <v>1881</v>
      </c>
      <c r="B842" s="1">
        <v>45985</v>
      </c>
      <c r="C842" t="s">
        <v>1882</v>
      </c>
      <c r="D842" t="s">
        <v>123</v>
      </c>
      <c r="E842" t="s">
        <v>67</v>
      </c>
      <c r="F842" t="s">
        <v>68</v>
      </c>
      <c r="G842" t="s">
        <v>27</v>
      </c>
      <c r="H842" t="s">
        <v>28</v>
      </c>
      <c r="I842" t="s">
        <v>69</v>
      </c>
      <c r="J842">
        <v>5</v>
      </c>
      <c r="K842">
        <v>1500</v>
      </c>
      <c r="L842">
        <v>5</v>
      </c>
      <c r="M842">
        <v>7125</v>
      </c>
      <c r="N842">
        <v>5250</v>
      </c>
      <c r="O842">
        <v>1875</v>
      </c>
      <c r="P842" t="s">
        <v>43</v>
      </c>
      <c r="Q842" t="s">
        <v>44</v>
      </c>
      <c r="R842" t="s">
        <v>45</v>
      </c>
      <c r="S842" t="s">
        <v>60</v>
      </c>
      <c r="T842" t="s">
        <v>56</v>
      </c>
      <c r="U842" t="s">
        <v>34</v>
      </c>
      <c r="V842">
        <v>3</v>
      </c>
      <c r="W842">
        <f>Table1[[#This Row],[Profit]]/Table1[[#This Row],[Sales]]</f>
        <v>0.26315789473684209</v>
      </c>
    </row>
    <row r="843" spans="1:23" x14ac:dyDescent="0.25">
      <c r="A843" t="s">
        <v>1883</v>
      </c>
      <c r="B843" s="1">
        <v>45827</v>
      </c>
      <c r="C843" t="s">
        <v>278</v>
      </c>
      <c r="D843" t="s">
        <v>182</v>
      </c>
      <c r="E843" t="s">
        <v>73</v>
      </c>
      <c r="F843" t="s">
        <v>74</v>
      </c>
      <c r="G843" t="s">
        <v>27</v>
      </c>
      <c r="H843" t="s">
        <v>75</v>
      </c>
      <c r="I843" t="s">
        <v>76</v>
      </c>
      <c r="J843">
        <v>1</v>
      </c>
      <c r="K843">
        <v>3500</v>
      </c>
      <c r="L843">
        <v>10</v>
      </c>
      <c r="M843">
        <v>3150</v>
      </c>
      <c r="N843">
        <v>2450</v>
      </c>
      <c r="O843">
        <v>700</v>
      </c>
      <c r="P843" t="s">
        <v>43</v>
      </c>
      <c r="Q843" t="s">
        <v>44</v>
      </c>
      <c r="R843" t="s">
        <v>45</v>
      </c>
      <c r="S843" t="s">
        <v>60</v>
      </c>
      <c r="T843" t="s">
        <v>47</v>
      </c>
      <c r="U843" t="s">
        <v>34</v>
      </c>
      <c r="V843">
        <v>2</v>
      </c>
      <c r="W843">
        <f>Table1[[#This Row],[Profit]]/Table1[[#This Row],[Sales]]</f>
        <v>0.22222222222222221</v>
      </c>
    </row>
    <row r="844" spans="1:23" x14ac:dyDescent="0.25">
      <c r="A844" t="s">
        <v>1884</v>
      </c>
      <c r="B844" s="1">
        <v>45828</v>
      </c>
      <c r="C844" t="s">
        <v>1885</v>
      </c>
      <c r="D844" t="s">
        <v>1128</v>
      </c>
      <c r="E844" t="s">
        <v>38</v>
      </c>
      <c r="F844" t="s">
        <v>39</v>
      </c>
      <c r="G844" t="s">
        <v>40</v>
      </c>
      <c r="H844" t="s">
        <v>41</v>
      </c>
      <c r="I844" t="s">
        <v>42</v>
      </c>
      <c r="J844">
        <v>5</v>
      </c>
      <c r="K844">
        <v>4500</v>
      </c>
      <c r="L844">
        <v>15</v>
      </c>
      <c r="M844">
        <v>19125</v>
      </c>
      <c r="N844">
        <v>15750</v>
      </c>
      <c r="O844">
        <v>3375.0000000000018</v>
      </c>
      <c r="P844" t="s">
        <v>30</v>
      </c>
      <c r="Q844" t="s">
        <v>30</v>
      </c>
      <c r="R844" t="s">
        <v>31</v>
      </c>
      <c r="S844" t="s">
        <v>46</v>
      </c>
      <c r="T844" t="s">
        <v>33</v>
      </c>
      <c r="U844" t="s">
        <v>48</v>
      </c>
      <c r="V844">
        <v>1</v>
      </c>
      <c r="W844">
        <f>Table1[[#This Row],[Profit]]/Table1[[#This Row],[Sales]]</f>
        <v>0.17647058823529421</v>
      </c>
    </row>
    <row r="845" spans="1:23" x14ac:dyDescent="0.25">
      <c r="A845" t="s">
        <v>1886</v>
      </c>
      <c r="B845" s="1">
        <v>45741</v>
      </c>
      <c r="C845" t="s">
        <v>1205</v>
      </c>
      <c r="D845" t="s">
        <v>129</v>
      </c>
      <c r="E845" t="s">
        <v>25</v>
      </c>
      <c r="F845" t="s">
        <v>26</v>
      </c>
      <c r="G845" t="s">
        <v>27</v>
      </c>
      <c r="H845" t="s">
        <v>28</v>
      </c>
      <c r="I845" t="s">
        <v>29</v>
      </c>
      <c r="J845">
        <v>5</v>
      </c>
      <c r="K845">
        <v>800</v>
      </c>
      <c r="L845">
        <v>10</v>
      </c>
      <c r="M845">
        <v>3600</v>
      </c>
      <c r="N845">
        <v>2800</v>
      </c>
      <c r="O845">
        <v>800</v>
      </c>
      <c r="P845" t="s">
        <v>95</v>
      </c>
      <c r="Q845" t="s">
        <v>96</v>
      </c>
      <c r="R845" t="s">
        <v>45</v>
      </c>
      <c r="S845" t="s">
        <v>32</v>
      </c>
      <c r="T845" t="s">
        <v>56</v>
      </c>
      <c r="U845" t="s">
        <v>34</v>
      </c>
      <c r="V845">
        <v>2</v>
      </c>
      <c r="W845">
        <f>Table1[[#This Row],[Profit]]/Table1[[#This Row],[Sales]]</f>
        <v>0.22222222222222221</v>
      </c>
    </row>
    <row r="846" spans="1:23" x14ac:dyDescent="0.25">
      <c r="A846" t="s">
        <v>1887</v>
      </c>
      <c r="B846" s="1">
        <v>46022</v>
      </c>
      <c r="C846" t="s">
        <v>702</v>
      </c>
      <c r="D846" t="s">
        <v>655</v>
      </c>
      <c r="E846" t="s">
        <v>73</v>
      </c>
      <c r="F846" t="s">
        <v>74</v>
      </c>
      <c r="G846" t="s">
        <v>27</v>
      </c>
      <c r="H846" t="s">
        <v>75</v>
      </c>
      <c r="I846" t="s">
        <v>76</v>
      </c>
      <c r="J846">
        <v>1</v>
      </c>
      <c r="K846">
        <v>3500</v>
      </c>
      <c r="L846">
        <v>5</v>
      </c>
      <c r="M846">
        <v>3325</v>
      </c>
      <c r="N846">
        <v>2450</v>
      </c>
      <c r="O846">
        <v>875</v>
      </c>
      <c r="P846" t="s">
        <v>43</v>
      </c>
      <c r="Q846" t="s">
        <v>44</v>
      </c>
      <c r="R846" t="s">
        <v>45</v>
      </c>
      <c r="S846" t="s">
        <v>32</v>
      </c>
      <c r="T846" t="s">
        <v>33</v>
      </c>
      <c r="U846" t="s">
        <v>48</v>
      </c>
      <c r="V846">
        <v>5</v>
      </c>
      <c r="W846">
        <f>Table1[[#This Row],[Profit]]/Table1[[#This Row],[Sales]]</f>
        <v>0.26315789473684209</v>
      </c>
    </row>
    <row r="847" spans="1:23" x14ac:dyDescent="0.25">
      <c r="A847" t="s">
        <v>1888</v>
      </c>
      <c r="B847" s="1">
        <v>45776</v>
      </c>
      <c r="C847" t="s">
        <v>1889</v>
      </c>
      <c r="D847" t="s">
        <v>1890</v>
      </c>
      <c r="E847" t="s">
        <v>38</v>
      </c>
      <c r="F847" t="s">
        <v>39</v>
      </c>
      <c r="G847" t="s">
        <v>40</v>
      </c>
      <c r="H847" t="s">
        <v>41</v>
      </c>
      <c r="I847" t="s">
        <v>42</v>
      </c>
      <c r="J847">
        <v>3</v>
      </c>
      <c r="K847">
        <v>4500</v>
      </c>
      <c r="L847">
        <v>15</v>
      </c>
      <c r="M847">
        <v>11475</v>
      </c>
      <c r="N847">
        <v>9450</v>
      </c>
      <c r="O847">
        <v>2025</v>
      </c>
      <c r="P847" t="s">
        <v>109</v>
      </c>
      <c r="Q847" t="s">
        <v>110</v>
      </c>
      <c r="R847" t="s">
        <v>111</v>
      </c>
      <c r="S847" t="s">
        <v>32</v>
      </c>
      <c r="T847" t="s">
        <v>56</v>
      </c>
      <c r="U847" t="s">
        <v>34</v>
      </c>
      <c r="V847">
        <v>5</v>
      </c>
      <c r="W847">
        <f>Table1[[#This Row],[Profit]]/Table1[[#This Row],[Sales]]</f>
        <v>0.17647058823529413</v>
      </c>
    </row>
    <row r="848" spans="1:23" x14ac:dyDescent="0.25">
      <c r="A848" t="s">
        <v>1891</v>
      </c>
      <c r="B848" s="1">
        <v>45973</v>
      </c>
      <c r="C848" t="s">
        <v>1892</v>
      </c>
      <c r="D848" t="s">
        <v>523</v>
      </c>
      <c r="E848" t="s">
        <v>52</v>
      </c>
      <c r="F848" t="s">
        <v>53</v>
      </c>
      <c r="G848" t="s">
        <v>27</v>
      </c>
      <c r="H848" t="s">
        <v>54</v>
      </c>
      <c r="I848" t="s">
        <v>55</v>
      </c>
      <c r="J848">
        <v>4</v>
      </c>
      <c r="K848">
        <v>55000</v>
      </c>
      <c r="L848">
        <v>15</v>
      </c>
      <c r="M848">
        <v>187000</v>
      </c>
      <c r="N848">
        <v>154000</v>
      </c>
      <c r="O848">
        <v>33000</v>
      </c>
      <c r="P848" t="s">
        <v>95</v>
      </c>
      <c r="Q848" t="s">
        <v>96</v>
      </c>
      <c r="R848" t="s">
        <v>45</v>
      </c>
      <c r="S848" t="s">
        <v>46</v>
      </c>
      <c r="T848" t="s">
        <v>33</v>
      </c>
      <c r="U848" t="s">
        <v>34</v>
      </c>
      <c r="V848">
        <v>4</v>
      </c>
      <c r="W848">
        <f>Table1[[#This Row],[Profit]]/Table1[[#This Row],[Sales]]</f>
        <v>0.17647058823529413</v>
      </c>
    </row>
    <row r="849" spans="1:23" x14ac:dyDescent="0.25">
      <c r="A849" t="s">
        <v>1893</v>
      </c>
      <c r="B849" s="1">
        <v>45849</v>
      </c>
      <c r="C849" t="s">
        <v>966</v>
      </c>
      <c r="D849" t="s">
        <v>1894</v>
      </c>
      <c r="E849" t="s">
        <v>38</v>
      </c>
      <c r="F849" t="s">
        <v>39</v>
      </c>
      <c r="G849" t="s">
        <v>40</v>
      </c>
      <c r="H849" t="s">
        <v>41</v>
      </c>
      <c r="I849" t="s">
        <v>42</v>
      </c>
      <c r="J849">
        <v>1</v>
      </c>
      <c r="K849">
        <v>4500</v>
      </c>
      <c r="L849">
        <v>5</v>
      </c>
      <c r="M849">
        <v>4275</v>
      </c>
      <c r="N849">
        <v>3150</v>
      </c>
      <c r="O849">
        <v>1125</v>
      </c>
      <c r="P849" t="s">
        <v>43</v>
      </c>
      <c r="Q849" t="s">
        <v>44</v>
      </c>
      <c r="R849" t="s">
        <v>45</v>
      </c>
      <c r="S849" t="s">
        <v>46</v>
      </c>
      <c r="T849" t="s">
        <v>33</v>
      </c>
      <c r="U849" t="s">
        <v>34</v>
      </c>
      <c r="V849">
        <v>1</v>
      </c>
      <c r="W849">
        <f>Table1[[#This Row],[Profit]]/Table1[[#This Row],[Sales]]</f>
        <v>0.26315789473684209</v>
      </c>
    </row>
    <row r="850" spans="1:23" x14ac:dyDescent="0.25">
      <c r="A850" t="s">
        <v>1895</v>
      </c>
      <c r="B850" s="1">
        <v>45793</v>
      </c>
      <c r="C850" t="s">
        <v>1896</v>
      </c>
      <c r="D850" t="s">
        <v>1897</v>
      </c>
      <c r="E850" t="s">
        <v>73</v>
      </c>
      <c r="F850" t="s">
        <v>74</v>
      </c>
      <c r="G850" t="s">
        <v>27</v>
      </c>
      <c r="H850" t="s">
        <v>75</v>
      </c>
      <c r="I850" t="s">
        <v>76</v>
      </c>
      <c r="J850">
        <v>4</v>
      </c>
      <c r="K850">
        <v>3500</v>
      </c>
      <c r="L850">
        <v>0</v>
      </c>
      <c r="M850">
        <v>14000</v>
      </c>
      <c r="N850">
        <v>9800</v>
      </c>
      <c r="O850">
        <v>4200</v>
      </c>
      <c r="P850" t="s">
        <v>43</v>
      </c>
      <c r="Q850" t="s">
        <v>44</v>
      </c>
      <c r="R850" t="s">
        <v>45</v>
      </c>
      <c r="S850" t="s">
        <v>60</v>
      </c>
      <c r="T850" t="s">
        <v>56</v>
      </c>
      <c r="U850" t="s">
        <v>34</v>
      </c>
      <c r="V850">
        <v>1</v>
      </c>
      <c r="W850">
        <f>Table1[[#This Row],[Profit]]/Table1[[#This Row],[Sales]]</f>
        <v>0.3</v>
      </c>
    </row>
    <row r="851" spans="1:23" x14ac:dyDescent="0.25">
      <c r="A851" t="s">
        <v>1898</v>
      </c>
      <c r="B851" s="1">
        <v>45898</v>
      </c>
      <c r="C851" t="s">
        <v>275</v>
      </c>
      <c r="D851" t="s">
        <v>589</v>
      </c>
      <c r="E851" t="s">
        <v>73</v>
      </c>
      <c r="F851" t="s">
        <v>74</v>
      </c>
      <c r="G851" t="s">
        <v>27</v>
      </c>
      <c r="H851" t="s">
        <v>75</v>
      </c>
      <c r="I851" t="s">
        <v>76</v>
      </c>
      <c r="J851">
        <v>5</v>
      </c>
      <c r="K851">
        <v>3500</v>
      </c>
      <c r="L851">
        <v>10</v>
      </c>
      <c r="M851">
        <v>15750</v>
      </c>
      <c r="N851">
        <v>12250</v>
      </c>
      <c r="O851">
        <v>3500</v>
      </c>
      <c r="P851" t="s">
        <v>43</v>
      </c>
      <c r="Q851" t="s">
        <v>44</v>
      </c>
      <c r="R851" t="s">
        <v>45</v>
      </c>
      <c r="S851" t="s">
        <v>32</v>
      </c>
      <c r="T851" t="s">
        <v>56</v>
      </c>
      <c r="U851" t="s">
        <v>34</v>
      </c>
      <c r="V851">
        <v>1</v>
      </c>
      <c r="W851">
        <f>Table1[[#This Row],[Profit]]/Table1[[#This Row],[Sales]]</f>
        <v>0.22222222222222221</v>
      </c>
    </row>
    <row r="852" spans="1:23" x14ac:dyDescent="0.25">
      <c r="A852" t="s">
        <v>1899</v>
      </c>
      <c r="B852" s="1">
        <v>45710</v>
      </c>
      <c r="C852" t="s">
        <v>1900</v>
      </c>
      <c r="D852" t="s">
        <v>735</v>
      </c>
      <c r="E852" t="s">
        <v>67</v>
      </c>
      <c r="F852" t="s">
        <v>68</v>
      </c>
      <c r="G852" t="s">
        <v>27</v>
      </c>
      <c r="H852" t="s">
        <v>28</v>
      </c>
      <c r="I852" t="s">
        <v>69</v>
      </c>
      <c r="J852">
        <v>1</v>
      </c>
      <c r="K852">
        <v>1500</v>
      </c>
      <c r="L852">
        <v>0</v>
      </c>
      <c r="M852">
        <v>1500</v>
      </c>
      <c r="N852">
        <v>1050</v>
      </c>
      <c r="O852">
        <v>450</v>
      </c>
      <c r="P852" t="s">
        <v>43</v>
      </c>
      <c r="Q852" t="s">
        <v>44</v>
      </c>
      <c r="R852" t="s">
        <v>45</v>
      </c>
      <c r="S852" t="s">
        <v>32</v>
      </c>
      <c r="T852" t="s">
        <v>47</v>
      </c>
      <c r="U852" t="s">
        <v>34</v>
      </c>
      <c r="V852">
        <v>1</v>
      </c>
      <c r="W852">
        <f>Table1[[#This Row],[Profit]]/Table1[[#This Row],[Sales]]</f>
        <v>0.3</v>
      </c>
    </row>
    <row r="853" spans="1:23" x14ac:dyDescent="0.25">
      <c r="A853" t="s">
        <v>1901</v>
      </c>
      <c r="B853" s="1">
        <v>45944</v>
      </c>
      <c r="C853" t="s">
        <v>1902</v>
      </c>
      <c r="D853" t="s">
        <v>1903</v>
      </c>
      <c r="E853" t="s">
        <v>25</v>
      </c>
      <c r="F853" t="s">
        <v>26</v>
      </c>
      <c r="G853" t="s">
        <v>27</v>
      </c>
      <c r="H853" t="s">
        <v>28</v>
      </c>
      <c r="I853" t="s">
        <v>29</v>
      </c>
      <c r="J853">
        <v>2</v>
      </c>
      <c r="K853">
        <v>800</v>
      </c>
      <c r="L853">
        <v>15</v>
      </c>
      <c r="M853">
        <v>1360</v>
      </c>
      <c r="N853">
        <v>1120</v>
      </c>
      <c r="O853">
        <v>240</v>
      </c>
      <c r="P853" t="s">
        <v>43</v>
      </c>
      <c r="Q853" t="s">
        <v>44</v>
      </c>
      <c r="R853" t="s">
        <v>45</v>
      </c>
      <c r="S853" t="s">
        <v>46</v>
      </c>
      <c r="T853" t="s">
        <v>47</v>
      </c>
      <c r="U853" t="s">
        <v>34</v>
      </c>
      <c r="V853">
        <v>1</v>
      </c>
      <c r="W853">
        <f>Table1[[#This Row],[Profit]]/Table1[[#This Row],[Sales]]</f>
        <v>0.17647058823529413</v>
      </c>
    </row>
    <row r="854" spans="1:23" x14ac:dyDescent="0.25">
      <c r="A854" t="s">
        <v>1904</v>
      </c>
      <c r="B854" s="1">
        <v>45662</v>
      </c>
      <c r="C854" t="s">
        <v>1905</v>
      </c>
      <c r="D854" t="s">
        <v>1906</v>
      </c>
      <c r="E854" t="s">
        <v>67</v>
      </c>
      <c r="F854" t="s">
        <v>68</v>
      </c>
      <c r="G854" t="s">
        <v>27</v>
      </c>
      <c r="H854" t="s">
        <v>28</v>
      </c>
      <c r="I854" t="s">
        <v>69</v>
      </c>
      <c r="J854">
        <v>2</v>
      </c>
      <c r="K854">
        <v>1500</v>
      </c>
      <c r="L854">
        <v>0</v>
      </c>
      <c r="M854">
        <v>3000</v>
      </c>
      <c r="N854">
        <v>2100</v>
      </c>
      <c r="O854">
        <v>900</v>
      </c>
      <c r="P854" t="s">
        <v>109</v>
      </c>
      <c r="Q854" t="s">
        <v>110</v>
      </c>
      <c r="R854" t="s">
        <v>111</v>
      </c>
      <c r="S854" t="s">
        <v>46</v>
      </c>
      <c r="T854" t="s">
        <v>56</v>
      </c>
      <c r="U854" t="s">
        <v>48</v>
      </c>
      <c r="V854">
        <v>5</v>
      </c>
      <c r="W854">
        <f>Table1[[#This Row],[Profit]]/Table1[[#This Row],[Sales]]</f>
        <v>0.3</v>
      </c>
    </row>
    <row r="855" spans="1:23" x14ac:dyDescent="0.25">
      <c r="A855" t="s">
        <v>1907</v>
      </c>
      <c r="B855" s="1">
        <v>45694</v>
      </c>
      <c r="C855" t="s">
        <v>1908</v>
      </c>
      <c r="D855" t="s">
        <v>1909</v>
      </c>
      <c r="E855" t="s">
        <v>73</v>
      </c>
      <c r="F855" t="s">
        <v>74</v>
      </c>
      <c r="G855" t="s">
        <v>27</v>
      </c>
      <c r="H855" t="s">
        <v>75</v>
      </c>
      <c r="I855" t="s">
        <v>76</v>
      </c>
      <c r="J855">
        <v>1</v>
      </c>
      <c r="K855">
        <v>3500</v>
      </c>
      <c r="L855">
        <v>15</v>
      </c>
      <c r="M855">
        <v>2975</v>
      </c>
      <c r="N855">
        <v>2450</v>
      </c>
      <c r="O855">
        <v>525</v>
      </c>
      <c r="P855" t="s">
        <v>109</v>
      </c>
      <c r="Q855" t="s">
        <v>110</v>
      </c>
      <c r="R855" t="s">
        <v>111</v>
      </c>
      <c r="S855" t="s">
        <v>46</v>
      </c>
      <c r="T855" t="s">
        <v>33</v>
      </c>
      <c r="U855" t="s">
        <v>34</v>
      </c>
      <c r="V855">
        <v>4</v>
      </c>
      <c r="W855">
        <f>Table1[[#This Row],[Profit]]/Table1[[#This Row],[Sales]]</f>
        <v>0.17647058823529413</v>
      </c>
    </row>
    <row r="856" spans="1:23" x14ac:dyDescent="0.25">
      <c r="A856" t="s">
        <v>1910</v>
      </c>
      <c r="B856" s="1">
        <v>45698</v>
      </c>
      <c r="C856" t="s">
        <v>963</v>
      </c>
      <c r="D856" t="s">
        <v>223</v>
      </c>
      <c r="E856" t="s">
        <v>25</v>
      </c>
      <c r="F856" t="s">
        <v>26</v>
      </c>
      <c r="G856" t="s">
        <v>27</v>
      </c>
      <c r="H856" t="s">
        <v>28</v>
      </c>
      <c r="I856" t="s">
        <v>29</v>
      </c>
      <c r="J856">
        <v>2</v>
      </c>
      <c r="K856">
        <v>800</v>
      </c>
      <c r="L856">
        <v>10</v>
      </c>
      <c r="M856">
        <v>1440</v>
      </c>
      <c r="N856">
        <v>1120</v>
      </c>
      <c r="O856">
        <v>320</v>
      </c>
      <c r="P856" t="s">
        <v>95</v>
      </c>
      <c r="Q856" t="s">
        <v>96</v>
      </c>
      <c r="R856" t="s">
        <v>45</v>
      </c>
      <c r="S856" t="s">
        <v>46</v>
      </c>
      <c r="T856" t="s">
        <v>56</v>
      </c>
      <c r="U856" t="s">
        <v>48</v>
      </c>
      <c r="V856">
        <v>5</v>
      </c>
      <c r="W856">
        <f>Table1[[#This Row],[Profit]]/Table1[[#This Row],[Sales]]</f>
        <v>0.22222222222222221</v>
      </c>
    </row>
    <row r="857" spans="1:23" x14ac:dyDescent="0.25">
      <c r="A857" t="s">
        <v>1911</v>
      </c>
      <c r="B857" s="1">
        <v>45885</v>
      </c>
      <c r="C857" t="s">
        <v>1632</v>
      </c>
      <c r="D857" t="s">
        <v>653</v>
      </c>
      <c r="E857" t="s">
        <v>67</v>
      </c>
      <c r="F857" t="s">
        <v>68</v>
      </c>
      <c r="G857" t="s">
        <v>27</v>
      </c>
      <c r="H857" t="s">
        <v>28</v>
      </c>
      <c r="I857" t="s">
        <v>69</v>
      </c>
      <c r="J857">
        <v>3</v>
      </c>
      <c r="K857">
        <v>1500</v>
      </c>
      <c r="L857">
        <v>15</v>
      </c>
      <c r="M857">
        <v>3825</v>
      </c>
      <c r="N857">
        <v>3150</v>
      </c>
      <c r="O857">
        <v>675</v>
      </c>
      <c r="P857" t="s">
        <v>109</v>
      </c>
      <c r="Q857" t="s">
        <v>110</v>
      </c>
      <c r="R857" t="s">
        <v>111</v>
      </c>
      <c r="S857" t="s">
        <v>60</v>
      </c>
      <c r="T857" t="s">
        <v>33</v>
      </c>
      <c r="U857" t="s">
        <v>34</v>
      </c>
      <c r="V857">
        <v>2</v>
      </c>
      <c r="W857">
        <f>Table1[[#This Row],[Profit]]/Table1[[#This Row],[Sales]]</f>
        <v>0.17647058823529413</v>
      </c>
    </row>
    <row r="858" spans="1:23" x14ac:dyDescent="0.25">
      <c r="A858" t="s">
        <v>1912</v>
      </c>
      <c r="B858" s="1">
        <v>45793</v>
      </c>
      <c r="C858" t="s">
        <v>1223</v>
      </c>
      <c r="D858" t="s">
        <v>1579</v>
      </c>
      <c r="E858" t="s">
        <v>25</v>
      </c>
      <c r="F858" t="s">
        <v>26</v>
      </c>
      <c r="G858" t="s">
        <v>27</v>
      </c>
      <c r="H858" t="s">
        <v>28</v>
      </c>
      <c r="I858" t="s">
        <v>29</v>
      </c>
      <c r="J858">
        <v>1</v>
      </c>
      <c r="K858">
        <v>800</v>
      </c>
      <c r="L858">
        <v>10</v>
      </c>
      <c r="M858">
        <v>720</v>
      </c>
      <c r="N858">
        <v>560</v>
      </c>
      <c r="O858">
        <v>160</v>
      </c>
      <c r="P858" t="s">
        <v>109</v>
      </c>
      <c r="Q858" t="s">
        <v>110</v>
      </c>
      <c r="R858" t="s">
        <v>111</v>
      </c>
      <c r="S858" t="s">
        <v>60</v>
      </c>
      <c r="T858" t="s">
        <v>56</v>
      </c>
      <c r="U858" t="s">
        <v>48</v>
      </c>
      <c r="V858">
        <v>4</v>
      </c>
      <c r="W858">
        <f>Table1[[#This Row],[Profit]]/Table1[[#This Row],[Sales]]</f>
        <v>0.22222222222222221</v>
      </c>
    </row>
    <row r="859" spans="1:23" x14ac:dyDescent="0.25">
      <c r="A859" t="s">
        <v>1913</v>
      </c>
      <c r="B859" s="1">
        <v>46006</v>
      </c>
      <c r="C859" t="s">
        <v>1914</v>
      </c>
      <c r="D859" t="s">
        <v>1915</v>
      </c>
      <c r="E859" t="s">
        <v>67</v>
      </c>
      <c r="F859" t="s">
        <v>68</v>
      </c>
      <c r="G859" t="s">
        <v>27</v>
      </c>
      <c r="H859" t="s">
        <v>28</v>
      </c>
      <c r="I859" t="s">
        <v>69</v>
      </c>
      <c r="J859">
        <v>1</v>
      </c>
      <c r="K859">
        <v>1500</v>
      </c>
      <c r="L859">
        <v>0</v>
      </c>
      <c r="M859">
        <v>1500</v>
      </c>
      <c r="N859">
        <v>1050</v>
      </c>
      <c r="O859">
        <v>450</v>
      </c>
      <c r="P859" t="s">
        <v>30</v>
      </c>
      <c r="Q859" t="s">
        <v>30</v>
      </c>
      <c r="R859" t="s">
        <v>31</v>
      </c>
      <c r="S859" t="s">
        <v>32</v>
      </c>
      <c r="T859" t="s">
        <v>47</v>
      </c>
      <c r="U859" t="s">
        <v>48</v>
      </c>
      <c r="V859">
        <v>2</v>
      </c>
      <c r="W859">
        <f>Table1[[#This Row],[Profit]]/Table1[[#This Row],[Sales]]</f>
        <v>0.3</v>
      </c>
    </row>
    <row r="860" spans="1:23" x14ac:dyDescent="0.25">
      <c r="A860" t="s">
        <v>1916</v>
      </c>
      <c r="B860" s="1">
        <v>45719</v>
      </c>
      <c r="C860" t="s">
        <v>1914</v>
      </c>
      <c r="D860" t="s">
        <v>1917</v>
      </c>
      <c r="E860" t="s">
        <v>25</v>
      </c>
      <c r="F860" t="s">
        <v>26</v>
      </c>
      <c r="G860" t="s">
        <v>27</v>
      </c>
      <c r="H860" t="s">
        <v>28</v>
      </c>
      <c r="I860" t="s">
        <v>29</v>
      </c>
      <c r="J860">
        <v>2</v>
      </c>
      <c r="K860">
        <v>800</v>
      </c>
      <c r="L860">
        <v>0</v>
      </c>
      <c r="M860">
        <v>1600</v>
      </c>
      <c r="N860">
        <v>1120</v>
      </c>
      <c r="O860">
        <v>480</v>
      </c>
      <c r="P860" t="s">
        <v>109</v>
      </c>
      <c r="Q860" t="s">
        <v>110</v>
      </c>
      <c r="R860" t="s">
        <v>111</v>
      </c>
      <c r="S860" t="s">
        <v>60</v>
      </c>
      <c r="T860" t="s">
        <v>33</v>
      </c>
      <c r="U860" t="s">
        <v>34</v>
      </c>
      <c r="V860">
        <v>2</v>
      </c>
      <c r="W860">
        <f>Table1[[#This Row],[Profit]]/Table1[[#This Row],[Sales]]</f>
        <v>0.3</v>
      </c>
    </row>
    <row r="861" spans="1:23" x14ac:dyDescent="0.25">
      <c r="A861" t="s">
        <v>1918</v>
      </c>
      <c r="B861" s="1">
        <v>45665</v>
      </c>
      <c r="C861" t="s">
        <v>1491</v>
      </c>
      <c r="D861" t="s">
        <v>1897</v>
      </c>
      <c r="E861" t="s">
        <v>38</v>
      </c>
      <c r="F861" t="s">
        <v>39</v>
      </c>
      <c r="G861" t="s">
        <v>40</v>
      </c>
      <c r="H861" t="s">
        <v>41</v>
      </c>
      <c r="I861" t="s">
        <v>42</v>
      </c>
      <c r="J861">
        <v>5</v>
      </c>
      <c r="K861">
        <v>4500</v>
      </c>
      <c r="L861">
        <v>15</v>
      </c>
      <c r="M861">
        <v>19125</v>
      </c>
      <c r="N861">
        <v>15750</v>
      </c>
      <c r="O861">
        <v>3375.0000000000018</v>
      </c>
      <c r="P861" t="s">
        <v>95</v>
      </c>
      <c r="Q861" t="s">
        <v>96</v>
      </c>
      <c r="R861" t="s">
        <v>45</v>
      </c>
      <c r="S861" t="s">
        <v>46</v>
      </c>
      <c r="T861" t="s">
        <v>56</v>
      </c>
      <c r="U861" t="s">
        <v>34</v>
      </c>
      <c r="V861">
        <v>5</v>
      </c>
      <c r="W861">
        <f>Table1[[#This Row],[Profit]]/Table1[[#This Row],[Sales]]</f>
        <v>0.17647058823529421</v>
      </c>
    </row>
    <row r="862" spans="1:23" x14ac:dyDescent="0.25">
      <c r="A862" t="s">
        <v>1919</v>
      </c>
      <c r="B862" s="1">
        <v>45964</v>
      </c>
      <c r="C862" t="s">
        <v>1068</v>
      </c>
      <c r="D862" t="s">
        <v>996</v>
      </c>
      <c r="E862" t="s">
        <v>67</v>
      </c>
      <c r="F862" t="s">
        <v>68</v>
      </c>
      <c r="G862" t="s">
        <v>27</v>
      </c>
      <c r="H862" t="s">
        <v>28</v>
      </c>
      <c r="I862" t="s">
        <v>69</v>
      </c>
      <c r="J862">
        <v>4</v>
      </c>
      <c r="K862">
        <v>1500</v>
      </c>
      <c r="L862">
        <v>5</v>
      </c>
      <c r="M862">
        <v>5700</v>
      </c>
      <c r="N862">
        <v>4200</v>
      </c>
      <c r="O862">
        <v>1500</v>
      </c>
      <c r="P862" t="s">
        <v>95</v>
      </c>
      <c r="Q862" t="s">
        <v>96</v>
      </c>
      <c r="R862" t="s">
        <v>45</v>
      </c>
      <c r="S862" t="s">
        <v>60</v>
      </c>
      <c r="T862" t="s">
        <v>33</v>
      </c>
      <c r="U862" t="s">
        <v>48</v>
      </c>
      <c r="V862">
        <v>2</v>
      </c>
      <c r="W862">
        <f>Table1[[#This Row],[Profit]]/Table1[[#This Row],[Sales]]</f>
        <v>0.26315789473684209</v>
      </c>
    </row>
    <row r="863" spans="1:23" x14ac:dyDescent="0.25">
      <c r="A863" t="s">
        <v>1920</v>
      </c>
      <c r="B863" s="1">
        <v>45930</v>
      </c>
      <c r="C863" t="s">
        <v>1315</v>
      </c>
      <c r="D863" t="s">
        <v>316</v>
      </c>
      <c r="E863" t="s">
        <v>52</v>
      </c>
      <c r="F863" t="s">
        <v>53</v>
      </c>
      <c r="G863" t="s">
        <v>27</v>
      </c>
      <c r="H863" t="s">
        <v>54</v>
      </c>
      <c r="I863" t="s">
        <v>55</v>
      </c>
      <c r="J863">
        <v>3</v>
      </c>
      <c r="K863">
        <v>55000</v>
      </c>
      <c r="L863">
        <v>15</v>
      </c>
      <c r="M863">
        <v>140250</v>
      </c>
      <c r="N863">
        <v>115500</v>
      </c>
      <c r="O863">
        <v>24750.000000000011</v>
      </c>
      <c r="P863" t="s">
        <v>109</v>
      </c>
      <c r="Q863" t="s">
        <v>110</v>
      </c>
      <c r="R863" t="s">
        <v>111</v>
      </c>
      <c r="S863" t="s">
        <v>32</v>
      </c>
      <c r="T863" t="s">
        <v>33</v>
      </c>
      <c r="U863" t="s">
        <v>48</v>
      </c>
      <c r="V863">
        <v>5</v>
      </c>
      <c r="W863">
        <f>Table1[[#This Row],[Profit]]/Table1[[#This Row],[Sales]]</f>
        <v>0.17647058823529418</v>
      </c>
    </row>
    <row r="864" spans="1:23" x14ac:dyDescent="0.25">
      <c r="A864" t="s">
        <v>1921</v>
      </c>
      <c r="B864" s="1">
        <v>45879</v>
      </c>
      <c r="C864" t="s">
        <v>1922</v>
      </c>
      <c r="D864" t="s">
        <v>1033</v>
      </c>
      <c r="E864" t="s">
        <v>73</v>
      </c>
      <c r="F864" t="s">
        <v>74</v>
      </c>
      <c r="G864" t="s">
        <v>27</v>
      </c>
      <c r="H864" t="s">
        <v>75</v>
      </c>
      <c r="I864" t="s">
        <v>76</v>
      </c>
      <c r="J864">
        <v>2</v>
      </c>
      <c r="K864">
        <v>3500</v>
      </c>
      <c r="L864">
        <v>0</v>
      </c>
      <c r="M864">
        <v>7000</v>
      </c>
      <c r="N864">
        <v>4900</v>
      </c>
      <c r="O864">
        <v>2100</v>
      </c>
      <c r="P864" t="s">
        <v>43</v>
      </c>
      <c r="Q864" t="s">
        <v>44</v>
      </c>
      <c r="R864" t="s">
        <v>45</v>
      </c>
      <c r="S864" t="s">
        <v>46</v>
      </c>
      <c r="T864" t="s">
        <v>47</v>
      </c>
      <c r="U864" t="s">
        <v>48</v>
      </c>
      <c r="V864">
        <v>5</v>
      </c>
      <c r="W864">
        <f>Table1[[#This Row],[Profit]]/Table1[[#This Row],[Sales]]</f>
        <v>0.3</v>
      </c>
    </row>
    <row r="865" spans="1:23" x14ac:dyDescent="0.25">
      <c r="A865" t="s">
        <v>1923</v>
      </c>
      <c r="B865" s="1">
        <v>45915</v>
      </c>
      <c r="C865" t="s">
        <v>23</v>
      </c>
      <c r="D865" t="s">
        <v>1849</v>
      </c>
      <c r="E865" t="s">
        <v>38</v>
      </c>
      <c r="F865" t="s">
        <v>39</v>
      </c>
      <c r="G865" t="s">
        <v>40</v>
      </c>
      <c r="H865" t="s">
        <v>41</v>
      </c>
      <c r="I865" t="s">
        <v>42</v>
      </c>
      <c r="J865">
        <v>3</v>
      </c>
      <c r="K865">
        <v>4500</v>
      </c>
      <c r="L865">
        <v>15</v>
      </c>
      <c r="M865">
        <v>11475</v>
      </c>
      <c r="N865">
        <v>9450</v>
      </c>
      <c r="O865">
        <v>2025</v>
      </c>
      <c r="P865" t="s">
        <v>43</v>
      </c>
      <c r="Q865" t="s">
        <v>44</v>
      </c>
      <c r="R865" t="s">
        <v>45</v>
      </c>
      <c r="S865" t="s">
        <v>32</v>
      </c>
      <c r="T865" t="s">
        <v>56</v>
      </c>
      <c r="U865" t="s">
        <v>34</v>
      </c>
      <c r="V865">
        <v>1</v>
      </c>
      <c r="W865">
        <f>Table1[[#This Row],[Profit]]/Table1[[#This Row],[Sales]]</f>
        <v>0.17647058823529413</v>
      </c>
    </row>
    <row r="866" spans="1:23" x14ac:dyDescent="0.25">
      <c r="A866" t="s">
        <v>1924</v>
      </c>
      <c r="B866" s="1">
        <v>45907</v>
      </c>
      <c r="C866" t="s">
        <v>1486</v>
      </c>
      <c r="D866" t="s">
        <v>1869</v>
      </c>
      <c r="E866" t="s">
        <v>52</v>
      </c>
      <c r="F866" t="s">
        <v>53</v>
      </c>
      <c r="G866" t="s">
        <v>27</v>
      </c>
      <c r="H866" t="s">
        <v>54</v>
      </c>
      <c r="I866" t="s">
        <v>55</v>
      </c>
      <c r="J866">
        <v>2</v>
      </c>
      <c r="K866">
        <v>55000</v>
      </c>
      <c r="L866">
        <v>10</v>
      </c>
      <c r="M866">
        <v>99000</v>
      </c>
      <c r="N866">
        <v>77000</v>
      </c>
      <c r="O866">
        <v>22000</v>
      </c>
      <c r="P866" t="s">
        <v>30</v>
      </c>
      <c r="Q866" t="s">
        <v>30</v>
      </c>
      <c r="R866" t="s">
        <v>31</v>
      </c>
      <c r="S866" t="s">
        <v>32</v>
      </c>
      <c r="T866" t="s">
        <v>33</v>
      </c>
      <c r="U866" t="s">
        <v>48</v>
      </c>
      <c r="V866">
        <v>5</v>
      </c>
      <c r="W866">
        <f>Table1[[#This Row],[Profit]]/Table1[[#This Row],[Sales]]</f>
        <v>0.22222222222222221</v>
      </c>
    </row>
    <row r="867" spans="1:23" x14ac:dyDescent="0.25">
      <c r="A867" t="s">
        <v>1925</v>
      </c>
      <c r="B867" s="1">
        <v>45728</v>
      </c>
      <c r="C867" t="s">
        <v>1499</v>
      </c>
      <c r="D867" t="s">
        <v>534</v>
      </c>
      <c r="E867" t="s">
        <v>25</v>
      </c>
      <c r="F867" t="s">
        <v>26</v>
      </c>
      <c r="G867" t="s">
        <v>27</v>
      </c>
      <c r="H867" t="s">
        <v>28</v>
      </c>
      <c r="I867" t="s">
        <v>29</v>
      </c>
      <c r="J867">
        <v>4</v>
      </c>
      <c r="K867">
        <v>800</v>
      </c>
      <c r="L867">
        <v>15</v>
      </c>
      <c r="M867">
        <v>2720</v>
      </c>
      <c r="N867">
        <v>2240</v>
      </c>
      <c r="O867">
        <v>480</v>
      </c>
      <c r="P867" t="s">
        <v>43</v>
      </c>
      <c r="Q867" t="s">
        <v>44</v>
      </c>
      <c r="R867" t="s">
        <v>45</v>
      </c>
      <c r="S867" t="s">
        <v>32</v>
      </c>
      <c r="T867" t="s">
        <v>33</v>
      </c>
      <c r="U867" t="s">
        <v>34</v>
      </c>
      <c r="V867">
        <v>5</v>
      </c>
      <c r="W867">
        <f>Table1[[#This Row],[Profit]]/Table1[[#This Row],[Sales]]</f>
        <v>0.17647058823529413</v>
      </c>
    </row>
    <row r="868" spans="1:23" x14ac:dyDescent="0.25">
      <c r="A868" t="s">
        <v>1926</v>
      </c>
      <c r="B868" s="1">
        <v>45998</v>
      </c>
      <c r="C868" t="s">
        <v>1927</v>
      </c>
      <c r="D868" t="s">
        <v>147</v>
      </c>
      <c r="E868" t="s">
        <v>73</v>
      </c>
      <c r="F868" t="s">
        <v>74</v>
      </c>
      <c r="G868" t="s">
        <v>27</v>
      </c>
      <c r="H868" t="s">
        <v>75</v>
      </c>
      <c r="I868" t="s">
        <v>76</v>
      </c>
      <c r="J868">
        <v>5</v>
      </c>
      <c r="K868">
        <v>3500</v>
      </c>
      <c r="L868">
        <v>15</v>
      </c>
      <c r="M868">
        <v>14875</v>
      </c>
      <c r="N868">
        <v>12250</v>
      </c>
      <c r="O868">
        <v>2625</v>
      </c>
      <c r="P868" t="s">
        <v>30</v>
      </c>
      <c r="Q868" t="s">
        <v>30</v>
      </c>
      <c r="R868" t="s">
        <v>31</v>
      </c>
      <c r="S868" t="s">
        <v>46</v>
      </c>
      <c r="T868" t="s">
        <v>47</v>
      </c>
      <c r="U868" t="s">
        <v>48</v>
      </c>
      <c r="V868">
        <v>1</v>
      </c>
      <c r="W868">
        <f>Table1[[#This Row],[Profit]]/Table1[[#This Row],[Sales]]</f>
        <v>0.17647058823529413</v>
      </c>
    </row>
    <row r="869" spans="1:23" x14ac:dyDescent="0.25">
      <c r="A869" t="s">
        <v>1928</v>
      </c>
      <c r="B869" s="1">
        <v>45690</v>
      </c>
      <c r="C869" t="s">
        <v>1929</v>
      </c>
      <c r="D869" t="s">
        <v>743</v>
      </c>
      <c r="E869" t="s">
        <v>52</v>
      </c>
      <c r="F869" t="s">
        <v>53</v>
      </c>
      <c r="G869" t="s">
        <v>27</v>
      </c>
      <c r="H869" t="s">
        <v>54</v>
      </c>
      <c r="I869" t="s">
        <v>55</v>
      </c>
      <c r="J869">
        <v>1</v>
      </c>
      <c r="K869">
        <v>55000</v>
      </c>
      <c r="L869">
        <v>5</v>
      </c>
      <c r="M869">
        <v>52250</v>
      </c>
      <c r="N869">
        <v>38500</v>
      </c>
      <c r="O869">
        <v>13750</v>
      </c>
      <c r="P869" t="s">
        <v>95</v>
      </c>
      <c r="Q869" t="s">
        <v>96</v>
      </c>
      <c r="R869" t="s">
        <v>45</v>
      </c>
      <c r="S869" t="s">
        <v>46</v>
      </c>
      <c r="T869" t="s">
        <v>33</v>
      </c>
      <c r="U869" t="s">
        <v>34</v>
      </c>
      <c r="V869">
        <v>5</v>
      </c>
      <c r="W869">
        <f>Table1[[#This Row],[Profit]]/Table1[[#This Row],[Sales]]</f>
        <v>0.26315789473684209</v>
      </c>
    </row>
    <row r="870" spans="1:23" x14ac:dyDescent="0.25">
      <c r="A870" t="s">
        <v>1930</v>
      </c>
      <c r="B870" s="1">
        <v>45878</v>
      </c>
      <c r="C870" t="s">
        <v>1517</v>
      </c>
      <c r="D870" t="s">
        <v>1258</v>
      </c>
      <c r="E870" t="s">
        <v>67</v>
      </c>
      <c r="F870" t="s">
        <v>68</v>
      </c>
      <c r="G870" t="s">
        <v>27</v>
      </c>
      <c r="H870" t="s">
        <v>28</v>
      </c>
      <c r="I870" t="s">
        <v>69</v>
      </c>
      <c r="J870">
        <v>5</v>
      </c>
      <c r="K870">
        <v>1500</v>
      </c>
      <c r="L870">
        <v>10</v>
      </c>
      <c r="M870">
        <v>6750</v>
      </c>
      <c r="N870">
        <v>5250</v>
      </c>
      <c r="O870">
        <v>1500</v>
      </c>
      <c r="P870" t="s">
        <v>43</v>
      </c>
      <c r="Q870" t="s">
        <v>44</v>
      </c>
      <c r="R870" t="s">
        <v>45</v>
      </c>
      <c r="S870" t="s">
        <v>46</v>
      </c>
      <c r="T870" t="s">
        <v>56</v>
      </c>
      <c r="U870" t="s">
        <v>34</v>
      </c>
      <c r="V870">
        <v>1</v>
      </c>
      <c r="W870">
        <f>Table1[[#This Row],[Profit]]/Table1[[#This Row],[Sales]]</f>
        <v>0.22222222222222221</v>
      </c>
    </row>
    <row r="871" spans="1:23" x14ac:dyDescent="0.25">
      <c r="A871" t="s">
        <v>1931</v>
      </c>
      <c r="B871" s="1">
        <v>45882</v>
      </c>
      <c r="C871" t="s">
        <v>1117</v>
      </c>
      <c r="D871" t="s">
        <v>1360</v>
      </c>
      <c r="E871" t="s">
        <v>38</v>
      </c>
      <c r="F871" t="s">
        <v>39</v>
      </c>
      <c r="G871" t="s">
        <v>40</v>
      </c>
      <c r="H871" t="s">
        <v>41</v>
      </c>
      <c r="I871" t="s">
        <v>42</v>
      </c>
      <c r="J871">
        <v>5</v>
      </c>
      <c r="K871">
        <v>4500</v>
      </c>
      <c r="L871">
        <v>5</v>
      </c>
      <c r="M871">
        <v>21375</v>
      </c>
      <c r="N871">
        <v>15750</v>
      </c>
      <c r="O871">
        <v>5625.0000000000018</v>
      </c>
      <c r="P871" t="s">
        <v>95</v>
      </c>
      <c r="Q871" t="s">
        <v>96</v>
      </c>
      <c r="R871" t="s">
        <v>45</v>
      </c>
      <c r="S871" t="s">
        <v>46</v>
      </c>
      <c r="T871" t="s">
        <v>47</v>
      </c>
      <c r="U871" t="s">
        <v>34</v>
      </c>
      <c r="V871">
        <v>5</v>
      </c>
      <c r="W871">
        <f>Table1[[#This Row],[Profit]]/Table1[[#This Row],[Sales]]</f>
        <v>0.2631578947368422</v>
      </c>
    </row>
    <row r="872" spans="1:23" x14ac:dyDescent="0.25">
      <c r="A872" t="s">
        <v>1932</v>
      </c>
      <c r="B872" s="1">
        <v>45735</v>
      </c>
      <c r="C872" t="s">
        <v>1325</v>
      </c>
      <c r="D872" t="s">
        <v>379</v>
      </c>
      <c r="E872" t="s">
        <v>73</v>
      </c>
      <c r="F872" t="s">
        <v>74</v>
      </c>
      <c r="G872" t="s">
        <v>27</v>
      </c>
      <c r="H872" t="s">
        <v>75</v>
      </c>
      <c r="I872" t="s">
        <v>76</v>
      </c>
      <c r="J872">
        <v>3</v>
      </c>
      <c r="K872">
        <v>3500</v>
      </c>
      <c r="L872">
        <v>0</v>
      </c>
      <c r="M872">
        <v>10500</v>
      </c>
      <c r="N872">
        <v>7349.9999999999991</v>
      </c>
      <c r="O872">
        <v>3150.0000000000009</v>
      </c>
      <c r="P872" t="s">
        <v>109</v>
      </c>
      <c r="Q872" t="s">
        <v>110</v>
      </c>
      <c r="R872" t="s">
        <v>111</v>
      </c>
      <c r="S872" t="s">
        <v>32</v>
      </c>
      <c r="T872" t="s">
        <v>47</v>
      </c>
      <c r="U872" t="s">
        <v>34</v>
      </c>
      <c r="V872">
        <v>2</v>
      </c>
      <c r="W872">
        <f>Table1[[#This Row],[Profit]]/Table1[[#This Row],[Sales]]</f>
        <v>0.3000000000000001</v>
      </c>
    </row>
    <row r="873" spans="1:23" x14ac:dyDescent="0.25">
      <c r="A873" t="s">
        <v>1933</v>
      </c>
      <c r="B873" s="1">
        <v>45669</v>
      </c>
      <c r="C873" t="s">
        <v>1135</v>
      </c>
      <c r="D873" t="s">
        <v>188</v>
      </c>
      <c r="E873" t="s">
        <v>67</v>
      </c>
      <c r="F873" t="s">
        <v>68</v>
      </c>
      <c r="G873" t="s">
        <v>27</v>
      </c>
      <c r="H873" t="s">
        <v>28</v>
      </c>
      <c r="I873" t="s">
        <v>69</v>
      </c>
      <c r="J873">
        <v>1</v>
      </c>
      <c r="K873">
        <v>1500</v>
      </c>
      <c r="L873">
        <v>15</v>
      </c>
      <c r="M873">
        <v>1275</v>
      </c>
      <c r="N873">
        <v>1050</v>
      </c>
      <c r="O873">
        <v>225</v>
      </c>
      <c r="P873" t="s">
        <v>43</v>
      </c>
      <c r="Q873" t="s">
        <v>44</v>
      </c>
      <c r="R873" t="s">
        <v>45</v>
      </c>
      <c r="S873" t="s">
        <v>46</v>
      </c>
      <c r="T873" t="s">
        <v>47</v>
      </c>
      <c r="U873" t="s">
        <v>34</v>
      </c>
      <c r="V873">
        <v>1</v>
      </c>
      <c r="W873">
        <f>Table1[[#This Row],[Profit]]/Table1[[#This Row],[Sales]]</f>
        <v>0.17647058823529413</v>
      </c>
    </row>
    <row r="874" spans="1:23" x14ac:dyDescent="0.25">
      <c r="A874" t="s">
        <v>1934</v>
      </c>
      <c r="B874" s="1">
        <v>45835</v>
      </c>
      <c r="C874" t="s">
        <v>1935</v>
      </c>
      <c r="D874" t="s">
        <v>1936</v>
      </c>
      <c r="E874" t="s">
        <v>25</v>
      </c>
      <c r="F874" t="s">
        <v>26</v>
      </c>
      <c r="G874" t="s">
        <v>27</v>
      </c>
      <c r="H874" t="s">
        <v>28</v>
      </c>
      <c r="I874" t="s">
        <v>29</v>
      </c>
      <c r="J874">
        <v>4</v>
      </c>
      <c r="K874">
        <v>800</v>
      </c>
      <c r="L874">
        <v>10</v>
      </c>
      <c r="M874">
        <v>2880</v>
      </c>
      <c r="N874">
        <v>2240</v>
      </c>
      <c r="O874">
        <v>640</v>
      </c>
      <c r="P874" t="s">
        <v>95</v>
      </c>
      <c r="Q874" t="s">
        <v>96</v>
      </c>
      <c r="R874" t="s">
        <v>45</v>
      </c>
      <c r="S874" t="s">
        <v>46</v>
      </c>
      <c r="T874" t="s">
        <v>47</v>
      </c>
      <c r="U874" t="s">
        <v>48</v>
      </c>
      <c r="V874">
        <v>2</v>
      </c>
      <c r="W874">
        <f>Table1[[#This Row],[Profit]]/Table1[[#This Row],[Sales]]</f>
        <v>0.22222222222222221</v>
      </c>
    </row>
    <row r="875" spans="1:23" x14ac:dyDescent="0.25">
      <c r="A875" t="s">
        <v>1937</v>
      </c>
      <c r="B875" s="1">
        <v>45881</v>
      </c>
      <c r="C875" t="s">
        <v>170</v>
      </c>
      <c r="D875" t="s">
        <v>1938</v>
      </c>
      <c r="E875" t="s">
        <v>52</v>
      </c>
      <c r="F875" t="s">
        <v>53</v>
      </c>
      <c r="G875" t="s">
        <v>27</v>
      </c>
      <c r="H875" t="s">
        <v>54</v>
      </c>
      <c r="I875" t="s">
        <v>55</v>
      </c>
      <c r="J875">
        <v>5</v>
      </c>
      <c r="K875">
        <v>55000</v>
      </c>
      <c r="L875">
        <v>10</v>
      </c>
      <c r="M875">
        <v>247500</v>
      </c>
      <c r="N875">
        <v>192500</v>
      </c>
      <c r="O875">
        <v>55000</v>
      </c>
      <c r="P875" t="s">
        <v>43</v>
      </c>
      <c r="Q875" t="s">
        <v>44</v>
      </c>
      <c r="R875" t="s">
        <v>45</v>
      </c>
      <c r="S875" t="s">
        <v>60</v>
      </c>
      <c r="T875" t="s">
        <v>56</v>
      </c>
      <c r="U875" t="s">
        <v>34</v>
      </c>
      <c r="V875">
        <v>5</v>
      </c>
      <c r="W875">
        <f>Table1[[#This Row],[Profit]]/Table1[[#This Row],[Sales]]</f>
        <v>0.22222222222222221</v>
      </c>
    </row>
    <row r="876" spans="1:23" x14ac:dyDescent="0.25">
      <c r="A876" t="s">
        <v>1939</v>
      </c>
      <c r="B876" s="1">
        <v>45960</v>
      </c>
      <c r="C876" t="s">
        <v>764</v>
      </c>
      <c r="D876" t="s">
        <v>1940</v>
      </c>
      <c r="E876" t="s">
        <v>25</v>
      </c>
      <c r="F876" t="s">
        <v>26</v>
      </c>
      <c r="G876" t="s">
        <v>27</v>
      </c>
      <c r="H876" t="s">
        <v>28</v>
      </c>
      <c r="I876" t="s">
        <v>29</v>
      </c>
      <c r="J876">
        <v>3</v>
      </c>
      <c r="K876">
        <v>800</v>
      </c>
      <c r="L876">
        <v>0</v>
      </c>
      <c r="M876">
        <v>2400</v>
      </c>
      <c r="N876">
        <v>1680</v>
      </c>
      <c r="O876">
        <v>720</v>
      </c>
      <c r="P876" t="s">
        <v>95</v>
      </c>
      <c r="Q876" t="s">
        <v>96</v>
      </c>
      <c r="R876" t="s">
        <v>45</v>
      </c>
      <c r="S876" t="s">
        <v>60</v>
      </c>
      <c r="T876" t="s">
        <v>33</v>
      </c>
      <c r="U876" t="s">
        <v>48</v>
      </c>
      <c r="V876">
        <v>5</v>
      </c>
      <c r="W876">
        <f>Table1[[#This Row],[Profit]]/Table1[[#This Row],[Sales]]</f>
        <v>0.3</v>
      </c>
    </row>
    <row r="877" spans="1:23" x14ac:dyDescent="0.25">
      <c r="A877" t="s">
        <v>1941</v>
      </c>
      <c r="B877" s="1">
        <v>45992</v>
      </c>
      <c r="C877" t="s">
        <v>1942</v>
      </c>
      <c r="D877" t="s">
        <v>1228</v>
      </c>
      <c r="E877" t="s">
        <v>73</v>
      </c>
      <c r="F877" t="s">
        <v>74</v>
      </c>
      <c r="G877" t="s">
        <v>27</v>
      </c>
      <c r="H877" t="s">
        <v>75</v>
      </c>
      <c r="I877" t="s">
        <v>76</v>
      </c>
      <c r="J877">
        <v>1</v>
      </c>
      <c r="K877">
        <v>3500</v>
      </c>
      <c r="L877">
        <v>15</v>
      </c>
      <c r="M877">
        <v>2975</v>
      </c>
      <c r="N877">
        <v>2450</v>
      </c>
      <c r="O877">
        <v>525</v>
      </c>
      <c r="P877" t="s">
        <v>43</v>
      </c>
      <c r="Q877" t="s">
        <v>44</v>
      </c>
      <c r="R877" t="s">
        <v>45</v>
      </c>
      <c r="S877" t="s">
        <v>32</v>
      </c>
      <c r="T877" t="s">
        <v>47</v>
      </c>
      <c r="U877" t="s">
        <v>34</v>
      </c>
      <c r="V877">
        <v>1</v>
      </c>
      <c r="W877">
        <f>Table1[[#This Row],[Profit]]/Table1[[#This Row],[Sales]]</f>
        <v>0.17647058823529413</v>
      </c>
    </row>
    <row r="878" spans="1:23" x14ac:dyDescent="0.25">
      <c r="A878" t="s">
        <v>1943</v>
      </c>
      <c r="B878" s="1">
        <v>45733</v>
      </c>
      <c r="C878" t="s">
        <v>1394</v>
      </c>
      <c r="D878" t="s">
        <v>407</v>
      </c>
      <c r="E878" t="s">
        <v>52</v>
      </c>
      <c r="F878" t="s">
        <v>53</v>
      </c>
      <c r="G878" t="s">
        <v>27</v>
      </c>
      <c r="H878" t="s">
        <v>54</v>
      </c>
      <c r="I878" t="s">
        <v>55</v>
      </c>
      <c r="J878">
        <v>2</v>
      </c>
      <c r="K878">
        <v>55000</v>
      </c>
      <c r="L878">
        <v>10</v>
      </c>
      <c r="M878">
        <v>99000</v>
      </c>
      <c r="N878">
        <v>77000</v>
      </c>
      <c r="O878">
        <v>22000</v>
      </c>
      <c r="P878" t="s">
        <v>30</v>
      </c>
      <c r="Q878" t="s">
        <v>30</v>
      </c>
      <c r="R878" t="s">
        <v>31</v>
      </c>
      <c r="S878" t="s">
        <v>46</v>
      </c>
      <c r="T878" t="s">
        <v>47</v>
      </c>
      <c r="U878" t="s">
        <v>48</v>
      </c>
      <c r="V878">
        <v>4</v>
      </c>
      <c r="W878">
        <f>Table1[[#This Row],[Profit]]/Table1[[#This Row],[Sales]]</f>
        <v>0.22222222222222221</v>
      </c>
    </row>
    <row r="879" spans="1:23" x14ac:dyDescent="0.25">
      <c r="A879" t="s">
        <v>1944</v>
      </c>
      <c r="B879" s="1">
        <v>46004</v>
      </c>
      <c r="C879" t="s">
        <v>1009</v>
      </c>
      <c r="D879" t="s">
        <v>1945</v>
      </c>
      <c r="E879" t="s">
        <v>25</v>
      </c>
      <c r="F879" t="s">
        <v>26</v>
      </c>
      <c r="G879" t="s">
        <v>27</v>
      </c>
      <c r="H879" t="s">
        <v>28</v>
      </c>
      <c r="I879" t="s">
        <v>29</v>
      </c>
      <c r="J879">
        <v>5</v>
      </c>
      <c r="K879">
        <v>800</v>
      </c>
      <c r="L879">
        <v>10</v>
      </c>
      <c r="M879">
        <v>3600</v>
      </c>
      <c r="N879">
        <v>2800</v>
      </c>
      <c r="O879">
        <v>800</v>
      </c>
      <c r="P879" t="s">
        <v>43</v>
      </c>
      <c r="Q879" t="s">
        <v>44</v>
      </c>
      <c r="R879" t="s">
        <v>45</v>
      </c>
      <c r="S879" t="s">
        <v>32</v>
      </c>
      <c r="T879" t="s">
        <v>33</v>
      </c>
      <c r="U879" t="s">
        <v>48</v>
      </c>
      <c r="V879">
        <v>1</v>
      </c>
      <c r="W879">
        <f>Table1[[#This Row],[Profit]]/Table1[[#This Row],[Sales]]</f>
        <v>0.22222222222222221</v>
      </c>
    </row>
    <row r="880" spans="1:23" x14ac:dyDescent="0.25">
      <c r="A880" t="s">
        <v>1946</v>
      </c>
      <c r="B880" s="1">
        <v>45905</v>
      </c>
      <c r="C880" t="s">
        <v>1947</v>
      </c>
      <c r="D880" t="s">
        <v>938</v>
      </c>
      <c r="E880" t="s">
        <v>73</v>
      </c>
      <c r="F880" t="s">
        <v>74</v>
      </c>
      <c r="G880" t="s">
        <v>27</v>
      </c>
      <c r="H880" t="s">
        <v>75</v>
      </c>
      <c r="I880" t="s">
        <v>76</v>
      </c>
      <c r="J880">
        <v>2</v>
      </c>
      <c r="K880">
        <v>3500</v>
      </c>
      <c r="L880">
        <v>5</v>
      </c>
      <c r="M880">
        <v>6650</v>
      </c>
      <c r="N880">
        <v>4900</v>
      </c>
      <c r="O880">
        <v>1750</v>
      </c>
      <c r="P880" t="s">
        <v>95</v>
      </c>
      <c r="Q880" t="s">
        <v>96</v>
      </c>
      <c r="R880" t="s">
        <v>45</v>
      </c>
      <c r="S880" t="s">
        <v>32</v>
      </c>
      <c r="T880" t="s">
        <v>47</v>
      </c>
      <c r="U880" t="s">
        <v>48</v>
      </c>
      <c r="V880">
        <v>3</v>
      </c>
      <c r="W880">
        <f>Table1[[#This Row],[Profit]]/Table1[[#This Row],[Sales]]</f>
        <v>0.26315789473684209</v>
      </c>
    </row>
    <row r="881" spans="1:23" x14ac:dyDescent="0.25">
      <c r="A881" t="s">
        <v>1948</v>
      </c>
      <c r="B881" s="1">
        <v>45670</v>
      </c>
      <c r="C881" t="s">
        <v>332</v>
      </c>
      <c r="D881" t="s">
        <v>1237</v>
      </c>
      <c r="E881" t="s">
        <v>67</v>
      </c>
      <c r="F881" t="s">
        <v>68</v>
      </c>
      <c r="G881" t="s">
        <v>27</v>
      </c>
      <c r="H881" t="s">
        <v>28</v>
      </c>
      <c r="I881" t="s">
        <v>69</v>
      </c>
      <c r="J881">
        <v>4</v>
      </c>
      <c r="K881">
        <v>1500</v>
      </c>
      <c r="L881">
        <v>5</v>
      </c>
      <c r="M881">
        <v>5700</v>
      </c>
      <c r="N881">
        <v>4200</v>
      </c>
      <c r="O881">
        <v>1500</v>
      </c>
      <c r="P881" t="s">
        <v>95</v>
      </c>
      <c r="Q881" t="s">
        <v>96</v>
      </c>
      <c r="R881" t="s">
        <v>45</v>
      </c>
      <c r="S881" t="s">
        <v>60</v>
      </c>
      <c r="T881" t="s">
        <v>47</v>
      </c>
      <c r="U881" t="s">
        <v>48</v>
      </c>
      <c r="V881">
        <v>5</v>
      </c>
      <c r="W881">
        <f>Table1[[#This Row],[Profit]]/Table1[[#This Row],[Sales]]</f>
        <v>0.26315789473684209</v>
      </c>
    </row>
    <row r="882" spans="1:23" x14ac:dyDescent="0.25">
      <c r="A882" t="s">
        <v>1949</v>
      </c>
      <c r="B882" s="1">
        <v>45735</v>
      </c>
      <c r="C882" t="s">
        <v>556</v>
      </c>
      <c r="D882" t="s">
        <v>1950</v>
      </c>
      <c r="E882" t="s">
        <v>38</v>
      </c>
      <c r="F882" t="s">
        <v>39</v>
      </c>
      <c r="G882" t="s">
        <v>40</v>
      </c>
      <c r="H882" t="s">
        <v>41</v>
      </c>
      <c r="I882" t="s">
        <v>42</v>
      </c>
      <c r="J882">
        <v>2</v>
      </c>
      <c r="K882">
        <v>4500</v>
      </c>
      <c r="L882">
        <v>0</v>
      </c>
      <c r="M882">
        <v>9000</v>
      </c>
      <c r="N882">
        <v>6300</v>
      </c>
      <c r="O882">
        <v>2700</v>
      </c>
      <c r="P882" t="s">
        <v>30</v>
      </c>
      <c r="Q882" t="s">
        <v>30</v>
      </c>
      <c r="R882" t="s">
        <v>31</v>
      </c>
      <c r="S882" t="s">
        <v>60</v>
      </c>
      <c r="T882" t="s">
        <v>33</v>
      </c>
      <c r="U882" t="s">
        <v>34</v>
      </c>
      <c r="V882">
        <v>1</v>
      </c>
      <c r="W882">
        <f>Table1[[#This Row],[Profit]]/Table1[[#This Row],[Sales]]</f>
        <v>0.3</v>
      </c>
    </row>
    <row r="883" spans="1:23" x14ac:dyDescent="0.25">
      <c r="A883" t="s">
        <v>1951</v>
      </c>
      <c r="B883" s="1">
        <v>45897</v>
      </c>
      <c r="C883" t="s">
        <v>1374</v>
      </c>
      <c r="D883" t="s">
        <v>1917</v>
      </c>
      <c r="E883" t="s">
        <v>67</v>
      </c>
      <c r="F883" t="s">
        <v>68</v>
      </c>
      <c r="G883" t="s">
        <v>27</v>
      </c>
      <c r="H883" t="s">
        <v>28</v>
      </c>
      <c r="I883" t="s">
        <v>69</v>
      </c>
      <c r="J883">
        <v>4</v>
      </c>
      <c r="K883">
        <v>1500</v>
      </c>
      <c r="L883">
        <v>15</v>
      </c>
      <c r="M883">
        <v>5100</v>
      </c>
      <c r="N883">
        <v>4200</v>
      </c>
      <c r="O883">
        <v>900</v>
      </c>
      <c r="P883" t="s">
        <v>109</v>
      </c>
      <c r="Q883" t="s">
        <v>110</v>
      </c>
      <c r="R883" t="s">
        <v>111</v>
      </c>
      <c r="S883" t="s">
        <v>46</v>
      </c>
      <c r="T883" t="s">
        <v>56</v>
      </c>
      <c r="U883" t="s">
        <v>34</v>
      </c>
      <c r="V883">
        <v>5</v>
      </c>
      <c r="W883">
        <f>Table1[[#This Row],[Profit]]/Table1[[#This Row],[Sales]]</f>
        <v>0.17647058823529413</v>
      </c>
    </row>
    <row r="884" spans="1:23" x14ac:dyDescent="0.25">
      <c r="A884" t="s">
        <v>1952</v>
      </c>
      <c r="B884" s="1">
        <v>45928</v>
      </c>
      <c r="C884" t="s">
        <v>1953</v>
      </c>
      <c r="D884" t="s">
        <v>1192</v>
      </c>
      <c r="E884" t="s">
        <v>25</v>
      </c>
      <c r="F884" t="s">
        <v>26</v>
      </c>
      <c r="G884" t="s">
        <v>27</v>
      </c>
      <c r="H884" t="s">
        <v>28</v>
      </c>
      <c r="I884" t="s">
        <v>29</v>
      </c>
      <c r="J884">
        <v>3</v>
      </c>
      <c r="K884">
        <v>800</v>
      </c>
      <c r="L884">
        <v>5</v>
      </c>
      <c r="M884">
        <v>2280</v>
      </c>
      <c r="N884">
        <v>1680</v>
      </c>
      <c r="O884">
        <v>600</v>
      </c>
      <c r="P884" t="s">
        <v>109</v>
      </c>
      <c r="Q884" t="s">
        <v>110</v>
      </c>
      <c r="R884" t="s">
        <v>111</v>
      </c>
      <c r="S884" t="s">
        <v>32</v>
      </c>
      <c r="T884" t="s">
        <v>47</v>
      </c>
      <c r="U884" t="s">
        <v>34</v>
      </c>
      <c r="V884">
        <v>2</v>
      </c>
      <c r="W884">
        <f>Table1[[#This Row],[Profit]]/Table1[[#This Row],[Sales]]</f>
        <v>0.26315789473684209</v>
      </c>
    </row>
    <row r="885" spans="1:23" x14ac:dyDescent="0.25">
      <c r="A885" t="s">
        <v>1954</v>
      </c>
      <c r="B885" s="1">
        <v>45828</v>
      </c>
      <c r="C885" t="s">
        <v>1955</v>
      </c>
      <c r="D885" t="s">
        <v>1487</v>
      </c>
      <c r="E885" t="s">
        <v>52</v>
      </c>
      <c r="F885" t="s">
        <v>53</v>
      </c>
      <c r="G885" t="s">
        <v>27</v>
      </c>
      <c r="H885" t="s">
        <v>54</v>
      </c>
      <c r="I885" t="s">
        <v>55</v>
      </c>
      <c r="J885">
        <v>1</v>
      </c>
      <c r="K885">
        <v>55000</v>
      </c>
      <c r="L885">
        <v>15</v>
      </c>
      <c r="M885">
        <v>46750</v>
      </c>
      <c r="N885">
        <v>38500</v>
      </c>
      <c r="O885">
        <v>8250</v>
      </c>
      <c r="P885" t="s">
        <v>95</v>
      </c>
      <c r="Q885" t="s">
        <v>96</v>
      </c>
      <c r="R885" t="s">
        <v>45</v>
      </c>
      <c r="S885" t="s">
        <v>46</v>
      </c>
      <c r="T885" t="s">
        <v>47</v>
      </c>
      <c r="U885" t="s">
        <v>34</v>
      </c>
      <c r="V885">
        <v>1</v>
      </c>
      <c r="W885">
        <f>Table1[[#This Row],[Profit]]/Table1[[#This Row],[Sales]]</f>
        <v>0.17647058823529413</v>
      </c>
    </row>
    <row r="886" spans="1:23" x14ac:dyDescent="0.25">
      <c r="A886" t="s">
        <v>1956</v>
      </c>
      <c r="B886" s="1">
        <v>45791</v>
      </c>
      <c r="C886" t="s">
        <v>242</v>
      </c>
      <c r="D886" t="s">
        <v>1957</v>
      </c>
      <c r="E886" t="s">
        <v>73</v>
      </c>
      <c r="F886" t="s">
        <v>74</v>
      </c>
      <c r="G886" t="s">
        <v>27</v>
      </c>
      <c r="H886" t="s">
        <v>75</v>
      </c>
      <c r="I886" t="s">
        <v>76</v>
      </c>
      <c r="J886">
        <v>3</v>
      </c>
      <c r="K886">
        <v>3500</v>
      </c>
      <c r="L886">
        <v>0</v>
      </c>
      <c r="M886">
        <v>10500</v>
      </c>
      <c r="N886">
        <v>7349.9999999999991</v>
      </c>
      <c r="O886">
        <v>3150.0000000000009</v>
      </c>
      <c r="P886" t="s">
        <v>95</v>
      </c>
      <c r="Q886" t="s">
        <v>96</v>
      </c>
      <c r="R886" t="s">
        <v>45</v>
      </c>
      <c r="S886" t="s">
        <v>32</v>
      </c>
      <c r="T886" t="s">
        <v>56</v>
      </c>
      <c r="U886" t="s">
        <v>48</v>
      </c>
      <c r="V886">
        <v>4</v>
      </c>
      <c r="W886">
        <f>Table1[[#This Row],[Profit]]/Table1[[#This Row],[Sales]]</f>
        <v>0.3000000000000001</v>
      </c>
    </row>
    <row r="887" spans="1:23" x14ac:dyDescent="0.25">
      <c r="A887" t="s">
        <v>1958</v>
      </c>
      <c r="B887" s="1">
        <v>45928</v>
      </c>
      <c r="C887" t="s">
        <v>1959</v>
      </c>
      <c r="D887" t="s">
        <v>1960</v>
      </c>
      <c r="E887" t="s">
        <v>67</v>
      </c>
      <c r="F887" t="s">
        <v>68</v>
      </c>
      <c r="G887" t="s">
        <v>27</v>
      </c>
      <c r="H887" t="s">
        <v>28</v>
      </c>
      <c r="I887" t="s">
        <v>69</v>
      </c>
      <c r="J887">
        <v>2</v>
      </c>
      <c r="K887">
        <v>1500</v>
      </c>
      <c r="L887">
        <v>15</v>
      </c>
      <c r="M887">
        <v>2550</v>
      </c>
      <c r="N887">
        <v>2100</v>
      </c>
      <c r="O887">
        <v>450</v>
      </c>
      <c r="P887" t="s">
        <v>95</v>
      </c>
      <c r="Q887" t="s">
        <v>96</v>
      </c>
      <c r="R887" t="s">
        <v>45</v>
      </c>
      <c r="S887" t="s">
        <v>32</v>
      </c>
      <c r="T887" t="s">
        <v>56</v>
      </c>
      <c r="U887" t="s">
        <v>34</v>
      </c>
      <c r="V887">
        <v>4</v>
      </c>
      <c r="W887">
        <f>Table1[[#This Row],[Profit]]/Table1[[#This Row],[Sales]]</f>
        <v>0.17647058823529413</v>
      </c>
    </row>
    <row r="888" spans="1:23" x14ac:dyDescent="0.25">
      <c r="A888" t="s">
        <v>1961</v>
      </c>
      <c r="B888" s="1">
        <v>45675</v>
      </c>
      <c r="C888" t="s">
        <v>1095</v>
      </c>
      <c r="D888" t="s">
        <v>415</v>
      </c>
      <c r="E888" t="s">
        <v>52</v>
      </c>
      <c r="F888" t="s">
        <v>53</v>
      </c>
      <c r="G888" t="s">
        <v>27</v>
      </c>
      <c r="H888" t="s">
        <v>54</v>
      </c>
      <c r="I888" t="s">
        <v>55</v>
      </c>
      <c r="J888">
        <v>2</v>
      </c>
      <c r="K888">
        <v>55000</v>
      </c>
      <c r="L888">
        <v>0</v>
      </c>
      <c r="M888">
        <v>110000</v>
      </c>
      <c r="N888">
        <v>77000</v>
      </c>
      <c r="O888">
        <v>33000</v>
      </c>
      <c r="P888" t="s">
        <v>43</v>
      </c>
      <c r="Q888" t="s">
        <v>44</v>
      </c>
      <c r="R888" t="s">
        <v>45</v>
      </c>
      <c r="S888" t="s">
        <v>46</v>
      </c>
      <c r="T888" t="s">
        <v>33</v>
      </c>
      <c r="U888" t="s">
        <v>34</v>
      </c>
      <c r="V888">
        <v>2</v>
      </c>
      <c r="W888">
        <f>Table1[[#This Row],[Profit]]/Table1[[#This Row],[Sales]]</f>
        <v>0.3</v>
      </c>
    </row>
    <row r="889" spans="1:23" x14ac:dyDescent="0.25">
      <c r="A889" t="s">
        <v>1962</v>
      </c>
      <c r="B889" s="1">
        <v>45827</v>
      </c>
      <c r="C889" t="s">
        <v>1453</v>
      </c>
      <c r="D889" t="s">
        <v>51</v>
      </c>
      <c r="E889" t="s">
        <v>67</v>
      </c>
      <c r="F889" t="s">
        <v>68</v>
      </c>
      <c r="G889" t="s">
        <v>27</v>
      </c>
      <c r="H889" t="s">
        <v>28</v>
      </c>
      <c r="I889" t="s">
        <v>69</v>
      </c>
      <c r="J889">
        <v>2</v>
      </c>
      <c r="K889">
        <v>1500</v>
      </c>
      <c r="L889">
        <v>15</v>
      </c>
      <c r="M889">
        <v>2550</v>
      </c>
      <c r="N889">
        <v>2100</v>
      </c>
      <c r="O889">
        <v>450</v>
      </c>
      <c r="P889" t="s">
        <v>30</v>
      </c>
      <c r="Q889" t="s">
        <v>30</v>
      </c>
      <c r="R889" t="s">
        <v>31</v>
      </c>
      <c r="S889" t="s">
        <v>60</v>
      </c>
      <c r="T889" t="s">
        <v>56</v>
      </c>
      <c r="U889" t="s">
        <v>48</v>
      </c>
      <c r="V889">
        <v>5</v>
      </c>
      <c r="W889">
        <f>Table1[[#This Row],[Profit]]/Table1[[#This Row],[Sales]]</f>
        <v>0.17647058823529413</v>
      </c>
    </row>
    <row r="890" spans="1:23" x14ac:dyDescent="0.25">
      <c r="A890" t="s">
        <v>1963</v>
      </c>
      <c r="B890" s="1">
        <v>45702</v>
      </c>
      <c r="C890" t="s">
        <v>1964</v>
      </c>
      <c r="D890" t="s">
        <v>362</v>
      </c>
      <c r="E890" t="s">
        <v>52</v>
      </c>
      <c r="F890" t="s">
        <v>53</v>
      </c>
      <c r="G890" t="s">
        <v>27</v>
      </c>
      <c r="H890" t="s">
        <v>54</v>
      </c>
      <c r="I890" t="s">
        <v>55</v>
      </c>
      <c r="J890">
        <v>5</v>
      </c>
      <c r="K890">
        <v>55000</v>
      </c>
      <c r="L890">
        <v>15</v>
      </c>
      <c r="M890">
        <v>233750</v>
      </c>
      <c r="N890">
        <v>192500</v>
      </c>
      <c r="O890">
        <v>41250</v>
      </c>
      <c r="P890" t="s">
        <v>109</v>
      </c>
      <c r="Q890" t="s">
        <v>110</v>
      </c>
      <c r="R890" t="s">
        <v>111</v>
      </c>
      <c r="S890" t="s">
        <v>60</v>
      </c>
      <c r="T890" t="s">
        <v>56</v>
      </c>
      <c r="U890" t="s">
        <v>34</v>
      </c>
      <c r="V890">
        <v>1</v>
      </c>
      <c r="W890">
        <f>Table1[[#This Row],[Profit]]/Table1[[#This Row],[Sales]]</f>
        <v>0.17647058823529413</v>
      </c>
    </row>
    <row r="891" spans="1:23" x14ac:dyDescent="0.25">
      <c r="A891" t="s">
        <v>1965</v>
      </c>
      <c r="B891" s="1">
        <v>45918</v>
      </c>
      <c r="C891" t="s">
        <v>1966</v>
      </c>
      <c r="D891" t="s">
        <v>949</v>
      </c>
      <c r="E891" t="s">
        <v>38</v>
      </c>
      <c r="F891" t="s">
        <v>39</v>
      </c>
      <c r="G891" t="s">
        <v>40</v>
      </c>
      <c r="H891" t="s">
        <v>41</v>
      </c>
      <c r="I891" t="s">
        <v>42</v>
      </c>
      <c r="J891">
        <v>2</v>
      </c>
      <c r="K891">
        <v>4500</v>
      </c>
      <c r="L891">
        <v>15</v>
      </c>
      <c r="M891">
        <v>7650</v>
      </c>
      <c r="N891">
        <v>6300</v>
      </c>
      <c r="O891">
        <v>1350</v>
      </c>
      <c r="P891" t="s">
        <v>95</v>
      </c>
      <c r="Q891" t="s">
        <v>96</v>
      </c>
      <c r="R891" t="s">
        <v>45</v>
      </c>
      <c r="S891" t="s">
        <v>60</v>
      </c>
      <c r="T891" t="s">
        <v>56</v>
      </c>
      <c r="U891" t="s">
        <v>48</v>
      </c>
      <c r="V891">
        <v>2</v>
      </c>
      <c r="W891">
        <f>Table1[[#This Row],[Profit]]/Table1[[#This Row],[Sales]]</f>
        <v>0.17647058823529413</v>
      </c>
    </row>
    <row r="892" spans="1:23" x14ac:dyDescent="0.25">
      <c r="A892" t="s">
        <v>1967</v>
      </c>
      <c r="B892" s="1">
        <v>45728</v>
      </c>
      <c r="C892" t="s">
        <v>1968</v>
      </c>
      <c r="D892" t="s">
        <v>1163</v>
      </c>
      <c r="E892" t="s">
        <v>67</v>
      </c>
      <c r="F892" t="s">
        <v>68</v>
      </c>
      <c r="G892" t="s">
        <v>27</v>
      </c>
      <c r="H892" t="s">
        <v>28</v>
      </c>
      <c r="I892" t="s">
        <v>69</v>
      </c>
      <c r="J892">
        <v>3</v>
      </c>
      <c r="K892">
        <v>1500</v>
      </c>
      <c r="L892">
        <v>15</v>
      </c>
      <c r="M892">
        <v>3825</v>
      </c>
      <c r="N892">
        <v>3150</v>
      </c>
      <c r="O892">
        <v>675</v>
      </c>
      <c r="P892" t="s">
        <v>43</v>
      </c>
      <c r="Q892" t="s">
        <v>44</v>
      </c>
      <c r="R892" t="s">
        <v>45</v>
      </c>
      <c r="S892" t="s">
        <v>60</v>
      </c>
      <c r="T892" t="s">
        <v>47</v>
      </c>
      <c r="U892" t="s">
        <v>48</v>
      </c>
      <c r="V892">
        <v>2</v>
      </c>
      <c r="W892">
        <f>Table1[[#This Row],[Profit]]/Table1[[#This Row],[Sales]]</f>
        <v>0.17647058823529413</v>
      </c>
    </row>
    <row r="893" spans="1:23" x14ac:dyDescent="0.25">
      <c r="A893" t="s">
        <v>1969</v>
      </c>
      <c r="B893" s="1">
        <v>45831</v>
      </c>
      <c r="C893" t="s">
        <v>628</v>
      </c>
      <c r="D893" t="s">
        <v>1970</v>
      </c>
      <c r="E893" t="s">
        <v>38</v>
      </c>
      <c r="F893" t="s">
        <v>39</v>
      </c>
      <c r="G893" t="s">
        <v>40</v>
      </c>
      <c r="H893" t="s">
        <v>41</v>
      </c>
      <c r="I893" t="s">
        <v>42</v>
      </c>
      <c r="J893">
        <v>1</v>
      </c>
      <c r="K893">
        <v>4500</v>
      </c>
      <c r="L893">
        <v>5</v>
      </c>
      <c r="M893">
        <v>4275</v>
      </c>
      <c r="N893">
        <v>3150</v>
      </c>
      <c r="O893">
        <v>1125</v>
      </c>
      <c r="P893" t="s">
        <v>30</v>
      </c>
      <c r="Q893" t="s">
        <v>30</v>
      </c>
      <c r="R893" t="s">
        <v>31</v>
      </c>
      <c r="S893" t="s">
        <v>32</v>
      </c>
      <c r="T893" t="s">
        <v>56</v>
      </c>
      <c r="U893" t="s">
        <v>48</v>
      </c>
      <c r="V893">
        <v>5</v>
      </c>
      <c r="W893">
        <f>Table1[[#This Row],[Profit]]/Table1[[#This Row],[Sales]]</f>
        <v>0.26315789473684209</v>
      </c>
    </row>
    <row r="894" spans="1:23" x14ac:dyDescent="0.25">
      <c r="A894" t="s">
        <v>1971</v>
      </c>
      <c r="B894" s="1">
        <v>45903</v>
      </c>
      <c r="C894" t="s">
        <v>1972</v>
      </c>
      <c r="D894" t="s">
        <v>1007</v>
      </c>
      <c r="E894" t="s">
        <v>73</v>
      </c>
      <c r="F894" t="s">
        <v>74</v>
      </c>
      <c r="G894" t="s">
        <v>27</v>
      </c>
      <c r="H894" t="s">
        <v>75</v>
      </c>
      <c r="I894" t="s">
        <v>76</v>
      </c>
      <c r="J894">
        <v>5</v>
      </c>
      <c r="K894">
        <v>3500</v>
      </c>
      <c r="L894">
        <v>15</v>
      </c>
      <c r="M894">
        <v>14875</v>
      </c>
      <c r="N894">
        <v>12250</v>
      </c>
      <c r="O894">
        <v>2625</v>
      </c>
      <c r="P894" t="s">
        <v>95</v>
      </c>
      <c r="Q894" t="s">
        <v>96</v>
      </c>
      <c r="R894" t="s">
        <v>45</v>
      </c>
      <c r="S894" t="s">
        <v>60</v>
      </c>
      <c r="T894" t="s">
        <v>47</v>
      </c>
      <c r="U894" t="s">
        <v>34</v>
      </c>
      <c r="V894">
        <v>2</v>
      </c>
      <c r="W894">
        <f>Table1[[#This Row],[Profit]]/Table1[[#This Row],[Sales]]</f>
        <v>0.17647058823529413</v>
      </c>
    </row>
    <row r="895" spans="1:23" x14ac:dyDescent="0.25">
      <c r="A895" t="s">
        <v>1973</v>
      </c>
      <c r="B895" s="1">
        <v>45900</v>
      </c>
      <c r="C895" t="s">
        <v>850</v>
      </c>
      <c r="D895" t="s">
        <v>231</v>
      </c>
      <c r="E895" t="s">
        <v>73</v>
      </c>
      <c r="F895" t="s">
        <v>74</v>
      </c>
      <c r="G895" t="s">
        <v>27</v>
      </c>
      <c r="H895" t="s">
        <v>75</v>
      </c>
      <c r="I895" t="s">
        <v>76</v>
      </c>
      <c r="J895">
        <v>4</v>
      </c>
      <c r="K895">
        <v>3500</v>
      </c>
      <c r="L895">
        <v>15</v>
      </c>
      <c r="M895">
        <v>11900</v>
      </c>
      <c r="N895">
        <v>9800</v>
      </c>
      <c r="O895">
        <v>2100</v>
      </c>
      <c r="P895" t="s">
        <v>109</v>
      </c>
      <c r="Q895" t="s">
        <v>110</v>
      </c>
      <c r="R895" t="s">
        <v>111</v>
      </c>
      <c r="S895" t="s">
        <v>46</v>
      </c>
      <c r="T895" t="s">
        <v>56</v>
      </c>
      <c r="U895" t="s">
        <v>34</v>
      </c>
      <c r="V895">
        <v>4</v>
      </c>
      <c r="W895">
        <f>Table1[[#This Row],[Profit]]/Table1[[#This Row],[Sales]]</f>
        <v>0.17647058823529413</v>
      </c>
    </row>
    <row r="896" spans="1:23" x14ac:dyDescent="0.25">
      <c r="A896" t="s">
        <v>1974</v>
      </c>
      <c r="B896" s="1">
        <v>45835</v>
      </c>
      <c r="C896" t="s">
        <v>1332</v>
      </c>
      <c r="D896" t="s">
        <v>541</v>
      </c>
      <c r="E896" t="s">
        <v>25</v>
      </c>
      <c r="F896" t="s">
        <v>26</v>
      </c>
      <c r="G896" t="s">
        <v>27</v>
      </c>
      <c r="H896" t="s">
        <v>28</v>
      </c>
      <c r="I896" t="s">
        <v>29</v>
      </c>
      <c r="J896">
        <v>4</v>
      </c>
      <c r="K896">
        <v>800</v>
      </c>
      <c r="L896">
        <v>10</v>
      </c>
      <c r="M896">
        <v>2880</v>
      </c>
      <c r="N896">
        <v>2240</v>
      </c>
      <c r="O896">
        <v>640</v>
      </c>
      <c r="P896" t="s">
        <v>95</v>
      </c>
      <c r="Q896" t="s">
        <v>96</v>
      </c>
      <c r="R896" t="s">
        <v>45</v>
      </c>
      <c r="S896" t="s">
        <v>32</v>
      </c>
      <c r="T896" t="s">
        <v>33</v>
      </c>
      <c r="U896" t="s">
        <v>48</v>
      </c>
      <c r="V896">
        <v>2</v>
      </c>
      <c r="W896">
        <f>Table1[[#This Row],[Profit]]/Table1[[#This Row],[Sales]]</f>
        <v>0.22222222222222221</v>
      </c>
    </row>
    <row r="897" spans="1:23" x14ac:dyDescent="0.25">
      <c r="A897" t="s">
        <v>1975</v>
      </c>
      <c r="B897" s="1">
        <v>45865</v>
      </c>
      <c r="C897" t="s">
        <v>1976</v>
      </c>
      <c r="D897" t="s">
        <v>1977</v>
      </c>
      <c r="E897" t="s">
        <v>25</v>
      </c>
      <c r="F897" t="s">
        <v>26</v>
      </c>
      <c r="G897" t="s">
        <v>27</v>
      </c>
      <c r="H897" t="s">
        <v>28</v>
      </c>
      <c r="I897" t="s">
        <v>29</v>
      </c>
      <c r="J897">
        <v>2</v>
      </c>
      <c r="K897">
        <v>800</v>
      </c>
      <c r="L897">
        <v>0</v>
      </c>
      <c r="M897">
        <v>1600</v>
      </c>
      <c r="N897">
        <v>1120</v>
      </c>
      <c r="O897">
        <v>480</v>
      </c>
      <c r="P897" t="s">
        <v>43</v>
      </c>
      <c r="Q897" t="s">
        <v>44</v>
      </c>
      <c r="R897" t="s">
        <v>45</v>
      </c>
      <c r="S897" t="s">
        <v>46</v>
      </c>
      <c r="T897" t="s">
        <v>56</v>
      </c>
      <c r="U897" t="s">
        <v>48</v>
      </c>
      <c r="V897">
        <v>2</v>
      </c>
      <c r="W897">
        <f>Table1[[#This Row],[Profit]]/Table1[[#This Row],[Sales]]</f>
        <v>0.3</v>
      </c>
    </row>
    <row r="898" spans="1:23" x14ac:dyDescent="0.25">
      <c r="A898" t="s">
        <v>1978</v>
      </c>
      <c r="B898" s="1">
        <v>45937</v>
      </c>
      <c r="C898" t="s">
        <v>1979</v>
      </c>
      <c r="D898" t="s">
        <v>1111</v>
      </c>
      <c r="E898" t="s">
        <v>73</v>
      </c>
      <c r="F898" t="s">
        <v>74</v>
      </c>
      <c r="G898" t="s">
        <v>27</v>
      </c>
      <c r="H898" t="s">
        <v>75</v>
      </c>
      <c r="I898" t="s">
        <v>76</v>
      </c>
      <c r="J898">
        <v>3</v>
      </c>
      <c r="K898">
        <v>3500</v>
      </c>
      <c r="L898">
        <v>10</v>
      </c>
      <c r="M898">
        <v>9450</v>
      </c>
      <c r="N898">
        <v>7349.9999999999991</v>
      </c>
      <c r="O898">
        <v>2100.0000000000009</v>
      </c>
      <c r="P898" t="s">
        <v>43</v>
      </c>
      <c r="Q898" t="s">
        <v>44</v>
      </c>
      <c r="R898" t="s">
        <v>45</v>
      </c>
      <c r="S898" t="s">
        <v>32</v>
      </c>
      <c r="T898" t="s">
        <v>47</v>
      </c>
      <c r="U898" t="s">
        <v>48</v>
      </c>
      <c r="V898">
        <v>3</v>
      </c>
      <c r="W898">
        <f>Table1[[#This Row],[Profit]]/Table1[[#This Row],[Sales]]</f>
        <v>0.22222222222222232</v>
      </c>
    </row>
    <row r="899" spans="1:23" x14ac:dyDescent="0.25">
      <c r="A899" t="s">
        <v>1980</v>
      </c>
      <c r="B899" s="1">
        <v>45926</v>
      </c>
      <c r="C899" t="s">
        <v>1691</v>
      </c>
      <c r="D899" t="s">
        <v>1981</v>
      </c>
      <c r="E899" t="s">
        <v>67</v>
      </c>
      <c r="F899" t="s">
        <v>68</v>
      </c>
      <c r="G899" t="s">
        <v>27</v>
      </c>
      <c r="H899" t="s">
        <v>28</v>
      </c>
      <c r="I899" t="s">
        <v>69</v>
      </c>
      <c r="J899">
        <v>1</v>
      </c>
      <c r="K899">
        <v>1500</v>
      </c>
      <c r="L899">
        <v>10</v>
      </c>
      <c r="M899">
        <v>1350</v>
      </c>
      <c r="N899">
        <v>1050</v>
      </c>
      <c r="O899">
        <v>300</v>
      </c>
      <c r="P899" t="s">
        <v>30</v>
      </c>
      <c r="Q899" t="s">
        <v>30</v>
      </c>
      <c r="R899" t="s">
        <v>31</v>
      </c>
      <c r="S899" t="s">
        <v>32</v>
      </c>
      <c r="T899" t="s">
        <v>47</v>
      </c>
      <c r="U899" t="s">
        <v>48</v>
      </c>
      <c r="V899">
        <v>2</v>
      </c>
      <c r="W899">
        <f>Table1[[#This Row],[Profit]]/Table1[[#This Row],[Sales]]</f>
        <v>0.22222222222222221</v>
      </c>
    </row>
    <row r="900" spans="1:23" x14ac:dyDescent="0.25">
      <c r="A900" t="s">
        <v>1982</v>
      </c>
      <c r="B900" s="1">
        <v>45907</v>
      </c>
      <c r="C900" t="s">
        <v>1983</v>
      </c>
      <c r="D900" t="s">
        <v>389</v>
      </c>
      <c r="E900" t="s">
        <v>38</v>
      </c>
      <c r="F900" t="s">
        <v>39</v>
      </c>
      <c r="G900" t="s">
        <v>40</v>
      </c>
      <c r="H900" t="s">
        <v>41</v>
      </c>
      <c r="I900" t="s">
        <v>42</v>
      </c>
      <c r="J900">
        <v>1</v>
      </c>
      <c r="K900">
        <v>4500</v>
      </c>
      <c r="L900">
        <v>15</v>
      </c>
      <c r="M900">
        <v>3825</v>
      </c>
      <c r="N900">
        <v>3150</v>
      </c>
      <c r="O900">
        <v>675</v>
      </c>
      <c r="P900" t="s">
        <v>43</v>
      </c>
      <c r="Q900" t="s">
        <v>44</v>
      </c>
      <c r="R900" t="s">
        <v>45</v>
      </c>
      <c r="S900" t="s">
        <v>32</v>
      </c>
      <c r="T900" t="s">
        <v>56</v>
      </c>
      <c r="U900" t="s">
        <v>48</v>
      </c>
      <c r="V900">
        <v>2</v>
      </c>
      <c r="W900">
        <f>Table1[[#This Row],[Profit]]/Table1[[#This Row],[Sales]]</f>
        <v>0.17647058823529413</v>
      </c>
    </row>
    <row r="901" spans="1:23" x14ac:dyDescent="0.25">
      <c r="A901" t="s">
        <v>1984</v>
      </c>
      <c r="B901" s="1">
        <v>45683</v>
      </c>
      <c r="C901" t="s">
        <v>1242</v>
      </c>
      <c r="D901" t="s">
        <v>1985</v>
      </c>
      <c r="E901" t="s">
        <v>38</v>
      </c>
      <c r="F901" t="s">
        <v>39</v>
      </c>
      <c r="G901" t="s">
        <v>40</v>
      </c>
      <c r="H901" t="s">
        <v>41</v>
      </c>
      <c r="I901" t="s">
        <v>42</v>
      </c>
      <c r="J901">
        <v>4</v>
      </c>
      <c r="K901">
        <v>4500</v>
      </c>
      <c r="L901">
        <v>10</v>
      </c>
      <c r="M901">
        <v>16200</v>
      </c>
      <c r="N901">
        <v>12600</v>
      </c>
      <c r="O901">
        <v>3600</v>
      </c>
      <c r="P901" t="s">
        <v>30</v>
      </c>
      <c r="Q901" t="s">
        <v>30</v>
      </c>
      <c r="R901" t="s">
        <v>31</v>
      </c>
      <c r="S901" t="s">
        <v>60</v>
      </c>
      <c r="T901" t="s">
        <v>33</v>
      </c>
      <c r="U901" t="s">
        <v>34</v>
      </c>
      <c r="V901">
        <v>2</v>
      </c>
      <c r="W901">
        <f>Table1[[#This Row],[Profit]]/Table1[[#This Row],[Sales]]</f>
        <v>0.22222222222222221</v>
      </c>
    </row>
    <row r="902" spans="1:23" x14ac:dyDescent="0.25">
      <c r="A902" t="s">
        <v>1986</v>
      </c>
      <c r="B902" s="1">
        <v>45987</v>
      </c>
      <c r="C902" t="s">
        <v>1987</v>
      </c>
      <c r="D902" t="s">
        <v>1195</v>
      </c>
      <c r="E902" t="s">
        <v>52</v>
      </c>
      <c r="F902" t="s">
        <v>53</v>
      </c>
      <c r="G902" t="s">
        <v>27</v>
      </c>
      <c r="H902" t="s">
        <v>54</v>
      </c>
      <c r="I902" t="s">
        <v>55</v>
      </c>
      <c r="J902">
        <v>3</v>
      </c>
      <c r="K902">
        <v>55000</v>
      </c>
      <c r="L902">
        <v>0</v>
      </c>
      <c r="M902">
        <v>165000</v>
      </c>
      <c r="N902">
        <v>115500</v>
      </c>
      <c r="O902">
        <v>49500.000000000007</v>
      </c>
      <c r="P902" t="s">
        <v>30</v>
      </c>
      <c r="Q902" t="s">
        <v>30</v>
      </c>
      <c r="R902" t="s">
        <v>31</v>
      </c>
      <c r="S902" t="s">
        <v>32</v>
      </c>
      <c r="T902" t="s">
        <v>47</v>
      </c>
      <c r="U902" t="s">
        <v>34</v>
      </c>
      <c r="V902">
        <v>4</v>
      </c>
      <c r="W902">
        <f>Table1[[#This Row],[Profit]]/Table1[[#This Row],[Sales]]</f>
        <v>0.30000000000000004</v>
      </c>
    </row>
    <row r="903" spans="1:23" x14ac:dyDescent="0.25">
      <c r="A903" t="s">
        <v>1988</v>
      </c>
      <c r="B903" s="1">
        <v>45792</v>
      </c>
      <c r="C903" t="s">
        <v>869</v>
      </c>
      <c r="D903" t="s">
        <v>1833</v>
      </c>
      <c r="E903" t="s">
        <v>25</v>
      </c>
      <c r="F903" t="s">
        <v>26</v>
      </c>
      <c r="G903" t="s">
        <v>27</v>
      </c>
      <c r="H903" t="s">
        <v>28</v>
      </c>
      <c r="I903" t="s">
        <v>29</v>
      </c>
      <c r="J903">
        <v>4</v>
      </c>
      <c r="K903">
        <v>800</v>
      </c>
      <c r="L903">
        <v>10</v>
      </c>
      <c r="M903">
        <v>2880</v>
      </c>
      <c r="N903">
        <v>2240</v>
      </c>
      <c r="O903">
        <v>640</v>
      </c>
      <c r="P903" t="s">
        <v>95</v>
      </c>
      <c r="Q903" t="s">
        <v>96</v>
      </c>
      <c r="R903" t="s">
        <v>45</v>
      </c>
      <c r="S903" t="s">
        <v>46</v>
      </c>
      <c r="T903" t="s">
        <v>33</v>
      </c>
      <c r="U903" t="s">
        <v>34</v>
      </c>
      <c r="V903">
        <v>5</v>
      </c>
      <c r="W903">
        <f>Table1[[#This Row],[Profit]]/Table1[[#This Row],[Sales]]</f>
        <v>0.22222222222222221</v>
      </c>
    </row>
    <row r="904" spans="1:23" x14ac:dyDescent="0.25">
      <c r="A904" t="s">
        <v>1989</v>
      </c>
      <c r="B904" s="1">
        <v>45719</v>
      </c>
      <c r="C904" t="s">
        <v>1990</v>
      </c>
      <c r="D904" t="s">
        <v>330</v>
      </c>
      <c r="E904" t="s">
        <v>67</v>
      </c>
      <c r="F904" t="s">
        <v>68</v>
      </c>
      <c r="G904" t="s">
        <v>27</v>
      </c>
      <c r="H904" t="s">
        <v>28</v>
      </c>
      <c r="I904" t="s">
        <v>69</v>
      </c>
      <c r="J904">
        <v>4</v>
      </c>
      <c r="K904">
        <v>1500</v>
      </c>
      <c r="L904">
        <v>5</v>
      </c>
      <c r="M904">
        <v>5700</v>
      </c>
      <c r="N904">
        <v>4200</v>
      </c>
      <c r="O904">
        <v>1500</v>
      </c>
      <c r="P904" t="s">
        <v>30</v>
      </c>
      <c r="Q904" t="s">
        <v>30</v>
      </c>
      <c r="R904" t="s">
        <v>31</v>
      </c>
      <c r="S904" t="s">
        <v>60</v>
      </c>
      <c r="T904" t="s">
        <v>47</v>
      </c>
      <c r="U904" t="s">
        <v>48</v>
      </c>
      <c r="V904">
        <v>3</v>
      </c>
      <c r="W904">
        <f>Table1[[#This Row],[Profit]]/Table1[[#This Row],[Sales]]</f>
        <v>0.26315789473684209</v>
      </c>
    </row>
    <row r="905" spans="1:23" x14ac:dyDescent="0.25">
      <c r="A905" t="s">
        <v>1991</v>
      </c>
      <c r="B905" s="1">
        <v>45858</v>
      </c>
      <c r="C905" t="s">
        <v>1992</v>
      </c>
      <c r="D905" t="s">
        <v>1454</v>
      </c>
      <c r="E905" t="s">
        <v>73</v>
      </c>
      <c r="F905" t="s">
        <v>74</v>
      </c>
      <c r="G905" t="s">
        <v>27</v>
      </c>
      <c r="H905" t="s">
        <v>75</v>
      </c>
      <c r="I905" t="s">
        <v>76</v>
      </c>
      <c r="J905">
        <v>4</v>
      </c>
      <c r="K905">
        <v>3500</v>
      </c>
      <c r="L905">
        <v>5</v>
      </c>
      <c r="M905">
        <v>13300</v>
      </c>
      <c r="N905">
        <v>9800</v>
      </c>
      <c r="O905">
        <v>3500</v>
      </c>
      <c r="P905" t="s">
        <v>43</v>
      </c>
      <c r="Q905" t="s">
        <v>44</v>
      </c>
      <c r="R905" t="s">
        <v>45</v>
      </c>
      <c r="S905" t="s">
        <v>60</v>
      </c>
      <c r="T905" t="s">
        <v>33</v>
      </c>
      <c r="U905" t="s">
        <v>34</v>
      </c>
      <c r="V905">
        <v>4</v>
      </c>
      <c r="W905">
        <f>Table1[[#This Row],[Profit]]/Table1[[#This Row],[Sales]]</f>
        <v>0.26315789473684209</v>
      </c>
    </row>
    <row r="906" spans="1:23" x14ac:dyDescent="0.25">
      <c r="A906" t="s">
        <v>1993</v>
      </c>
      <c r="B906" s="1">
        <v>45863</v>
      </c>
      <c r="C906" t="s">
        <v>594</v>
      </c>
      <c r="D906" t="s">
        <v>1327</v>
      </c>
      <c r="E906" t="s">
        <v>38</v>
      </c>
      <c r="F906" t="s">
        <v>39</v>
      </c>
      <c r="G906" t="s">
        <v>40</v>
      </c>
      <c r="H906" t="s">
        <v>41</v>
      </c>
      <c r="I906" t="s">
        <v>42</v>
      </c>
      <c r="J906">
        <v>3</v>
      </c>
      <c r="K906">
        <v>4500</v>
      </c>
      <c r="L906">
        <v>5</v>
      </c>
      <c r="M906">
        <v>12825</v>
      </c>
      <c r="N906">
        <v>9450</v>
      </c>
      <c r="O906">
        <v>3375</v>
      </c>
      <c r="P906" t="s">
        <v>109</v>
      </c>
      <c r="Q906" t="s">
        <v>110</v>
      </c>
      <c r="R906" t="s">
        <v>111</v>
      </c>
      <c r="S906" t="s">
        <v>60</v>
      </c>
      <c r="T906" t="s">
        <v>56</v>
      </c>
      <c r="U906" t="s">
        <v>48</v>
      </c>
      <c r="V906">
        <v>3</v>
      </c>
      <c r="W906">
        <f>Table1[[#This Row],[Profit]]/Table1[[#This Row],[Sales]]</f>
        <v>0.26315789473684209</v>
      </c>
    </row>
    <row r="907" spans="1:23" x14ac:dyDescent="0.25">
      <c r="A907" t="s">
        <v>1994</v>
      </c>
      <c r="B907" s="1">
        <v>45675</v>
      </c>
      <c r="C907" t="s">
        <v>1174</v>
      </c>
      <c r="D907" t="s">
        <v>735</v>
      </c>
      <c r="E907" t="s">
        <v>67</v>
      </c>
      <c r="F907" t="s">
        <v>68</v>
      </c>
      <c r="G907" t="s">
        <v>27</v>
      </c>
      <c r="H907" t="s">
        <v>28</v>
      </c>
      <c r="I907" t="s">
        <v>69</v>
      </c>
      <c r="J907">
        <v>3</v>
      </c>
      <c r="K907">
        <v>1500</v>
      </c>
      <c r="L907">
        <v>0</v>
      </c>
      <c r="M907">
        <v>4500</v>
      </c>
      <c r="N907">
        <v>3150</v>
      </c>
      <c r="O907">
        <v>1350</v>
      </c>
      <c r="P907" t="s">
        <v>30</v>
      </c>
      <c r="Q907" t="s">
        <v>30</v>
      </c>
      <c r="R907" t="s">
        <v>31</v>
      </c>
      <c r="S907" t="s">
        <v>60</v>
      </c>
      <c r="T907" t="s">
        <v>47</v>
      </c>
      <c r="U907" t="s">
        <v>34</v>
      </c>
      <c r="V907">
        <v>4</v>
      </c>
      <c r="W907">
        <f>Table1[[#This Row],[Profit]]/Table1[[#This Row],[Sales]]</f>
        <v>0.3</v>
      </c>
    </row>
    <row r="908" spans="1:23" x14ac:dyDescent="0.25">
      <c r="A908" t="s">
        <v>1995</v>
      </c>
      <c r="B908" s="1">
        <v>45881</v>
      </c>
      <c r="C908" t="s">
        <v>242</v>
      </c>
      <c r="D908" t="s">
        <v>99</v>
      </c>
      <c r="E908" t="s">
        <v>25</v>
      </c>
      <c r="F908" t="s">
        <v>26</v>
      </c>
      <c r="G908" t="s">
        <v>27</v>
      </c>
      <c r="H908" t="s">
        <v>28</v>
      </c>
      <c r="I908" t="s">
        <v>29</v>
      </c>
      <c r="J908">
        <v>1</v>
      </c>
      <c r="K908">
        <v>800</v>
      </c>
      <c r="L908">
        <v>5</v>
      </c>
      <c r="M908">
        <v>760</v>
      </c>
      <c r="N908">
        <v>560</v>
      </c>
      <c r="O908">
        <v>200</v>
      </c>
      <c r="P908" t="s">
        <v>95</v>
      </c>
      <c r="Q908" t="s">
        <v>96</v>
      </c>
      <c r="R908" t="s">
        <v>45</v>
      </c>
      <c r="S908" t="s">
        <v>32</v>
      </c>
      <c r="T908" t="s">
        <v>47</v>
      </c>
      <c r="U908" t="s">
        <v>34</v>
      </c>
      <c r="V908">
        <v>4</v>
      </c>
      <c r="W908">
        <f>Table1[[#This Row],[Profit]]/Table1[[#This Row],[Sales]]</f>
        <v>0.26315789473684209</v>
      </c>
    </row>
    <row r="909" spans="1:23" x14ac:dyDescent="0.25">
      <c r="A909" t="s">
        <v>1996</v>
      </c>
      <c r="B909" s="1">
        <v>45728</v>
      </c>
      <c r="C909" t="s">
        <v>199</v>
      </c>
      <c r="D909" t="s">
        <v>389</v>
      </c>
      <c r="E909" t="s">
        <v>38</v>
      </c>
      <c r="F909" t="s">
        <v>39</v>
      </c>
      <c r="G909" t="s">
        <v>40</v>
      </c>
      <c r="H909" t="s">
        <v>41</v>
      </c>
      <c r="I909" t="s">
        <v>42</v>
      </c>
      <c r="J909">
        <v>3</v>
      </c>
      <c r="K909">
        <v>4500</v>
      </c>
      <c r="L909">
        <v>5</v>
      </c>
      <c r="M909">
        <v>12825</v>
      </c>
      <c r="N909">
        <v>9450</v>
      </c>
      <c r="O909">
        <v>3375</v>
      </c>
      <c r="P909" t="s">
        <v>109</v>
      </c>
      <c r="Q909" t="s">
        <v>110</v>
      </c>
      <c r="R909" t="s">
        <v>111</v>
      </c>
      <c r="S909" t="s">
        <v>32</v>
      </c>
      <c r="T909" t="s">
        <v>33</v>
      </c>
      <c r="U909" t="s">
        <v>34</v>
      </c>
      <c r="V909">
        <v>4</v>
      </c>
      <c r="W909">
        <f>Table1[[#This Row],[Profit]]/Table1[[#This Row],[Sales]]</f>
        <v>0.26315789473684209</v>
      </c>
    </row>
    <row r="910" spans="1:23" x14ac:dyDescent="0.25">
      <c r="A910" t="s">
        <v>1997</v>
      </c>
      <c r="B910" s="1">
        <v>45912</v>
      </c>
      <c r="C910" t="s">
        <v>1998</v>
      </c>
      <c r="D910" t="s">
        <v>999</v>
      </c>
      <c r="E910" t="s">
        <v>25</v>
      </c>
      <c r="F910" t="s">
        <v>26</v>
      </c>
      <c r="G910" t="s">
        <v>27</v>
      </c>
      <c r="H910" t="s">
        <v>28</v>
      </c>
      <c r="I910" t="s">
        <v>29</v>
      </c>
      <c r="J910">
        <v>3</v>
      </c>
      <c r="K910">
        <v>800</v>
      </c>
      <c r="L910">
        <v>0</v>
      </c>
      <c r="M910">
        <v>2400</v>
      </c>
      <c r="N910">
        <v>1680</v>
      </c>
      <c r="O910">
        <v>720</v>
      </c>
      <c r="P910" t="s">
        <v>109</v>
      </c>
      <c r="Q910" t="s">
        <v>110</v>
      </c>
      <c r="R910" t="s">
        <v>111</v>
      </c>
      <c r="S910" t="s">
        <v>32</v>
      </c>
      <c r="T910" t="s">
        <v>47</v>
      </c>
      <c r="U910" t="s">
        <v>48</v>
      </c>
      <c r="V910">
        <v>5</v>
      </c>
      <c r="W910">
        <f>Table1[[#This Row],[Profit]]/Table1[[#This Row],[Sales]]</f>
        <v>0.3</v>
      </c>
    </row>
    <row r="911" spans="1:23" x14ac:dyDescent="0.25">
      <c r="A911" t="s">
        <v>1999</v>
      </c>
      <c r="B911" s="1">
        <v>45695</v>
      </c>
      <c r="C911" t="s">
        <v>1295</v>
      </c>
      <c r="D911" t="s">
        <v>952</v>
      </c>
      <c r="E911" t="s">
        <v>73</v>
      </c>
      <c r="F911" t="s">
        <v>74</v>
      </c>
      <c r="G911" t="s">
        <v>27</v>
      </c>
      <c r="H911" t="s">
        <v>75</v>
      </c>
      <c r="I911" t="s">
        <v>76</v>
      </c>
      <c r="J911">
        <v>5</v>
      </c>
      <c r="K911">
        <v>3500</v>
      </c>
      <c r="L911">
        <v>15</v>
      </c>
      <c r="M911">
        <v>14875</v>
      </c>
      <c r="N911">
        <v>12250</v>
      </c>
      <c r="O911">
        <v>2625</v>
      </c>
      <c r="P911" t="s">
        <v>109</v>
      </c>
      <c r="Q911" t="s">
        <v>110</v>
      </c>
      <c r="R911" t="s">
        <v>111</v>
      </c>
      <c r="S911" t="s">
        <v>32</v>
      </c>
      <c r="T911" t="s">
        <v>47</v>
      </c>
      <c r="U911" t="s">
        <v>48</v>
      </c>
      <c r="V911">
        <v>1</v>
      </c>
      <c r="W911">
        <f>Table1[[#This Row],[Profit]]/Table1[[#This Row],[Sales]]</f>
        <v>0.17647058823529413</v>
      </c>
    </row>
    <row r="912" spans="1:23" x14ac:dyDescent="0.25">
      <c r="A912" t="s">
        <v>2000</v>
      </c>
      <c r="B912" s="1">
        <v>45855</v>
      </c>
      <c r="C912" t="s">
        <v>2001</v>
      </c>
      <c r="D912" t="s">
        <v>1807</v>
      </c>
      <c r="E912" t="s">
        <v>52</v>
      </c>
      <c r="F912" t="s">
        <v>53</v>
      </c>
      <c r="G912" t="s">
        <v>27</v>
      </c>
      <c r="H912" t="s">
        <v>54</v>
      </c>
      <c r="I912" t="s">
        <v>55</v>
      </c>
      <c r="J912">
        <v>4</v>
      </c>
      <c r="K912">
        <v>55000</v>
      </c>
      <c r="L912">
        <v>0</v>
      </c>
      <c r="M912">
        <v>220000</v>
      </c>
      <c r="N912">
        <v>154000</v>
      </c>
      <c r="O912">
        <v>66000</v>
      </c>
      <c r="P912" t="s">
        <v>30</v>
      </c>
      <c r="Q912" t="s">
        <v>30</v>
      </c>
      <c r="R912" t="s">
        <v>31</v>
      </c>
      <c r="S912" t="s">
        <v>32</v>
      </c>
      <c r="T912" t="s">
        <v>33</v>
      </c>
      <c r="U912" t="s">
        <v>48</v>
      </c>
      <c r="V912">
        <v>4</v>
      </c>
      <c r="W912">
        <f>Table1[[#This Row],[Profit]]/Table1[[#This Row],[Sales]]</f>
        <v>0.3</v>
      </c>
    </row>
    <row r="913" spans="1:23" x14ac:dyDescent="0.25">
      <c r="A913" t="s">
        <v>2002</v>
      </c>
      <c r="B913" s="1">
        <v>45873</v>
      </c>
      <c r="C913" t="s">
        <v>1798</v>
      </c>
      <c r="D913" t="s">
        <v>1058</v>
      </c>
      <c r="E913" t="s">
        <v>73</v>
      </c>
      <c r="F913" t="s">
        <v>74</v>
      </c>
      <c r="G913" t="s">
        <v>27</v>
      </c>
      <c r="H913" t="s">
        <v>75</v>
      </c>
      <c r="I913" t="s">
        <v>76</v>
      </c>
      <c r="J913">
        <v>4</v>
      </c>
      <c r="K913">
        <v>3500</v>
      </c>
      <c r="L913">
        <v>0</v>
      </c>
      <c r="M913">
        <v>14000</v>
      </c>
      <c r="N913">
        <v>9800</v>
      </c>
      <c r="O913">
        <v>4200</v>
      </c>
      <c r="P913" t="s">
        <v>43</v>
      </c>
      <c r="Q913" t="s">
        <v>44</v>
      </c>
      <c r="R913" t="s">
        <v>45</v>
      </c>
      <c r="S913" t="s">
        <v>60</v>
      </c>
      <c r="T913" t="s">
        <v>56</v>
      </c>
      <c r="U913" t="s">
        <v>34</v>
      </c>
      <c r="V913">
        <v>1</v>
      </c>
      <c r="W913">
        <f>Table1[[#This Row],[Profit]]/Table1[[#This Row],[Sales]]</f>
        <v>0.3</v>
      </c>
    </row>
    <row r="914" spans="1:23" x14ac:dyDescent="0.25">
      <c r="A914" t="s">
        <v>2003</v>
      </c>
      <c r="B914" s="1">
        <v>45911</v>
      </c>
      <c r="C914" t="s">
        <v>2004</v>
      </c>
      <c r="D914" t="s">
        <v>507</v>
      </c>
      <c r="E914" t="s">
        <v>25</v>
      </c>
      <c r="F914" t="s">
        <v>26</v>
      </c>
      <c r="G914" t="s">
        <v>27</v>
      </c>
      <c r="H914" t="s">
        <v>28</v>
      </c>
      <c r="I914" t="s">
        <v>29</v>
      </c>
      <c r="J914">
        <v>4</v>
      </c>
      <c r="K914">
        <v>800</v>
      </c>
      <c r="L914">
        <v>5</v>
      </c>
      <c r="M914">
        <v>3040</v>
      </c>
      <c r="N914">
        <v>2240</v>
      </c>
      <c r="O914">
        <v>800</v>
      </c>
      <c r="P914" t="s">
        <v>95</v>
      </c>
      <c r="Q914" t="s">
        <v>96</v>
      </c>
      <c r="R914" t="s">
        <v>45</v>
      </c>
      <c r="S914" t="s">
        <v>32</v>
      </c>
      <c r="T914" t="s">
        <v>33</v>
      </c>
      <c r="U914" t="s">
        <v>48</v>
      </c>
      <c r="V914">
        <v>2</v>
      </c>
      <c r="W914">
        <f>Table1[[#This Row],[Profit]]/Table1[[#This Row],[Sales]]</f>
        <v>0.26315789473684209</v>
      </c>
    </row>
    <row r="915" spans="1:23" x14ac:dyDescent="0.25">
      <c r="A915" t="s">
        <v>2005</v>
      </c>
      <c r="B915" s="1">
        <v>45941</v>
      </c>
      <c r="C915" t="s">
        <v>2006</v>
      </c>
      <c r="D915" t="s">
        <v>684</v>
      </c>
      <c r="E915" t="s">
        <v>52</v>
      </c>
      <c r="F915" t="s">
        <v>53</v>
      </c>
      <c r="G915" t="s">
        <v>27</v>
      </c>
      <c r="H915" t="s">
        <v>54</v>
      </c>
      <c r="I915" t="s">
        <v>55</v>
      </c>
      <c r="J915">
        <v>2</v>
      </c>
      <c r="K915">
        <v>55000</v>
      </c>
      <c r="L915">
        <v>0</v>
      </c>
      <c r="M915">
        <v>110000</v>
      </c>
      <c r="N915">
        <v>77000</v>
      </c>
      <c r="O915">
        <v>33000</v>
      </c>
      <c r="P915" t="s">
        <v>43</v>
      </c>
      <c r="Q915" t="s">
        <v>44</v>
      </c>
      <c r="R915" t="s">
        <v>45</v>
      </c>
      <c r="S915" t="s">
        <v>60</v>
      </c>
      <c r="T915" t="s">
        <v>56</v>
      </c>
      <c r="U915" t="s">
        <v>34</v>
      </c>
      <c r="V915">
        <v>1</v>
      </c>
      <c r="W915">
        <f>Table1[[#This Row],[Profit]]/Table1[[#This Row],[Sales]]</f>
        <v>0.3</v>
      </c>
    </row>
    <row r="916" spans="1:23" x14ac:dyDescent="0.25">
      <c r="A916" t="s">
        <v>2007</v>
      </c>
      <c r="B916" s="1">
        <v>45840</v>
      </c>
      <c r="C916" t="s">
        <v>699</v>
      </c>
      <c r="D916" t="s">
        <v>544</v>
      </c>
      <c r="E916" t="s">
        <v>38</v>
      </c>
      <c r="F916" t="s">
        <v>39</v>
      </c>
      <c r="G916" t="s">
        <v>40</v>
      </c>
      <c r="H916" t="s">
        <v>41</v>
      </c>
      <c r="I916" t="s">
        <v>42</v>
      </c>
      <c r="J916">
        <v>3</v>
      </c>
      <c r="K916">
        <v>4500</v>
      </c>
      <c r="L916">
        <v>5</v>
      </c>
      <c r="M916">
        <v>12825</v>
      </c>
      <c r="N916">
        <v>9450</v>
      </c>
      <c r="O916">
        <v>3375</v>
      </c>
      <c r="P916" t="s">
        <v>30</v>
      </c>
      <c r="Q916" t="s">
        <v>30</v>
      </c>
      <c r="R916" t="s">
        <v>31</v>
      </c>
      <c r="S916" t="s">
        <v>32</v>
      </c>
      <c r="T916" t="s">
        <v>47</v>
      </c>
      <c r="U916" t="s">
        <v>34</v>
      </c>
      <c r="V916">
        <v>2</v>
      </c>
      <c r="W916">
        <f>Table1[[#This Row],[Profit]]/Table1[[#This Row],[Sales]]</f>
        <v>0.26315789473684209</v>
      </c>
    </row>
    <row r="917" spans="1:23" x14ac:dyDescent="0.25">
      <c r="A917" t="s">
        <v>2008</v>
      </c>
      <c r="B917" s="1">
        <v>45750</v>
      </c>
      <c r="C917" t="s">
        <v>2009</v>
      </c>
      <c r="D917" t="s">
        <v>1981</v>
      </c>
      <c r="E917" t="s">
        <v>25</v>
      </c>
      <c r="F917" t="s">
        <v>26</v>
      </c>
      <c r="G917" t="s">
        <v>27</v>
      </c>
      <c r="H917" t="s">
        <v>28</v>
      </c>
      <c r="I917" t="s">
        <v>29</v>
      </c>
      <c r="J917">
        <v>5</v>
      </c>
      <c r="K917">
        <v>800</v>
      </c>
      <c r="L917">
        <v>15</v>
      </c>
      <c r="M917">
        <v>3400</v>
      </c>
      <c r="N917">
        <v>2800</v>
      </c>
      <c r="O917">
        <v>600</v>
      </c>
      <c r="P917" t="s">
        <v>109</v>
      </c>
      <c r="Q917" t="s">
        <v>110</v>
      </c>
      <c r="R917" t="s">
        <v>111</v>
      </c>
      <c r="S917" t="s">
        <v>46</v>
      </c>
      <c r="T917" t="s">
        <v>33</v>
      </c>
      <c r="U917" t="s">
        <v>48</v>
      </c>
      <c r="V917">
        <v>1</v>
      </c>
      <c r="W917">
        <f>Table1[[#This Row],[Profit]]/Table1[[#This Row],[Sales]]</f>
        <v>0.17647058823529413</v>
      </c>
    </row>
    <row r="918" spans="1:23" x14ac:dyDescent="0.25">
      <c r="A918" t="s">
        <v>2010</v>
      </c>
      <c r="B918" s="1">
        <v>45836</v>
      </c>
      <c r="C918" t="s">
        <v>911</v>
      </c>
      <c r="D918" t="s">
        <v>1772</v>
      </c>
      <c r="E918" t="s">
        <v>25</v>
      </c>
      <c r="F918" t="s">
        <v>26</v>
      </c>
      <c r="G918" t="s">
        <v>27</v>
      </c>
      <c r="H918" t="s">
        <v>28</v>
      </c>
      <c r="I918" t="s">
        <v>29</v>
      </c>
      <c r="J918">
        <v>5</v>
      </c>
      <c r="K918">
        <v>800</v>
      </c>
      <c r="L918">
        <v>0</v>
      </c>
      <c r="M918">
        <v>4000</v>
      </c>
      <c r="N918">
        <v>2800</v>
      </c>
      <c r="O918">
        <v>1200</v>
      </c>
      <c r="P918" t="s">
        <v>43</v>
      </c>
      <c r="Q918" t="s">
        <v>44</v>
      </c>
      <c r="R918" t="s">
        <v>45</v>
      </c>
      <c r="S918" t="s">
        <v>60</v>
      </c>
      <c r="T918" t="s">
        <v>56</v>
      </c>
      <c r="U918" t="s">
        <v>48</v>
      </c>
      <c r="V918">
        <v>2</v>
      </c>
      <c r="W918">
        <f>Table1[[#This Row],[Profit]]/Table1[[#This Row],[Sales]]</f>
        <v>0.3</v>
      </c>
    </row>
    <row r="919" spans="1:23" x14ac:dyDescent="0.25">
      <c r="A919" t="s">
        <v>2011</v>
      </c>
      <c r="B919" s="1">
        <v>45979</v>
      </c>
      <c r="C919" t="s">
        <v>2012</v>
      </c>
      <c r="D919" t="s">
        <v>2013</v>
      </c>
      <c r="E919" t="s">
        <v>67</v>
      </c>
      <c r="F919" t="s">
        <v>68</v>
      </c>
      <c r="G919" t="s">
        <v>27</v>
      </c>
      <c r="H919" t="s">
        <v>28</v>
      </c>
      <c r="I919" t="s">
        <v>69</v>
      </c>
      <c r="J919">
        <v>1</v>
      </c>
      <c r="K919">
        <v>1500</v>
      </c>
      <c r="L919">
        <v>5</v>
      </c>
      <c r="M919">
        <v>1425</v>
      </c>
      <c r="N919">
        <v>1050</v>
      </c>
      <c r="O919">
        <v>375</v>
      </c>
      <c r="P919" t="s">
        <v>109</v>
      </c>
      <c r="Q919" t="s">
        <v>110</v>
      </c>
      <c r="R919" t="s">
        <v>111</v>
      </c>
      <c r="S919" t="s">
        <v>60</v>
      </c>
      <c r="T919" t="s">
        <v>47</v>
      </c>
      <c r="U919" t="s">
        <v>34</v>
      </c>
      <c r="V919">
        <v>4</v>
      </c>
      <c r="W919">
        <f>Table1[[#This Row],[Profit]]/Table1[[#This Row],[Sales]]</f>
        <v>0.26315789473684209</v>
      </c>
    </row>
    <row r="920" spans="1:23" x14ac:dyDescent="0.25">
      <c r="A920" t="s">
        <v>2014</v>
      </c>
      <c r="B920" s="1">
        <v>45990</v>
      </c>
      <c r="C920" t="s">
        <v>2015</v>
      </c>
      <c r="D920" t="s">
        <v>1063</v>
      </c>
      <c r="E920" t="s">
        <v>67</v>
      </c>
      <c r="F920" t="s">
        <v>68</v>
      </c>
      <c r="G920" t="s">
        <v>27</v>
      </c>
      <c r="H920" t="s">
        <v>28</v>
      </c>
      <c r="I920" t="s">
        <v>69</v>
      </c>
      <c r="J920">
        <v>3</v>
      </c>
      <c r="K920">
        <v>1500</v>
      </c>
      <c r="L920">
        <v>5</v>
      </c>
      <c r="M920">
        <v>4275</v>
      </c>
      <c r="N920">
        <v>3150</v>
      </c>
      <c r="O920">
        <v>1125</v>
      </c>
      <c r="P920" t="s">
        <v>30</v>
      </c>
      <c r="Q920" t="s">
        <v>30</v>
      </c>
      <c r="R920" t="s">
        <v>31</v>
      </c>
      <c r="S920" t="s">
        <v>32</v>
      </c>
      <c r="T920" t="s">
        <v>56</v>
      </c>
      <c r="U920" t="s">
        <v>48</v>
      </c>
      <c r="V920">
        <v>4</v>
      </c>
      <c r="W920">
        <f>Table1[[#This Row],[Profit]]/Table1[[#This Row],[Sales]]</f>
        <v>0.26315789473684209</v>
      </c>
    </row>
    <row r="921" spans="1:23" x14ac:dyDescent="0.25">
      <c r="A921" t="s">
        <v>2016</v>
      </c>
      <c r="B921" s="1">
        <v>45754</v>
      </c>
      <c r="C921" t="s">
        <v>146</v>
      </c>
      <c r="D921" t="s">
        <v>2017</v>
      </c>
      <c r="E921" t="s">
        <v>73</v>
      </c>
      <c r="F921" t="s">
        <v>74</v>
      </c>
      <c r="G921" t="s">
        <v>27</v>
      </c>
      <c r="H921" t="s">
        <v>75</v>
      </c>
      <c r="I921" t="s">
        <v>76</v>
      </c>
      <c r="J921">
        <v>2</v>
      </c>
      <c r="K921">
        <v>3500</v>
      </c>
      <c r="L921">
        <v>0</v>
      </c>
      <c r="M921">
        <v>7000</v>
      </c>
      <c r="N921">
        <v>4900</v>
      </c>
      <c r="O921">
        <v>2100</v>
      </c>
      <c r="P921" t="s">
        <v>109</v>
      </c>
      <c r="Q921" t="s">
        <v>110</v>
      </c>
      <c r="R921" t="s">
        <v>111</v>
      </c>
      <c r="S921" t="s">
        <v>46</v>
      </c>
      <c r="T921" t="s">
        <v>33</v>
      </c>
      <c r="U921" t="s">
        <v>34</v>
      </c>
      <c r="V921">
        <v>5</v>
      </c>
      <c r="W921">
        <f>Table1[[#This Row],[Profit]]/Table1[[#This Row],[Sales]]</f>
        <v>0.3</v>
      </c>
    </row>
    <row r="922" spans="1:23" x14ac:dyDescent="0.25">
      <c r="A922" t="s">
        <v>2018</v>
      </c>
      <c r="B922" s="1">
        <v>45781</v>
      </c>
      <c r="C922" t="s">
        <v>1652</v>
      </c>
      <c r="D922" t="s">
        <v>271</v>
      </c>
      <c r="E922" t="s">
        <v>67</v>
      </c>
      <c r="F922" t="s">
        <v>68</v>
      </c>
      <c r="G922" t="s">
        <v>27</v>
      </c>
      <c r="H922" t="s">
        <v>28</v>
      </c>
      <c r="I922" t="s">
        <v>69</v>
      </c>
      <c r="J922">
        <v>2</v>
      </c>
      <c r="K922">
        <v>1500</v>
      </c>
      <c r="L922">
        <v>10</v>
      </c>
      <c r="M922">
        <v>2700</v>
      </c>
      <c r="N922">
        <v>2100</v>
      </c>
      <c r="O922">
        <v>600</v>
      </c>
      <c r="P922" t="s">
        <v>109</v>
      </c>
      <c r="Q922" t="s">
        <v>110</v>
      </c>
      <c r="R922" t="s">
        <v>111</v>
      </c>
      <c r="S922" t="s">
        <v>46</v>
      </c>
      <c r="T922" t="s">
        <v>47</v>
      </c>
      <c r="U922" t="s">
        <v>48</v>
      </c>
      <c r="V922">
        <v>2</v>
      </c>
      <c r="W922">
        <f>Table1[[#This Row],[Profit]]/Table1[[#This Row],[Sales]]</f>
        <v>0.22222222222222221</v>
      </c>
    </row>
    <row r="923" spans="1:23" x14ac:dyDescent="0.25">
      <c r="A923" t="s">
        <v>2019</v>
      </c>
      <c r="B923" s="1">
        <v>45938</v>
      </c>
      <c r="C923" t="s">
        <v>230</v>
      </c>
      <c r="D923" t="s">
        <v>1043</v>
      </c>
      <c r="E923" t="s">
        <v>25</v>
      </c>
      <c r="F923" t="s">
        <v>26</v>
      </c>
      <c r="G923" t="s">
        <v>27</v>
      </c>
      <c r="H923" t="s">
        <v>28</v>
      </c>
      <c r="I923" t="s">
        <v>29</v>
      </c>
      <c r="J923">
        <v>2</v>
      </c>
      <c r="K923">
        <v>800</v>
      </c>
      <c r="L923">
        <v>15</v>
      </c>
      <c r="M923">
        <v>1360</v>
      </c>
      <c r="N923">
        <v>1120</v>
      </c>
      <c r="O923">
        <v>240</v>
      </c>
      <c r="P923" t="s">
        <v>43</v>
      </c>
      <c r="Q923" t="s">
        <v>44</v>
      </c>
      <c r="R923" t="s">
        <v>45</v>
      </c>
      <c r="S923" t="s">
        <v>46</v>
      </c>
      <c r="T923" t="s">
        <v>33</v>
      </c>
      <c r="U923" t="s">
        <v>48</v>
      </c>
      <c r="V923">
        <v>2</v>
      </c>
      <c r="W923">
        <f>Table1[[#This Row],[Profit]]/Table1[[#This Row],[Sales]]</f>
        <v>0.17647058823529413</v>
      </c>
    </row>
    <row r="924" spans="1:23" x14ac:dyDescent="0.25">
      <c r="A924" t="s">
        <v>2020</v>
      </c>
      <c r="B924" s="1">
        <v>46001</v>
      </c>
      <c r="C924" t="s">
        <v>233</v>
      </c>
      <c r="D924" t="s">
        <v>117</v>
      </c>
      <c r="E924" t="s">
        <v>73</v>
      </c>
      <c r="F924" t="s">
        <v>74</v>
      </c>
      <c r="G924" t="s">
        <v>27</v>
      </c>
      <c r="H924" t="s">
        <v>75</v>
      </c>
      <c r="I924" t="s">
        <v>76</v>
      </c>
      <c r="J924">
        <v>3</v>
      </c>
      <c r="K924">
        <v>3500</v>
      </c>
      <c r="L924">
        <v>5</v>
      </c>
      <c r="M924">
        <v>9975</v>
      </c>
      <c r="N924">
        <v>7349.9999999999991</v>
      </c>
      <c r="O924">
        <v>2625.0000000000009</v>
      </c>
      <c r="P924" t="s">
        <v>109</v>
      </c>
      <c r="Q924" t="s">
        <v>110</v>
      </c>
      <c r="R924" t="s">
        <v>111</v>
      </c>
      <c r="S924" t="s">
        <v>60</v>
      </c>
      <c r="T924" t="s">
        <v>33</v>
      </c>
      <c r="U924" t="s">
        <v>48</v>
      </c>
      <c r="V924">
        <v>1</v>
      </c>
      <c r="W924">
        <f>Table1[[#This Row],[Profit]]/Table1[[#This Row],[Sales]]</f>
        <v>0.2631578947368422</v>
      </c>
    </row>
    <row r="925" spans="1:23" x14ac:dyDescent="0.25">
      <c r="A925" t="s">
        <v>2021</v>
      </c>
      <c r="B925" s="1">
        <v>45827</v>
      </c>
      <c r="C925" t="s">
        <v>256</v>
      </c>
      <c r="D925" t="s">
        <v>185</v>
      </c>
      <c r="E925" t="s">
        <v>38</v>
      </c>
      <c r="F925" t="s">
        <v>39</v>
      </c>
      <c r="G925" t="s">
        <v>40</v>
      </c>
      <c r="H925" t="s">
        <v>41</v>
      </c>
      <c r="I925" t="s">
        <v>42</v>
      </c>
      <c r="J925">
        <v>3</v>
      </c>
      <c r="K925">
        <v>4500</v>
      </c>
      <c r="L925">
        <v>15</v>
      </c>
      <c r="M925">
        <v>11475</v>
      </c>
      <c r="N925">
        <v>9450</v>
      </c>
      <c r="O925">
        <v>2025</v>
      </c>
      <c r="P925" t="s">
        <v>95</v>
      </c>
      <c r="Q925" t="s">
        <v>96</v>
      </c>
      <c r="R925" t="s">
        <v>45</v>
      </c>
      <c r="S925" t="s">
        <v>32</v>
      </c>
      <c r="T925" t="s">
        <v>56</v>
      </c>
      <c r="U925" t="s">
        <v>34</v>
      </c>
      <c r="V925">
        <v>5</v>
      </c>
      <c r="W925">
        <f>Table1[[#This Row],[Profit]]/Table1[[#This Row],[Sales]]</f>
        <v>0.17647058823529413</v>
      </c>
    </row>
    <row r="926" spans="1:23" x14ac:dyDescent="0.25">
      <c r="A926" t="s">
        <v>2022</v>
      </c>
      <c r="B926" s="1">
        <v>46012</v>
      </c>
      <c r="C926" t="s">
        <v>1815</v>
      </c>
      <c r="D926" t="s">
        <v>883</v>
      </c>
      <c r="E926" t="s">
        <v>38</v>
      </c>
      <c r="F926" t="s">
        <v>39</v>
      </c>
      <c r="G926" t="s">
        <v>40</v>
      </c>
      <c r="H926" t="s">
        <v>41</v>
      </c>
      <c r="I926" t="s">
        <v>42</v>
      </c>
      <c r="J926">
        <v>2</v>
      </c>
      <c r="K926">
        <v>4500</v>
      </c>
      <c r="L926">
        <v>0</v>
      </c>
      <c r="M926">
        <v>9000</v>
      </c>
      <c r="N926">
        <v>6300</v>
      </c>
      <c r="O926">
        <v>2700</v>
      </c>
      <c r="P926" t="s">
        <v>30</v>
      </c>
      <c r="Q926" t="s">
        <v>30</v>
      </c>
      <c r="R926" t="s">
        <v>31</v>
      </c>
      <c r="S926" t="s">
        <v>32</v>
      </c>
      <c r="T926" t="s">
        <v>47</v>
      </c>
      <c r="U926" t="s">
        <v>48</v>
      </c>
      <c r="V926">
        <v>1</v>
      </c>
      <c r="W926">
        <f>Table1[[#This Row],[Profit]]/Table1[[#This Row],[Sales]]</f>
        <v>0.3</v>
      </c>
    </row>
    <row r="927" spans="1:23" x14ac:dyDescent="0.25">
      <c r="A927" t="s">
        <v>2023</v>
      </c>
      <c r="B927" s="1">
        <v>45719</v>
      </c>
      <c r="C927" t="s">
        <v>1236</v>
      </c>
      <c r="D927" t="s">
        <v>316</v>
      </c>
      <c r="E927" t="s">
        <v>52</v>
      </c>
      <c r="F927" t="s">
        <v>53</v>
      </c>
      <c r="G927" t="s">
        <v>27</v>
      </c>
      <c r="H927" t="s">
        <v>54</v>
      </c>
      <c r="I927" t="s">
        <v>55</v>
      </c>
      <c r="J927">
        <v>3</v>
      </c>
      <c r="K927">
        <v>55000</v>
      </c>
      <c r="L927">
        <v>5</v>
      </c>
      <c r="M927">
        <v>156750</v>
      </c>
      <c r="N927">
        <v>115500</v>
      </c>
      <c r="O927">
        <v>41250.000000000007</v>
      </c>
      <c r="P927" t="s">
        <v>30</v>
      </c>
      <c r="Q927" t="s">
        <v>30</v>
      </c>
      <c r="R927" t="s">
        <v>31</v>
      </c>
      <c r="S927" t="s">
        <v>60</v>
      </c>
      <c r="T927" t="s">
        <v>33</v>
      </c>
      <c r="U927" t="s">
        <v>48</v>
      </c>
      <c r="V927">
        <v>3</v>
      </c>
      <c r="W927">
        <f>Table1[[#This Row],[Profit]]/Table1[[#This Row],[Sales]]</f>
        <v>0.26315789473684215</v>
      </c>
    </row>
    <row r="928" spans="1:23" x14ac:dyDescent="0.25">
      <c r="A928" t="s">
        <v>2024</v>
      </c>
      <c r="B928" s="1">
        <v>45813</v>
      </c>
      <c r="C928" t="s">
        <v>1223</v>
      </c>
      <c r="D928" t="s">
        <v>1302</v>
      </c>
      <c r="E928" t="s">
        <v>38</v>
      </c>
      <c r="F928" t="s">
        <v>39</v>
      </c>
      <c r="G928" t="s">
        <v>40</v>
      </c>
      <c r="H928" t="s">
        <v>41</v>
      </c>
      <c r="I928" t="s">
        <v>42</v>
      </c>
      <c r="J928">
        <v>5</v>
      </c>
      <c r="K928">
        <v>4500</v>
      </c>
      <c r="L928">
        <v>10</v>
      </c>
      <c r="M928">
        <v>20250</v>
      </c>
      <c r="N928">
        <v>15750</v>
      </c>
      <c r="O928">
        <v>4500.0000000000018</v>
      </c>
      <c r="P928" t="s">
        <v>30</v>
      </c>
      <c r="Q928" t="s">
        <v>30</v>
      </c>
      <c r="R928" t="s">
        <v>31</v>
      </c>
      <c r="S928" t="s">
        <v>46</v>
      </c>
      <c r="T928" t="s">
        <v>47</v>
      </c>
      <c r="U928" t="s">
        <v>34</v>
      </c>
      <c r="V928">
        <v>3</v>
      </c>
      <c r="W928">
        <f>Table1[[#This Row],[Profit]]/Table1[[#This Row],[Sales]]</f>
        <v>0.22222222222222232</v>
      </c>
    </row>
    <row r="929" spans="1:23" x14ac:dyDescent="0.25">
      <c r="A929" t="s">
        <v>2025</v>
      </c>
      <c r="B929" s="1">
        <v>45793</v>
      </c>
      <c r="C929" t="s">
        <v>1990</v>
      </c>
      <c r="D929" t="s">
        <v>541</v>
      </c>
      <c r="E929" t="s">
        <v>73</v>
      </c>
      <c r="F929" t="s">
        <v>74</v>
      </c>
      <c r="G929" t="s">
        <v>27</v>
      </c>
      <c r="H929" t="s">
        <v>75</v>
      </c>
      <c r="I929" t="s">
        <v>76</v>
      </c>
      <c r="J929">
        <v>3</v>
      </c>
      <c r="K929">
        <v>3500</v>
      </c>
      <c r="L929">
        <v>5</v>
      </c>
      <c r="M929">
        <v>9975</v>
      </c>
      <c r="N929">
        <v>7349.9999999999991</v>
      </c>
      <c r="O929">
        <v>2625.0000000000009</v>
      </c>
      <c r="P929" t="s">
        <v>109</v>
      </c>
      <c r="Q929" t="s">
        <v>110</v>
      </c>
      <c r="R929" t="s">
        <v>111</v>
      </c>
      <c r="S929" t="s">
        <v>32</v>
      </c>
      <c r="T929" t="s">
        <v>33</v>
      </c>
      <c r="U929" t="s">
        <v>48</v>
      </c>
      <c r="V929">
        <v>3</v>
      </c>
      <c r="W929">
        <f>Table1[[#This Row],[Profit]]/Table1[[#This Row],[Sales]]</f>
        <v>0.2631578947368422</v>
      </c>
    </row>
    <row r="930" spans="1:23" x14ac:dyDescent="0.25">
      <c r="A930" t="s">
        <v>2026</v>
      </c>
      <c r="B930" s="1">
        <v>45877</v>
      </c>
      <c r="C930" t="s">
        <v>1245</v>
      </c>
      <c r="D930" t="s">
        <v>276</v>
      </c>
      <c r="E930" t="s">
        <v>25</v>
      </c>
      <c r="F930" t="s">
        <v>26</v>
      </c>
      <c r="G930" t="s">
        <v>27</v>
      </c>
      <c r="H930" t="s">
        <v>28</v>
      </c>
      <c r="I930" t="s">
        <v>29</v>
      </c>
      <c r="J930">
        <v>2</v>
      </c>
      <c r="K930">
        <v>800</v>
      </c>
      <c r="L930">
        <v>0</v>
      </c>
      <c r="M930">
        <v>1600</v>
      </c>
      <c r="N930">
        <v>1120</v>
      </c>
      <c r="O930">
        <v>480</v>
      </c>
      <c r="P930" t="s">
        <v>95</v>
      </c>
      <c r="Q930" t="s">
        <v>96</v>
      </c>
      <c r="R930" t="s">
        <v>45</v>
      </c>
      <c r="S930" t="s">
        <v>32</v>
      </c>
      <c r="T930" t="s">
        <v>47</v>
      </c>
      <c r="U930" t="s">
        <v>34</v>
      </c>
      <c r="V930">
        <v>4</v>
      </c>
      <c r="W930">
        <f>Table1[[#This Row],[Profit]]/Table1[[#This Row],[Sales]]</f>
        <v>0.3</v>
      </c>
    </row>
    <row r="931" spans="1:23" x14ac:dyDescent="0.25">
      <c r="A931" t="s">
        <v>2027</v>
      </c>
      <c r="B931" s="1">
        <v>45720</v>
      </c>
      <c r="C931" t="s">
        <v>1194</v>
      </c>
      <c r="D931" t="s">
        <v>72</v>
      </c>
      <c r="E931" t="s">
        <v>25</v>
      </c>
      <c r="F931" t="s">
        <v>26</v>
      </c>
      <c r="G931" t="s">
        <v>27</v>
      </c>
      <c r="H931" t="s">
        <v>28</v>
      </c>
      <c r="I931" t="s">
        <v>29</v>
      </c>
      <c r="J931">
        <v>3</v>
      </c>
      <c r="K931">
        <v>800</v>
      </c>
      <c r="L931">
        <v>0</v>
      </c>
      <c r="M931">
        <v>2400</v>
      </c>
      <c r="N931">
        <v>1680</v>
      </c>
      <c r="O931">
        <v>720</v>
      </c>
      <c r="P931" t="s">
        <v>109</v>
      </c>
      <c r="Q931" t="s">
        <v>110</v>
      </c>
      <c r="R931" t="s">
        <v>111</v>
      </c>
      <c r="S931" t="s">
        <v>60</v>
      </c>
      <c r="T931" t="s">
        <v>56</v>
      </c>
      <c r="U931" t="s">
        <v>48</v>
      </c>
      <c r="V931">
        <v>3</v>
      </c>
      <c r="W931">
        <f>Table1[[#This Row],[Profit]]/Table1[[#This Row],[Sales]]</f>
        <v>0.3</v>
      </c>
    </row>
    <row r="932" spans="1:23" x14ac:dyDescent="0.25">
      <c r="A932" t="s">
        <v>2028</v>
      </c>
      <c r="B932" s="1">
        <v>45848</v>
      </c>
      <c r="C932" t="s">
        <v>281</v>
      </c>
      <c r="D932" t="s">
        <v>191</v>
      </c>
      <c r="E932" t="s">
        <v>25</v>
      </c>
      <c r="F932" t="s">
        <v>26</v>
      </c>
      <c r="G932" t="s">
        <v>27</v>
      </c>
      <c r="H932" t="s">
        <v>28</v>
      </c>
      <c r="I932" t="s">
        <v>29</v>
      </c>
      <c r="J932">
        <v>1</v>
      </c>
      <c r="K932">
        <v>800</v>
      </c>
      <c r="L932">
        <v>0</v>
      </c>
      <c r="M932">
        <v>800</v>
      </c>
      <c r="N932">
        <v>560</v>
      </c>
      <c r="O932">
        <v>240</v>
      </c>
      <c r="P932" t="s">
        <v>95</v>
      </c>
      <c r="Q932" t="s">
        <v>96</v>
      </c>
      <c r="R932" t="s">
        <v>45</v>
      </c>
      <c r="S932" t="s">
        <v>32</v>
      </c>
      <c r="T932" t="s">
        <v>47</v>
      </c>
      <c r="U932" t="s">
        <v>48</v>
      </c>
      <c r="V932">
        <v>5</v>
      </c>
      <c r="W932">
        <f>Table1[[#This Row],[Profit]]/Table1[[#This Row],[Sales]]</f>
        <v>0.3</v>
      </c>
    </row>
    <row r="933" spans="1:23" x14ac:dyDescent="0.25">
      <c r="A933" t="s">
        <v>2029</v>
      </c>
      <c r="B933" s="1">
        <v>45978</v>
      </c>
      <c r="C933" t="s">
        <v>264</v>
      </c>
      <c r="D933" t="s">
        <v>1360</v>
      </c>
      <c r="E933" t="s">
        <v>25</v>
      </c>
      <c r="F933" t="s">
        <v>26</v>
      </c>
      <c r="G933" t="s">
        <v>27</v>
      </c>
      <c r="H933" t="s">
        <v>28</v>
      </c>
      <c r="I933" t="s">
        <v>29</v>
      </c>
      <c r="J933">
        <v>2</v>
      </c>
      <c r="K933">
        <v>800</v>
      </c>
      <c r="L933">
        <v>0</v>
      </c>
      <c r="M933">
        <v>1600</v>
      </c>
      <c r="N933">
        <v>1120</v>
      </c>
      <c r="O933">
        <v>480</v>
      </c>
      <c r="P933" t="s">
        <v>95</v>
      </c>
      <c r="Q933" t="s">
        <v>96</v>
      </c>
      <c r="R933" t="s">
        <v>45</v>
      </c>
      <c r="S933" t="s">
        <v>32</v>
      </c>
      <c r="T933" t="s">
        <v>56</v>
      </c>
      <c r="U933" t="s">
        <v>34</v>
      </c>
      <c r="V933">
        <v>4</v>
      </c>
      <c r="W933">
        <f>Table1[[#This Row],[Profit]]/Table1[[#This Row],[Sales]]</f>
        <v>0.3</v>
      </c>
    </row>
    <row r="934" spans="1:23" x14ac:dyDescent="0.25">
      <c r="A934" t="s">
        <v>2030</v>
      </c>
      <c r="B934" s="1">
        <v>45799</v>
      </c>
      <c r="C934" t="s">
        <v>2031</v>
      </c>
      <c r="D934" t="s">
        <v>379</v>
      </c>
      <c r="E934" t="s">
        <v>67</v>
      </c>
      <c r="F934" t="s">
        <v>68</v>
      </c>
      <c r="G934" t="s">
        <v>27</v>
      </c>
      <c r="H934" t="s">
        <v>28</v>
      </c>
      <c r="I934" t="s">
        <v>69</v>
      </c>
      <c r="J934">
        <v>5</v>
      </c>
      <c r="K934">
        <v>1500</v>
      </c>
      <c r="L934">
        <v>15</v>
      </c>
      <c r="M934">
        <v>6375</v>
      </c>
      <c r="N934">
        <v>5250</v>
      </c>
      <c r="O934">
        <v>1125</v>
      </c>
      <c r="P934" t="s">
        <v>109</v>
      </c>
      <c r="Q934" t="s">
        <v>110</v>
      </c>
      <c r="R934" t="s">
        <v>111</v>
      </c>
      <c r="S934" t="s">
        <v>32</v>
      </c>
      <c r="T934" t="s">
        <v>47</v>
      </c>
      <c r="U934" t="s">
        <v>34</v>
      </c>
      <c r="V934">
        <v>1</v>
      </c>
      <c r="W934">
        <f>Table1[[#This Row],[Profit]]/Table1[[#This Row],[Sales]]</f>
        <v>0.17647058823529413</v>
      </c>
    </row>
    <row r="935" spans="1:23" x14ac:dyDescent="0.25">
      <c r="A935" t="s">
        <v>2032</v>
      </c>
      <c r="B935" s="1">
        <v>45862</v>
      </c>
      <c r="C935" t="s">
        <v>911</v>
      </c>
      <c r="D935" t="s">
        <v>1031</v>
      </c>
      <c r="E935" t="s">
        <v>73</v>
      </c>
      <c r="F935" t="s">
        <v>74</v>
      </c>
      <c r="G935" t="s">
        <v>27</v>
      </c>
      <c r="H935" t="s">
        <v>75</v>
      </c>
      <c r="I935" t="s">
        <v>76</v>
      </c>
      <c r="J935">
        <v>4</v>
      </c>
      <c r="K935">
        <v>3500</v>
      </c>
      <c r="L935">
        <v>10</v>
      </c>
      <c r="M935">
        <v>12600</v>
      </c>
      <c r="N935">
        <v>9800</v>
      </c>
      <c r="O935">
        <v>2800</v>
      </c>
      <c r="P935" t="s">
        <v>109</v>
      </c>
      <c r="Q935" t="s">
        <v>110</v>
      </c>
      <c r="R935" t="s">
        <v>111</v>
      </c>
      <c r="S935" t="s">
        <v>32</v>
      </c>
      <c r="T935" t="s">
        <v>33</v>
      </c>
      <c r="U935" t="s">
        <v>48</v>
      </c>
      <c r="V935">
        <v>5</v>
      </c>
      <c r="W935">
        <f>Table1[[#This Row],[Profit]]/Table1[[#This Row],[Sales]]</f>
        <v>0.22222222222222221</v>
      </c>
    </row>
    <row r="936" spans="1:23" x14ac:dyDescent="0.25">
      <c r="A936" t="s">
        <v>2033</v>
      </c>
      <c r="B936" s="1">
        <v>45791</v>
      </c>
      <c r="C936" t="s">
        <v>2034</v>
      </c>
      <c r="D936" t="s">
        <v>1950</v>
      </c>
      <c r="E936" t="s">
        <v>73</v>
      </c>
      <c r="F936" t="s">
        <v>74</v>
      </c>
      <c r="G936" t="s">
        <v>27</v>
      </c>
      <c r="H936" t="s">
        <v>75</v>
      </c>
      <c r="I936" t="s">
        <v>76</v>
      </c>
      <c r="J936">
        <v>2</v>
      </c>
      <c r="K936">
        <v>3500</v>
      </c>
      <c r="L936">
        <v>10</v>
      </c>
      <c r="M936">
        <v>6300</v>
      </c>
      <c r="N936">
        <v>4900</v>
      </c>
      <c r="O936">
        <v>1400</v>
      </c>
      <c r="P936" t="s">
        <v>30</v>
      </c>
      <c r="Q936" t="s">
        <v>30</v>
      </c>
      <c r="R936" t="s">
        <v>31</v>
      </c>
      <c r="S936" t="s">
        <v>32</v>
      </c>
      <c r="T936" t="s">
        <v>33</v>
      </c>
      <c r="U936" t="s">
        <v>34</v>
      </c>
      <c r="V936">
        <v>2</v>
      </c>
      <c r="W936">
        <f>Table1[[#This Row],[Profit]]/Table1[[#This Row],[Sales]]</f>
        <v>0.22222222222222221</v>
      </c>
    </row>
    <row r="937" spans="1:23" x14ac:dyDescent="0.25">
      <c r="A937" t="s">
        <v>2035</v>
      </c>
      <c r="B937" s="1">
        <v>45950</v>
      </c>
      <c r="C937" t="s">
        <v>1972</v>
      </c>
      <c r="D937" t="s">
        <v>804</v>
      </c>
      <c r="E937" t="s">
        <v>67</v>
      </c>
      <c r="F937" t="s">
        <v>68</v>
      </c>
      <c r="G937" t="s">
        <v>27</v>
      </c>
      <c r="H937" t="s">
        <v>28</v>
      </c>
      <c r="I937" t="s">
        <v>69</v>
      </c>
      <c r="J937">
        <v>2</v>
      </c>
      <c r="K937">
        <v>1500</v>
      </c>
      <c r="L937">
        <v>0</v>
      </c>
      <c r="M937">
        <v>3000</v>
      </c>
      <c r="N937">
        <v>2100</v>
      </c>
      <c r="O937">
        <v>900</v>
      </c>
      <c r="P937" t="s">
        <v>109</v>
      </c>
      <c r="Q937" t="s">
        <v>110</v>
      </c>
      <c r="R937" t="s">
        <v>111</v>
      </c>
      <c r="S937" t="s">
        <v>46</v>
      </c>
      <c r="T937" t="s">
        <v>47</v>
      </c>
      <c r="U937" t="s">
        <v>34</v>
      </c>
      <c r="V937">
        <v>4</v>
      </c>
      <c r="W937">
        <f>Table1[[#This Row],[Profit]]/Table1[[#This Row],[Sales]]</f>
        <v>0.3</v>
      </c>
    </row>
    <row r="938" spans="1:23" x14ac:dyDescent="0.25">
      <c r="A938" t="s">
        <v>2036</v>
      </c>
      <c r="B938" s="1">
        <v>45787</v>
      </c>
      <c r="C938" t="s">
        <v>2037</v>
      </c>
      <c r="D938" t="s">
        <v>1028</v>
      </c>
      <c r="E938" t="s">
        <v>38</v>
      </c>
      <c r="F938" t="s">
        <v>39</v>
      </c>
      <c r="G938" t="s">
        <v>40</v>
      </c>
      <c r="H938" t="s">
        <v>41</v>
      </c>
      <c r="I938" t="s">
        <v>42</v>
      </c>
      <c r="J938">
        <v>4</v>
      </c>
      <c r="K938">
        <v>4500</v>
      </c>
      <c r="L938">
        <v>15</v>
      </c>
      <c r="M938">
        <v>15300</v>
      </c>
      <c r="N938">
        <v>12600</v>
      </c>
      <c r="O938">
        <v>2700</v>
      </c>
      <c r="P938" t="s">
        <v>30</v>
      </c>
      <c r="Q938" t="s">
        <v>30</v>
      </c>
      <c r="R938" t="s">
        <v>31</v>
      </c>
      <c r="S938" t="s">
        <v>46</v>
      </c>
      <c r="T938" t="s">
        <v>33</v>
      </c>
      <c r="U938" t="s">
        <v>48</v>
      </c>
      <c r="V938">
        <v>1</v>
      </c>
      <c r="W938">
        <f>Table1[[#This Row],[Profit]]/Table1[[#This Row],[Sales]]</f>
        <v>0.17647058823529413</v>
      </c>
    </row>
    <row r="939" spans="1:23" x14ac:dyDescent="0.25">
      <c r="A939" t="s">
        <v>2038</v>
      </c>
      <c r="B939" s="1">
        <v>45814</v>
      </c>
      <c r="C939" t="s">
        <v>420</v>
      </c>
      <c r="D939" t="s">
        <v>1189</v>
      </c>
      <c r="E939" t="s">
        <v>52</v>
      </c>
      <c r="F939" t="s">
        <v>53</v>
      </c>
      <c r="G939" t="s">
        <v>27</v>
      </c>
      <c r="H939" t="s">
        <v>54</v>
      </c>
      <c r="I939" t="s">
        <v>55</v>
      </c>
      <c r="J939">
        <v>1</v>
      </c>
      <c r="K939">
        <v>55000</v>
      </c>
      <c r="L939">
        <v>5</v>
      </c>
      <c r="M939">
        <v>52250</v>
      </c>
      <c r="N939">
        <v>38500</v>
      </c>
      <c r="O939">
        <v>13750</v>
      </c>
      <c r="P939" t="s">
        <v>30</v>
      </c>
      <c r="Q939" t="s">
        <v>30</v>
      </c>
      <c r="R939" t="s">
        <v>31</v>
      </c>
      <c r="S939" t="s">
        <v>60</v>
      </c>
      <c r="T939" t="s">
        <v>56</v>
      </c>
      <c r="U939" t="s">
        <v>48</v>
      </c>
      <c r="V939">
        <v>1</v>
      </c>
      <c r="W939">
        <f>Table1[[#This Row],[Profit]]/Table1[[#This Row],[Sales]]</f>
        <v>0.26315789473684209</v>
      </c>
    </row>
    <row r="940" spans="1:23" x14ac:dyDescent="0.25">
      <c r="A940" t="s">
        <v>2039</v>
      </c>
      <c r="B940" s="1">
        <v>46016</v>
      </c>
      <c r="C940" t="s">
        <v>1417</v>
      </c>
      <c r="D940" t="s">
        <v>461</v>
      </c>
      <c r="E940" t="s">
        <v>25</v>
      </c>
      <c r="F940" t="s">
        <v>26</v>
      </c>
      <c r="G940" t="s">
        <v>27</v>
      </c>
      <c r="H940" t="s">
        <v>28</v>
      </c>
      <c r="I940" t="s">
        <v>29</v>
      </c>
      <c r="J940">
        <v>5</v>
      </c>
      <c r="K940">
        <v>800</v>
      </c>
      <c r="L940">
        <v>10</v>
      </c>
      <c r="M940">
        <v>3600</v>
      </c>
      <c r="N940">
        <v>2800</v>
      </c>
      <c r="O940">
        <v>800</v>
      </c>
      <c r="P940" t="s">
        <v>43</v>
      </c>
      <c r="Q940" t="s">
        <v>44</v>
      </c>
      <c r="R940" t="s">
        <v>45</v>
      </c>
      <c r="S940" t="s">
        <v>46</v>
      </c>
      <c r="T940" t="s">
        <v>47</v>
      </c>
      <c r="U940" t="s">
        <v>48</v>
      </c>
      <c r="V940">
        <v>3</v>
      </c>
      <c r="W940">
        <f>Table1[[#This Row],[Profit]]/Table1[[#This Row],[Sales]]</f>
        <v>0.22222222222222221</v>
      </c>
    </row>
    <row r="941" spans="1:23" x14ac:dyDescent="0.25">
      <c r="A941" t="s">
        <v>2040</v>
      </c>
      <c r="B941" s="1">
        <v>45886</v>
      </c>
      <c r="C941" t="s">
        <v>1871</v>
      </c>
      <c r="D941" t="s">
        <v>526</v>
      </c>
      <c r="E941" t="s">
        <v>25</v>
      </c>
      <c r="F941" t="s">
        <v>26</v>
      </c>
      <c r="G941" t="s">
        <v>27</v>
      </c>
      <c r="H941" t="s">
        <v>28</v>
      </c>
      <c r="I941" t="s">
        <v>29</v>
      </c>
      <c r="J941">
        <v>2</v>
      </c>
      <c r="K941">
        <v>800</v>
      </c>
      <c r="L941">
        <v>5</v>
      </c>
      <c r="M941">
        <v>1520</v>
      </c>
      <c r="N941">
        <v>1120</v>
      </c>
      <c r="O941">
        <v>400</v>
      </c>
      <c r="P941" t="s">
        <v>30</v>
      </c>
      <c r="Q941" t="s">
        <v>30</v>
      </c>
      <c r="R941" t="s">
        <v>31</v>
      </c>
      <c r="S941" t="s">
        <v>60</v>
      </c>
      <c r="T941" t="s">
        <v>33</v>
      </c>
      <c r="U941" t="s">
        <v>48</v>
      </c>
      <c r="V941">
        <v>2</v>
      </c>
      <c r="W941">
        <f>Table1[[#This Row],[Profit]]/Table1[[#This Row],[Sales]]</f>
        <v>0.26315789473684209</v>
      </c>
    </row>
    <row r="942" spans="1:23" x14ac:dyDescent="0.25">
      <c r="A942" t="s">
        <v>2041</v>
      </c>
      <c r="B942" s="1">
        <v>46000</v>
      </c>
      <c r="C942" t="s">
        <v>1684</v>
      </c>
      <c r="D942" t="s">
        <v>1707</v>
      </c>
      <c r="E942" t="s">
        <v>52</v>
      </c>
      <c r="F942" t="s">
        <v>53</v>
      </c>
      <c r="G942" t="s">
        <v>27</v>
      </c>
      <c r="H942" t="s">
        <v>54</v>
      </c>
      <c r="I942" t="s">
        <v>55</v>
      </c>
      <c r="J942">
        <v>2</v>
      </c>
      <c r="K942">
        <v>55000</v>
      </c>
      <c r="L942">
        <v>15</v>
      </c>
      <c r="M942">
        <v>93500</v>
      </c>
      <c r="N942">
        <v>77000</v>
      </c>
      <c r="O942">
        <v>16500</v>
      </c>
      <c r="P942" t="s">
        <v>109</v>
      </c>
      <c r="Q942" t="s">
        <v>110</v>
      </c>
      <c r="R942" t="s">
        <v>111</v>
      </c>
      <c r="S942" t="s">
        <v>32</v>
      </c>
      <c r="T942" t="s">
        <v>33</v>
      </c>
      <c r="U942" t="s">
        <v>48</v>
      </c>
      <c r="V942">
        <v>1</v>
      </c>
      <c r="W942">
        <f>Table1[[#This Row],[Profit]]/Table1[[#This Row],[Sales]]</f>
        <v>0.17647058823529413</v>
      </c>
    </row>
    <row r="943" spans="1:23" x14ac:dyDescent="0.25">
      <c r="A943" t="s">
        <v>2042</v>
      </c>
      <c r="B943" s="1">
        <v>45836</v>
      </c>
      <c r="C943" t="s">
        <v>808</v>
      </c>
      <c r="D943" t="s">
        <v>282</v>
      </c>
      <c r="E943" t="s">
        <v>25</v>
      </c>
      <c r="F943" t="s">
        <v>26</v>
      </c>
      <c r="G943" t="s">
        <v>27</v>
      </c>
      <c r="H943" t="s">
        <v>28</v>
      </c>
      <c r="I943" t="s">
        <v>29</v>
      </c>
      <c r="J943">
        <v>2</v>
      </c>
      <c r="K943">
        <v>800</v>
      </c>
      <c r="L943">
        <v>0</v>
      </c>
      <c r="M943">
        <v>1600</v>
      </c>
      <c r="N943">
        <v>1120</v>
      </c>
      <c r="O943">
        <v>480</v>
      </c>
      <c r="P943" t="s">
        <v>30</v>
      </c>
      <c r="Q943" t="s">
        <v>30</v>
      </c>
      <c r="R943" t="s">
        <v>31</v>
      </c>
      <c r="S943" t="s">
        <v>60</v>
      </c>
      <c r="T943" t="s">
        <v>56</v>
      </c>
      <c r="U943" t="s">
        <v>48</v>
      </c>
      <c r="V943">
        <v>1</v>
      </c>
      <c r="W943">
        <f>Table1[[#This Row],[Profit]]/Table1[[#This Row],[Sales]]</f>
        <v>0.3</v>
      </c>
    </row>
    <row r="944" spans="1:23" x14ac:dyDescent="0.25">
      <c r="A944" t="s">
        <v>2043</v>
      </c>
      <c r="B944" s="1">
        <v>45802</v>
      </c>
      <c r="C944" t="s">
        <v>452</v>
      </c>
      <c r="D944" t="s">
        <v>2044</v>
      </c>
      <c r="E944" t="s">
        <v>73</v>
      </c>
      <c r="F944" t="s">
        <v>74</v>
      </c>
      <c r="G944" t="s">
        <v>27</v>
      </c>
      <c r="H944" t="s">
        <v>75</v>
      </c>
      <c r="I944" t="s">
        <v>76</v>
      </c>
      <c r="J944">
        <v>3</v>
      </c>
      <c r="K944">
        <v>3500</v>
      </c>
      <c r="L944">
        <v>0</v>
      </c>
      <c r="M944">
        <v>10500</v>
      </c>
      <c r="N944">
        <v>7349.9999999999991</v>
      </c>
      <c r="O944">
        <v>3150.0000000000009</v>
      </c>
      <c r="P944" t="s">
        <v>109</v>
      </c>
      <c r="Q944" t="s">
        <v>110</v>
      </c>
      <c r="R944" t="s">
        <v>111</v>
      </c>
      <c r="S944" t="s">
        <v>46</v>
      </c>
      <c r="T944" t="s">
        <v>33</v>
      </c>
      <c r="U944" t="s">
        <v>48</v>
      </c>
      <c r="V944">
        <v>4</v>
      </c>
      <c r="W944">
        <f>Table1[[#This Row],[Profit]]/Table1[[#This Row],[Sales]]</f>
        <v>0.3000000000000001</v>
      </c>
    </row>
    <row r="945" spans="1:23" x14ac:dyDescent="0.25">
      <c r="A945" t="s">
        <v>2045</v>
      </c>
      <c r="B945" s="1">
        <v>45730</v>
      </c>
      <c r="C945" t="s">
        <v>1979</v>
      </c>
      <c r="D945" t="s">
        <v>565</v>
      </c>
      <c r="E945" t="s">
        <v>73</v>
      </c>
      <c r="F945" t="s">
        <v>74</v>
      </c>
      <c r="G945" t="s">
        <v>27</v>
      </c>
      <c r="H945" t="s">
        <v>75</v>
      </c>
      <c r="I945" t="s">
        <v>76</v>
      </c>
      <c r="J945">
        <v>3</v>
      </c>
      <c r="K945">
        <v>3500</v>
      </c>
      <c r="L945">
        <v>15</v>
      </c>
      <c r="M945">
        <v>8925</v>
      </c>
      <c r="N945">
        <v>7349.9999999999991</v>
      </c>
      <c r="O945">
        <v>1575.0000000000009</v>
      </c>
      <c r="P945" t="s">
        <v>43</v>
      </c>
      <c r="Q945" t="s">
        <v>44</v>
      </c>
      <c r="R945" t="s">
        <v>45</v>
      </c>
      <c r="S945" t="s">
        <v>46</v>
      </c>
      <c r="T945" t="s">
        <v>33</v>
      </c>
      <c r="U945" t="s">
        <v>34</v>
      </c>
      <c r="V945">
        <v>3</v>
      </c>
      <c r="W945">
        <f>Table1[[#This Row],[Profit]]/Table1[[#This Row],[Sales]]</f>
        <v>0.17647058823529421</v>
      </c>
    </row>
    <row r="946" spans="1:23" x14ac:dyDescent="0.25">
      <c r="A946" t="s">
        <v>2046</v>
      </c>
      <c r="B946" s="1">
        <v>45790</v>
      </c>
      <c r="C946" t="s">
        <v>963</v>
      </c>
      <c r="D946" t="s">
        <v>1153</v>
      </c>
      <c r="E946" t="s">
        <v>38</v>
      </c>
      <c r="F946" t="s">
        <v>39</v>
      </c>
      <c r="G946" t="s">
        <v>40</v>
      </c>
      <c r="H946" t="s">
        <v>41</v>
      </c>
      <c r="I946" t="s">
        <v>42</v>
      </c>
      <c r="J946">
        <v>4</v>
      </c>
      <c r="K946">
        <v>4500</v>
      </c>
      <c r="L946">
        <v>15</v>
      </c>
      <c r="M946">
        <v>15300</v>
      </c>
      <c r="N946">
        <v>12600</v>
      </c>
      <c r="O946">
        <v>2700</v>
      </c>
      <c r="P946" t="s">
        <v>43</v>
      </c>
      <c r="Q946" t="s">
        <v>44</v>
      </c>
      <c r="R946" t="s">
        <v>45</v>
      </c>
      <c r="S946" t="s">
        <v>32</v>
      </c>
      <c r="T946" t="s">
        <v>56</v>
      </c>
      <c r="U946" t="s">
        <v>48</v>
      </c>
      <c r="V946">
        <v>1</v>
      </c>
      <c r="W946">
        <f>Table1[[#This Row],[Profit]]/Table1[[#This Row],[Sales]]</f>
        <v>0.17647058823529413</v>
      </c>
    </row>
    <row r="947" spans="1:23" x14ac:dyDescent="0.25">
      <c r="A947" t="s">
        <v>2047</v>
      </c>
      <c r="B947" s="1">
        <v>45745</v>
      </c>
      <c r="C947" t="s">
        <v>564</v>
      </c>
      <c r="D947" t="s">
        <v>2048</v>
      </c>
      <c r="E947" t="s">
        <v>38</v>
      </c>
      <c r="F947" t="s">
        <v>39</v>
      </c>
      <c r="G947" t="s">
        <v>40</v>
      </c>
      <c r="H947" t="s">
        <v>41</v>
      </c>
      <c r="I947" t="s">
        <v>42</v>
      </c>
      <c r="J947">
        <v>3</v>
      </c>
      <c r="K947">
        <v>4500</v>
      </c>
      <c r="L947">
        <v>0</v>
      </c>
      <c r="M947">
        <v>13500</v>
      </c>
      <c r="N947">
        <v>9450</v>
      </c>
      <c r="O947">
        <v>4050</v>
      </c>
      <c r="P947" t="s">
        <v>109</v>
      </c>
      <c r="Q947" t="s">
        <v>110</v>
      </c>
      <c r="R947" t="s">
        <v>111</v>
      </c>
      <c r="S947" t="s">
        <v>46</v>
      </c>
      <c r="T947" t="s">
        <v>47</v>
      </c>
      <c r="U947" t="s">
        <v>48</v>
      </c>
      <c r="V947">
        <v>5</v>
      </c>
      <c r="W947">
        <f>Table1[[#This Row],[Profit]]/Table1[[#This Row],[Sales]]</f>
        <v>0.3</v>
      </c>
    </row>
    <row r="948" spans="1:23" x14ac:dyDescent="0.25">
      <c r="A948" t="s">
        <v>2049</v>
      </c>
      <c r="B948" s="1">
        <v>45953</v>
      </c>
      <c r="C948" t="s">
        <v>2050</v>
      </c>
      <c r="D948" t="s">
        <v>2051</v>
      </c>
      <c r="E948" t="s">
        <v>38</v>
      </c>
      <c r="F948" t="s">
        <v>39</v>
      </c>
      <c r="G948" t="s">
        <v>40</v>
      </c>
      <c r="H948" t="s">
        <v>41</v>
      </c>
      <c r="I948" t="s">
        <v>42</v>
      </c>
      <c r="J948">
        <v>4</v>
      </c>
      <c r="K948">
        <v>4500</v>
      </c>
      <c r="L948">
        <v>15</v>
      </c>
      <c r="M948">
        <v>15300</v>
      </c>
      <c r="N948">
        <v>12600</v>
      </c>
      <c r="O948">
        <v>2700</v>
      </c>
      <c r="P948" t="s">
        <v>30</v>
      </c>
      <c r="Q948" t="s">
        <v>30</v>
      </c>
      <c r="R948" t="s">
        <v>31</v>
      </c>
      <c r="S948" t="s">
        <v>32</v>
      </c>
      <c r="T948" t="s">
        <v>33</v>
      </c>
      <c r="U948" t="s">
        <v>34</v>
      </c>
      <c r="V948">
        <v>4</v>
      </c>
      <c r="W948">
        <f>Table1[[#This Row],[Profit]]/Table1[[#This Row],[Sales]]</f>
        <v>0.17647058823529413</v>
      </c>
    </row>
    <row r="949" spans="1:23" x14ac:dyDescent="0.25">
      <c r="A949" t="s">
        <v>2052</v>
      </c>
      <c r="B949" s="1">
        <v>45806</v>
      </c>
      <c r="C949" t="s">
        <v>1004</v>
      </c>
      <c r="D949" t="s">
        <v>1250</v>
      </c>
      <c r="E949" t="s">
        <v>52</v>
      </c>
      <c r="F949" t="s">
        <v>53</v>
      </c>
      <c r="G949" t="s">
        <v>27</v>
      </c>
      <c r="H949" t="s">
        <v>54</v>
      </c>
      <c r="I949" t="s">
        <v>55</v>
      </c>
      <c r="J949">
        <v>1</v>
      </c>
      <c r="K949">
        <v>55000</v>
      </c>
      <c r="L949">
        <v>10</v>
      </c>
      <c r="M949">
        <v>49500</v>
      </c>
      <c r="N949">
        <v>38500</v>
      </c>
      <c r="O949">
        <v>11000</v>
      </c>
      <c r="P949" t="s">
        <v>30</v>
      </c>
      <c r="Q949" t="s">
        <v>30</v>
      </c>
      <c r="R949" t="s">
        <v>31</v>
      </c>
      <c r="S949" t="s">
        <v>32</v>
      </c>
      <c r="T949" t="s">
        <v>33</v>
      </c>
      <c r="U949" t="s">
        <v>34</v>
      </c>
      <c r="V949">
        <v>3</v>
      </c>
      <c r="W949">
        <f>Table1[[#This Row],[Profit]]/Table1[[#This Row],[Sales]]</f>
        <v>0.22222222222222221</v>
      </c>
    </row>
    <row r="950" spans="1:23" x14ac:dyDescent="0.25">
      <c r="A950" t="s">
        <v>2053</v>
      </c>
      <c r="B950" s="1">
        <v>45933</v>
      </c>
      <c r="C950" t="s">
        <v>850</v>
      </c>
      <c r="D950" t="s">
        <v>927</v>
      </c>
      <c r="E950" t="s">
        <v>38</v>
      </c>
      <c r="F950" t="s">
        <v>39</v>
      </c>
      <c r="G950" t="s">
        <v>40</v>
      </c>
      <c r="H950" t="s">
        <v>41</v>
      </c>
      <c r="I950" t="s">
        <v>42</v>
      </c>
      <c r="J950">
        <v>2</v>
      </c>
      <c r="K950">
        <v>4500</v>
      </c>
      <c r="L950">
        <v>15</v>
      </c>
      <c r="M950">
        <v>7650</v>
      </c>
      <c r="N950">
        <v>6300</v>
      </c>
      <c r="O950">
        <v>1350</v>
      </c>
      <c r="P950" t="s">
        <v>30</v>
      </c>
      <c r="Q950" t="s">
        <v>30</v>
      </c>
      <c r="R950" t="s">
        <v>31</v>
      </c>
      <c r="S950" t="s">
        <v>60</v>
      </c>
      <c r="T950" t="s">
        <v>56</v>
      </c>
      <c r="U950" t="s">
        <v>48</v>
      </c>
      <c r="V950">
        <v>4</v>
      </c>
      <c r="W950">
        <f>Table1[[#This Row],[Profit]]/Table1[[#This Row],[Sales]]</f>
        <v>0.17647058823529413</v>
      </c>
    </row>
    <row r="951" spans="1:23" x14ac:dyDescent="0.25">
      <c r="A951" t="s">
        <v>2054</v>
      </c>
      <c r="B951" s="1">
        <v>45986</v>
      </c>
      <c r="C951" t="s">
        <v>1561</v>
      </c>
      <c r="D951" t="s">
        <v>2055</v>
      </c>
      <c r="E951" t="s">
        <v>73</v>
      </c>
      <c r="F951" t="s">
        <v>74</v>
      </c>
      <c r="G951" t="s">
        <v>27</v>
      </c>
      <c r="H951" t="s">
        <v>75</v>
      </c>
      <c r="I951" t="s">
        <v>76</v>
      </c>
      <c r="J951">
        <v>2</v>
      </c>
      <c r="K951">
        <v>3500</v>
      </c>
      <c r="L951">
        <v>10</v>
      </c>
      <c r="M951">
        <v>6300</v>
      </c>
      <c r="N951">
        <v>4900</v>
      </c>
      <c r="O951">
        <v>1400</v>
      </c>
      <c r="P951" t="s">
        <v>95</v>
      </c>
      <c r="Q951" t="s">
        <v>96</v>
      </c>
      <c r="R951" t="s">
        <v>45</v>
      </c>
      <c r="S951" t="s">
        <v>32</v>
      </c>
      <c r="T951" t="s">
        <v>33</v>
      </c>
      <c r="U951" t="s">
        <v>48</v>
      </c>
      <c r="V951">
        <v>4</v>
      </c>
      <c r="W951">
        <f>Table1[[#This Row],[Profit]]/Table1[[#This Row],[Sales]]</f>
        <v>0.22222222222222221</v>
      </c>
    </row>
    <row r="952" spans="1:23" x14ac:dyDescent="0.25">
      <c r="A952" t="s">
        <v>2056</v>
      </c>
      <c r="B952" s="1">
        <v>45850</v>
      </c>
      <c r="C952" t="s">
        <v>1252</v>
      </c>
      <c r="D952" t="s">
        <v>1579</v>
      </c>
      <c r="E952" t="s">
        <v>73</v>
      </c>
      <c r="F952" t="s">
        <v>74</v>
      </c>
      <c r="G952" t="s">
        <v>27</v>
      </c>
      <c r="H952" t="s">
        <v>75</v>
      </c>
      <c r="I952" t="s">
        <v>76</v>
      </c>
      <c r="J952">
        <v>5</v>
      </c>
      <c r="K952">
        <v>3500</v>
      </c>
      <c r="L952">
        <v>15</v>
      </c>
      <c r="M952">
        <v>14875</v>
      </c>
      <c r="N952">
        <v>12250</v>
      </c>
      <c r="O952">
        <v>2625</v>
      </c>
      <c r="P952" t="s">
        <v>30</v>
      </c>
      <c r="Q952" t="s">
        <v>30</v>
      </c>
      <c r="R952" t="s">
        <v>31</v>
      </c>
      <c r="S952" t="s">
        <v>60</v>
      </c>
      <c r="T952" t="s">
        <v>33</v>
      </c>
      <c r="U952" t="s">
        <v>34</v>
      </c>
      <c r="V952">
        <v>1</v>
      </c>
      <c r="W952">
        <f>Table1[[#This Row],[Profit]]/Table1[[#This Row],[Sales]]</f>
        <v>0.17647058823529413</v>
      </c>
    </row>
    <row r="953" spans="1:23" x14ac:dyDescent="0.25">
      <c r="A953" t="s">
        <v>2057</v>
      </c>
      <c r="B953" s="1">
        <v>45700</v>
      </c>
      <c r="C953" t="s">
        <v>423</v>
      </c>
      <c r="D953" t="s">
        <v>2058</v>
      </c>
      <c r="E953" t="s">
        <v>38</v>
      </c>
      <c r="F953" t="s">
        <v>39</v>
      </c>
      <c r="G953" t="s">
        <v>40</v>
      </c>
      <c r="H953" t="s">
        <v>41</v>
      </c>
      <c r="I953" t="s">
        <v>42</v>
      </c>
      <c r="J953">
        <v>1</v>
      </c>
      <c r="K953">
        <v>4500</v>
      </c>
      <c r="L953">
        <v>0</v>
      </c>
      <c r="M953">
        <v>4500</v>
      </c>
      <c r="N953">
        <v>3150</v>
      </c>
      <c r="O953">
        <v>1350</v>
      </c>
      <c r="P953" t="s">
        <v>30</v>
      </c>
      <c r="Q953" t="s">
        <v>30</v>
      </c>
      <c r="R953" t="s">
        <v>31</v>
      </c>
      <c r="S953" t="s">
        <v>32</v>
      </c>
      <c r="T953" t="s">
        <v>47</v>
      </c>
      <c r="U953" t="s">
        <v>48</v>
      </c>
      <c r="V953">
        <v>4</v>
      </c>
      <c r="W953">
        <f>Table1[[#This Row],[Profit]]/Table1[[#This Row],[Sales]]</f>
        <v>0.3</v>
      </c>
    </row>
    <row r="954" spans="1:23" x14ac:dyDescent="0.25">
      <c r="A954" t="s">
        <v>2059</v>
      </c>
      <c r="B954" s="1">
        <v>45870</v>
      </c>
      <c r="C954" t="s">
        <v>2060</v>
      </c>
      <c r="D954" t="s">
        <v>354</v>
      </c>
      <c r="E954" t="s">
        <v>25</v>
      </c>
      <c r="F954" t="s">
        <v>26</v>
      </c>
      <c r="G954" t="s">
        <v>27</v>
      </c>
      <c r="H954" t="s">
        <v>28</v>
      </c>
      <c r="I954" t="s">
        <v>29</v>
      </c>
      <c r="J954">
        <v>4</v>
      </c>
      <c r="K954">
        <v>800</v>
      </c>
      <c r="L954">
        <v>0</v>
      </c>
      <c r="M954">
        <v>3200</v>
      </c>
      <c r="N954">
        <v>2240</v>
      </c>
      <c r="O954">
        <v>960</v>
      </c>
      <c r="P954" t="s">
        <v>95</v>
      </c>
      <c r="Q954" t="s">
        <v>96</v>
      </c>
      <c r="R954" t="s">
        <v>45</v>
      </c>
      <c r="S954" t="s">
        <v>32</v>
      </c>
      <c r="T954" t="s">
        <v>47</v>
      </c>
      <c r="U954" t="s">
        <v>48</v>
      </c>
      <c r="V954">
        <v>5</v>
      </c>
      <c r="W954">
        <f>Table1[[#This Row],[Profit]]/Table1[[#This Row],[Sales]]</f>
        <v>0.3</v>
      </c>
    </row>
    <row r="955" spans="1:23" x14ac:dyDescent="0.25">
      <c r="A955" t="s">
        <v>2061</v>
      </c>
      <c r="B955" s="1">
        <v>45669</v>
      </c>
      <c r="C955" t="s">
        <v>1298</v>
      </c>
      <c r="D955" t="s">
        <v>1061</v>
      </c>
      <c r="E955" t="s">
        <v>25</v>
      </c>
      <c r="F955" t="s">
        <v>26</v>
      </c>
      <c r="G955" t="s">
        <v>27</v>
      </c>
      <c r="H955" t="s">
        <v>28</v>
      </c>
      <c r="I955" t="s">
        <v>29</v>
      </c>
      <c r="J955">
        <v>2</v>
      </c>
      <c r="K955">
        <v>800</v>
      </c>
      <c r="L955">
        <v>10</v>
      </c>
      <c r="M955">
        <v>1440</v>
      </c>
      <c r="N955">
        <v>1120</v>
      </c>
      <c r="O955">
        <v>320</v>
      </c>
      <c r="P955" t="s">
        <v>95</v>
      </c>
      <c r="Q955" t="s">
        <v>96</v>
      </c>
      <c r="R955" t="s">
        <v>45</v>
      </c>
      <c r="S955" t="s">
        <v>60</v>
      </c>
      <c r="T955" t="s">
        <v>33</v>
      </c>
      <c r="U955" t="s">
        <v>34</v>
      </c>
      <c r="V955">
        <v>4</v>
      </c>
      <c r="W955">
        <f>Table1[[#This Row],[Profit]]/Table1[[#This Row],[Sales]]</f>
        <v>0.22222222222222221</v>
      </c>
    </row>
    <row r="956" spans="1:23" x14ac:dyDescent="0.25">
      <c r="A956" t="s">
        <v>2062</v>
      </c>
      <c r="B956" s="1">
        <v>45802</v>
      </c>
      <c r="C956" t="s">
        <v>2063</v>
      </c>
      <c r="D956" t="s">
        <v>743</v>
      </c>
      <c r="E956" t="s">
        <v>38</v>
      </c>
      <c r="F956" t="s">
        <v>39</v>
      </c>
      <c r="G956" t="s">
        <v>40</v>
      </c>
      <c r="H956" t="s">
        <v>41</v>
      </c>
      <c r="I956" t="s">
        <v>42</v>
      </c>
      <c r="J956">
        <v>4</v>
      </c>
      <c r="K956">
        <v>4500</v>
      </c>
      <c r="L956">
        <v>15</v>
      </c>
      <c r="M956">
        <v>15300</v>
      </c>
      <c r="N956">
        <v>12600</v>
      </c>
      <c r="O956">
        <v>2700</v>
      </c>
      <c r="P956" t="s">
        <v>30</v>
      </c>
      <c r="Q956" t="s">
        <v>30</v>
      </c>
      <c r="R956" t="s">
        <v>31</v>
      </c>
      <c r="S956" t="s">
        <v>32</v>
      </c>
      <c r="T956" t="s">
        <v>47</v>
      </c>
      <c r="U956" t="s">
        <v>34</v>
      </c>
      <c r="V956">
        <v>4</v>
      </c>
      <c r="W956">
        <f>Table1[[#This Row],[Profit]]/Table1[[#This Row],[Sales]]</f>
        <v>0.17647058823529413</v>
      </c>
    </row>
    <row r="957" spans="1:23" x14ac:dyDescent="0.25">
      <c r="A957" t="s">
        <v>2064</v>
      </c>
      <c r="B957" s="1">
        <v>45974</v>
      </c>
      <c r="C957" t="s">
        <v>1691</v>
      </c>
      <c r="D957" t="s">
        <v>450</v>
      </c>
      <c r="E957" t="s">
        <v>25</v>
      </c>
      <c r="F957" t="s">
        <v>26</v>
      </c>
      <c r="G957" t="s">
        <v>27</v>
      </c>
      <c r="H957" t="s">
        <v>28</v>
      </c>
      <c r="I957" t="s">
        <v>29</v>
      </c>
      <c r="J957">
        <v>5</v>
      </c>
      <c r="K957">
        <v>800</v>
      </c>
      <c r="L957">
        <v>10</v>
      </c>
      <c r="M957">
        <v>3600</v>
      </c>
      <c r="N957">
        <v>2800</v>
      </c>
      <c r="O957">
        <v>800</v>
      </c>
      <c r="P957" t="s">
        <v>109</v>
      </c>
      <c r="Q957" t="s">
        <v>110</v>
      </c>
      <c r="R957" t="s">
        <v>111</v>
      </c>
      <c r="S957" t="s">
        <v>60</v>
      </c>
      <c r="T957" t="s">
        <v>56</v>
      </c>
      <c r="U957" t="s">
        <v>48</v>
      </c>
      <c r="V957">
        <v>5</v>
      </c>
      <c r="W957">
        <f>Table1[[#This Row],[Profit]]/Table1[[#This Row],[Sales]]</f>
        <v>0.22222222222222221</v>
      </c>
    </row>
    <row r="958" spans="1:23" x14ac:dyDescent="0.25">
      <c r="A958" t="s">
        <v>2065</v>
      </c>
      <c r="B958" s="1">
        <v>46021</v>
      </c>
      <c r="C958" t="s">
        <v>642</v>
      </c>
      <c r="D958" t="s">
        <v>490</v>
      </c>
      <c r="E958" t="s">
        <v>52</v>
      </c>
      <c r="F958" t="s">
        <v>53</v>
      </c>
      <c r="G958" t="s">
        <v>27</v>
      </c>
      <c r="H958" t="s">
        <v>54</v>
      </c>
      <c r="I958" t="s">
        <v>55</v>
      </c>
      <c r="J958">
        <v>5</v>
      </c>
      <c r="K958">
        <v>55000</v>
      </c>
      <c r="L958">
        <v>5</v>
      </c>
      <c r="M958">
        <v>261250</v>
      </c>
      <c r="N958">
        <v>192500</v>
      </c>
      <c r="O958">
        <v>68750</v>
      </c>
      <c r="P958" t="s">
        <v>30</v>
      </c>
      <c r="Q958" t="s">
        <v>30</v>
      </c>
      <c r="R958" t="s">
        <v>31</v>
      </c>
      <c r="S958" t="s">
        <v>46</v>
      </c>
      <c r="T958" t="s">
        <v>33</v>
      </c>
      <c r="U958" t="s">
        <v>34</v>
      </c>
      <c r="V958">
        <v>5</v>
      </c>
      <c r="W958">
        <f>Table1[[#This Row],[Profit]]/Table1[[#This Row],[Sales]]</f>
        <v>0.26315789473684209</v>
      </c>
    </row>
    <row r="959" spans="1:23" x14ac:dyDescent="0.25">
      <c r="A959" t="s">
        <v>2066</v>
      </c>
      <c r="B959" s="1">
        <v>45682</v>
      </c>
      <c r="C959" t="s">
        <v>1701</v>
      </c>
      <c r="D959" t="s">
        <v>1192</v>
      </c>
      <c r="E959" t="s">
        <v>52</v>
      </c>
      <c r="F959" t="s">
        <v>53</v>
      </c>
      <c r="G959" t="s">
        <v>27</v>
      </c>
      <c r="H959" t="s">
        <v>54</v>
      </c>
      <c r="I959" t="s">
        <v>55</v>
      </c>
      <c r="J959">
        <v>3</v>
      </c>
      <c r="K959">
        <v>55000</v>
      </c>
      <c r="L959">
        <v>10</v>
      </c>
      <c r="M959">
        <v>148500</v>
      </c>
      <c r="N959">
        <v>115500</v>
      </c>
      <c r="O959">
        <v>33000.000000000007</v>
      </c>
      <c r="P959" t="s">
        <v>95</v>
      </c>
      <c r="Q959" t="s">
        <v>96</v>
      </c>
      <c r="R959" t="s">
        <v>45</v>
      </c>
      <c r="S959" t="s">
        <v>60</v>
      </c>
      <c r="T959" t="s">
        <v>56</v>
      </c>
      <c r="U959" t="s">
        <v>48</v>
      </c>
      <c r="V959">
        <v>4</v>
      </c>
      <c r="W959">
        <f>Table1[[#This Row],[Profit]]/Table1[[#This Row],[Sales]]</f>
        <v>0.22222222222222227</v>
      </c>
    </row>
    <row r="960" spans="1:23" x14ac:dyDescent="0.25">
      <c r="A960" t="s">
        <v>2067</v>
      </c>
      <c r="B960" s="1">
        <v>45758</v>
      </c>
      <c r="C960" t="s">
        <v>2068</v>
      </c>
      <c r="D960" t="s">
        <v>304</v>
      </c>
      <c r="E960" t="s">
        <v>52</v>
      </c>
      <c r="F960" t="s">
        <v>53</v>
      </c>
      <c r="G960" t="s">
        <v>27</v>
      </c>
      <c r="H960" t="s">
        <v>54</v>
      </c>
      <c r="I960" t="s">
        <v>55</v>
      </c>
      <c r="J960">
        <v>4</v>
      </c>
      <c r="K960">
        <v>55000</v>
      </c>
      <c r="L960">
        <v>10</v>
      </c>
      <c r="M960">
        <v>198000</v>
      </c>
      <c r="N960">
        <v>154000</v>
      </c>
      <c r="O960">
        <v>44000</v>
      </c>
      <c r="P960" t="s">
        <v>109</v>
      </c>
      <c r="Q960" t="s">
        <v>110</v>
      </c>
      <c r="R960" t="s">
        <v>111</v>
      </c>
      <c r="S960" t="s">
        <v>46</v>
      </c>
      <c r="T960" t="s">
        <v>33</v>
      </c>
      <c r="U960" t="s">
        <v>48</v>
      </c>
      <c r="V960">
        <v>2</v>
      </c>
      <c r="W960">
        <f>Table1[[#This Row],[Profit]]/Table1[[#This Row],[Sales]]</f>
        <v>0.22222222222222221</v>
      </c>
    </row>
    <row r="961" spans="1:23" x14ac:dyDescent="0.25">
      <c r="A961" t="s">
        <v>2069</v>
      </c>
      <c r="B961" s="1">
        <v>45676</v>
      </c>
      <c r="C961" t="s">
        <v>1038</v>
      </c>
      <c r="D961" t="s">
        <v>322</v>
      </c>
      <c r="E961" t="s">
        <v>67</v>
      </c>
      <c r="F961" t="s">
        <v>68</v>
      </c>
      <c r="G961" t="s">
        <v>27</v>
      </c>
      <c r="H961" t="s">
        <v>28</v>
      </c>
      <c r="I961" t="s">
        <v>69</v>
      </c>
      <c r="J961">
        <v>2</v>
      </c>
      <c r="K961">
        <v>1500</v>
      </c>
      <c r="L961">
        <v>10</v>
      </c>
      <c r="M961">
        <v>2700</v>
      </c>
      <c r="N961">
        <v>2100</v>
      </c>
      <c r="O961">
        <v>600</v>
      </c>
      <c r="P961" t="s">
        <v>43</v>
      </c>
      <c r="Q961" t="s">
        <v>44</v>
      </c>
      <c r="R961" t="s">
        <v>45</v>
      </c>
      <c r="S961" t="s">
        <v>60</v>
      </c>
      <c r="T961" t="s">
        <v>47</v>
      </c>
      <c r="U961" t="s">
        <v>34</v>
      </c>
      <c r="V961">
        <v>2</v>
      </c>
      <c r="W961">
        <f>Table1[[#This Row],[Profit]]/Table1[[#This Row],[Sales]]</f>
        <v>0.22222222222222221</v>
      </c>
    </row>
    <row r="962" spans="1:23" x14ac:dyDescent="0.25">
      <c r="A962" t="s">
        <v>2070</v>
      </c>
      <c r="B962" s="1">
        <v>46020</v>
      </c>
      <c r="C962" t="s">
        <v>1793</v>
      </c>
      <c r="D962" t="s">
        <v>487</v>
      </c>
      <c r="E962" t="s">
        <v>25</v>
      </c>
      <c r="F962" t="s">
        <v>26</v>
      </c>
      <c r="G962" t="s">
        <v>27</v>
      </c>
      <c r="H962" t="s">
        <v>28</v>
      </c>
      <c r="I962" t="s">
        <v>29</v>
      </c>
      <c r="J962">
        <v>1</v>
      </c>
      <c r="K962">
        <v>800</v>
      </c>
      <c r="L962">
        <v>5</v>
      </c>
      <c r="M962">
        <v>760</v>
      </c>
      <c r="N962">
        <v>560</v>
      </c>
      <c r="O962">
        <v>200</v>
      </c>
      <c r="P962" t="s">
        <v>109</v>
      </c>
      <c r="Q962" t="s">
        <v>110</v>
      </c>
      <c r="R962" t="s">
        <v>111</v>
      </c>
      <c r="S962" t="s">
        <v>60</v>
      </c>
      <c r="T962" t="s">
        <v>47</v>
      </c>
      <c r="U962" t="s">
        <v>34</v>
      </c>
      <c r="V962">
        <v>1</v>
      </c>
      <c r="W962">
        <f>Table1[[#This Row],[Profit]]/Table1[[#This Row],[Sales]]</f>
        <v>0.26315789473684209</v>
      </c>
    </row>
    <row r="963" spans="1:23" x14ac:dyDescent="0.25">
      <c r="A963" t="s">
        <v>2071</v>
      </c>
      <c r="B963" s="1">
        <v>45801</v>
      </c>
      <c r="C963" t="s">
        <v>2072</v>
      </c>
      <c r="D963" t="s">
        <v>185</v>
      </c>
      <c r="E963" t="s">
        <v>52</v>
      </c>
      <c r="F963" t="s">
        <v>53</v>
      </c>
      <c r="G963" t="s">
        <v>27</v>
      </c>
      <c r="H963" t="s">
        <v>54</v>
      </c>
      <c r="I963" t="s">
        <v>55</v>
      </c>
      <c r="J963">
        <v>2</v>
      </c>
      <c r="K963">
        <v>55000</v>
      </c>
      <c r="L963">
        <v>0</v>
      </c>
      <c r="M963">
        <v>110000</v>
      </c>
      <c r="N963">
        <v>77000</v>
      </c>
      <c r="O963">
        <v>33000</v>
      </c>
      <c r="P963" t="s">
        <v>30</v>
      </c>
      <c r="Q963" t="s">
        <v>30</v>
      </c>
      <c r="R963" t="s">
        <v>31</v>
      </c>
      <c r="S963" t="s">
        <v>60</v>
      </c>
      <c r="T963" t="s">
        <v>47</v>
      </c>
      <c r="U963" t="s">
        <v>34</v>
      </c>
      <c r="V963">
        <v>4</v>
      </c>
      <c r="W963">
        <f>Table1[[#This Row],[Profit]]/Table1[[#This Row],[Sales]]</f>
        <v>0.3</v>
      </c>
    </row>
    <row r="964" spans="1:23" x14ac:dyDescent="0.25">
      <c r="A964" t="s">
        <v>2073</v>
      </c>
      <c r="B964" s="1">
        <v>45775</v>
      </c>
      <c r="C964" t="s">
        <v>65</v>
      </c>
      <c r="D964" t="s">
        <v>2074</v>
      </c>
      <c r="E964" t="s">
        <v>67</v>
      </c>
      <c r="F964" t="s">
        <v>68</v>
      </c>
      <c r="G964" t="s">
        <v>27</v>
      </c>
      <c r="H964" t="s">
        <v>28</v>
      </c>
      <c r="I964" t="s">
        <v>69</v>
      </c>
      <c r="J964">
        <v>1</v>
      </c>
      <c r="K964">
        <v>1500</v>
      </c>
      <c r="L964">
        <v>5</v>
      </c>
      <c r="M964">
        <v>1425</v>
      </c>
      <c r="N964">
        <v>1050</v>
      </c>
      <c r="O964">
        <v>375</v>
      </c>
      <c r="P964" t="s">
        <v>43</v>
      </c>
      <c r="Q964" t="s">
        <v>44</v>
      </c>
      <c r="R964" t="s">
        <v>45</v>
      </c>
      <c r="S964" t="s">
        <v>60</v>
      </c>
      <c r="T964" t="s">
        <v>56</v>
      </c>
      <c r="U964" t="s">
        <v>48</v>
      </c>
      <c r="V964">
        <v>2</v>
      </c>
      <c r="W964">
        <f>Table1[[#This Row],[Profit]]/Table1[[#This Row],[Sales]]</f>
        <v>0.26315789473684209</v>
      </c>
    </row>
    <row r="965" spans="1:23" x14ac:dyDescent="0.25">
      <c r="A965" t="s">
        <v>2075</v>
      </c>
      <c r="B965" s="1">
        <v>45752</v>
      </c>
      <c r="C965" t="s">
        <v>971</v>
      </c>
      <c r="D965" t="s">
        <v>964</v>
      </c>
      <c r="E965" t="s">
        <v>73</v>
      </c>
      <c r="F965" t="s">
        <v>74</v>
      </c>
      <c r="G965" t="s">
        <v>27</v>
      </c>
      <c r="H965" t="s">
        <v>75</v>
      </c>
      <c r="I965" t="s">
        <v>76</v>
      </c>
      <c r="J965">
        <v>2</v>
      </c>
      <c r="K965">
        <v>3500</v>
      </c>
      <c r="L965">
        <v>15</v>
      </c>
      <c r="M965">
        <v>5950</v>
      </c>
      <c r="N965">
        <v>4900</v>
      </c>
      <c r="O965">
        <v>1050</v>
      </c>
      <c r="P965" t="s">
        <v>30</v>
      </c>
      <c r="Q965" t="s">
        <v>30</v>
      </c>
      <c r="R965" t="s">
        <v>31</v>
      </c>
      <c r="S965" t="s">
        <v>32</v>
      </c>
      <c r="T965" t="s">
        <v>56</v>
      </c>
      <c r="U965" t="s">
        <v>34</v>
      </c>
      <c r="V965">
        <v>1</v>
      </c>
      <c r="W965">
        <f>Table1[[#This Row],[Profit]]/Table1[[#This Row],[Sales]]</f>
        <v>0.17647058823529413</v>
      </c>
    </row>
    <row r="966" spans="1:23" x14ac:dyDescent="0.25">
      <c r="A966" t="s">
        <v>2076</v>
      </c>
      <c r="B966" s="1">
        <v>45680</v>
      </c>
      <c r="C966" t="s">
        <v>2077</v>
      </c>
      <c r="D966" t="s">
        <v>1446</v>
      </c>
      <c r="E966" t="s">
        <v>38</v>
      </c>
      <c r="F966" t="s">
        <v>39</v>
      </c>
      <c r="G966" t="s">
        <v>40</v>
      </c>
      <c r="H966" t="s">
        <v>41</v>
      </c>
      <c r="I966" t="s">
        <v>42</v>
      </c>
      <c r="J966">
        <v>3</v>
      </c>
      <c r="K966">
        <v>4500</v>
      </c>
      <c r="L966">
        <v>15</v>
      </c>
      <c r="M966">
        <v>11475</v>
      </c>
      <c r="N966">
        <v>9450</v>
      </c>
      <c r="O966">
        <v>2025</v>
      </c>
      <c r="P966" t="s">
        <v>30</v>
      </c>
      <c r="Q966" t="s">
        <v>30</v>
      </c>
      <c r="R966" t="s">
        <v>31</v>
      </c>
      <c r="S966" t="s">
        <v>32</v>
      </c>
      <c r="T966" t="s">
        <v>56</v>
      </c>
      <c r="U966" t="s">
        <v>34</v>
      </c>
      <c r="V966">
        <v>4</v>
      </c>
      <c r="W966">
        <f>Table1[[#This Row],[Profit]]/Table1[[#This Row],[Sales]]</f>
        <v>0.17647058823529413</v>
      </c>
    </row>
    <row r="967" spans="1:23" x14ac:dyDescent="0.25">
      <c r="A967" t="s">
        <v>2078</v>
      </c>
      <c r="B967" s="1">
        <v>45830</v>
      </c>
      <c r="C967" t="s">
        <v>187</v>
      </c>
      <c r="D967" t="s">
        <v>909</v>
      </c>
      <c r="E967" t="s">
        <v>38</v>
      </c>
      <c r="F967" t="s">
        <v>39</v>
      </c>
      <c r="G967" t="s">
        <v>40</v>
      </c>
      <c r="H967" t="s">
        <v>41</v>
      </c>
      <c r="I967" t="s">
        <v>42</v>
      </c>
      <c r="J967">
        <v>4</v>
      </c>
      <c r="K967">
        <v>4500</v>
      </c>
      <c r="L967">
        <v>15</v>
      </c>
      <c r="M967">
        <v>15300</v>
      </c>
      <c r="N967">
        <v>12600</v>
      </c>
      <c r="O967">
        <v>2700</v>
      </c>
      <c r="P967" t="s">
        <v>30</v>
      </c>
      <c r="Q967" t="s">
        <v>30</v>
      </c>
      <c r="R967" t="s">
        <v>31</v>
      </c>
      <c r="S967" t="s">
        <v>32</v>
      </c>
      <c r="T967" t="s">
        <v>33</v>
      </c>
      <c r="U967" t="s">
        <v>34</v>
      </c>
      <c r="V967">
        <v>5</v>
      </c>
      <c r="W967">
        <f>Table1[[#This Row],[Profit]]/Table1[[#This Row],[Sales]]</f>
        <v>0.17647058823529413</v>
      </c>
    </row>
    <row r="968" spans="1:23" x14ac:dyDescent="0.25">
      <c r="A968" t="s">
        <v>2079</v>
      </c>
      <c r="B968" s="1">
        <v>45906</v>
      </c>
      <c r="C968" t="s">
        <v>1151</v>
      </c>
      <c r="D968" t="s">
        <v>1478</v>
      </c>
      <c r="E968" t="s">
        <v>38</v>
      </c>
      <c r="F968" t="s">
        <v>39</v>
      </c>
      <c r="G968" t="s">
        <v>40</v>
      </c>
      <c r="H968" t="s">
        <v>41</v>
      </c>
      <c r="I968" t="s">
        <v>42</v>
      </c>
      <c r="J968">
        <v>3</v>
      </c>
      <c r="K968">
        <v>4500</v>
      </c>
      <c r="L968">
        <v>0</v>
      </c>
      <c r="M968">
        <v>13500</v>
      </c>
      <c r="N968">
        <v>9450</v>
      </c>
      <c r="O968">
        <v>4050</v>
      </c>
      <c r="P968" t="s">
        <v>95</v>
      </c>
      <c r="Q968" t="s">
        <v>96</v>
      </c>
      <c r="R968" t="s">
        <v>45</v>
      </c>
      <c r="S968" t="s">
        <v>60</v>
      </c>
      <c r="T968" t="s">
        <v>33</v>
      </c>
      <c r="U968" t="s">
        <v>48</v>
      </c>
      <c r="V968">
        <v>1</v>
      </c>
      <c r="W968">
        <f>Table1[[#This Row],[Profit]]/Table1[[#This Row],[Sales]]</f>
        <v>0.3</v>
      </c>
    </row>
    <row r="969" spans="1:23" x14ac:dyDescent="0.25">
      <c r="A969" t="s">
        <v>2080</v>
      </c>
      <c r="B969" s="1">
        <v>45839</v>
      </c>
      <c r="C969" t="s">
        <v>2081</v>
      </c>
      <c r="D969" t="s">
        <v>788</v>
      </c>
      <c r="E969" t="s">
        <v>52</v>
      </c>
      <c r="F969" t="s">
        <v>53</v>
      </c>
      <c r="G969" t="s">
        <v>27</v>
      </c>
      <c r="H969" t="s">
        <v>54</v>
      </c>
      <c r="I969" t="s">
        <v>55</v>
      </c>
      <c r="J969">
        <v>4</v>
      </c>
      <c r="K969">
        <v>55000</v>
      </c>
      <c r="L969">
        <v>15</v>
      </c>
      <c r="M969">
        <v>187000</v>
      </c>
      <c r="N969">
        <v>154000</v>
      </c>
      <c r="O969">
        <v>33000</v>
      </c>
      <c r="P969" t="s">
        <v>109</v>
      </c>
      <c r="Q969" t="s">
        <v>110</v>
      </c>
      <c r="R969" t="s">
        <v>111</v>
      </c>
      <c r="S969" t="s">
        <v>32</v>
      </c>
      <c r="T969" t="s">
        <v>33</v>
      </c>
      <c r="U969" t="s">
        <v>48</v>
      </c>
      <c r="V969">
        <v>5</v>
      </c>
      <c r="W969">
        <f>Table1[[#This Row],[Profit]]/Table1[[#This Row],[Sales]]</f>
        <v>0.17647058823529413</v>
      </c>
    </row>
    <row r="970" spans="1:23" x14ac:dyDescent="0.25">
      <c r="A970" t="s">
        <v>2082</v>
      </c>
      <c r="B970" s="1">
        <v>45987</v>
      </c>
      <c r="C970" t="s">
        <v>1073</v>
      </c>
      <c r="D970" t="s">
        <v>1143</v>
      </c>
      <c r="E970" t="s">
        <v>25</v>
      </c>
      <c r="F970" t="s">
        <v>26</v>
      </c>
      <c r="G970" t="s">
        <v>27</v>
      </c>
      <c r="H970" t="s">
        <v>28</v>
      </c>
      <c r="I970" t="s">
        <v>29</v>
      </c>
      <c r="J970">
        <v>4</v>
      </c>
      <c r="K970">
        <v>800</v>
      </c>
      <c r="L970">
        <v>10</v>
      </c>
      <c r="M970">
        <v>2880</v>
      </c>
      <c r="N970">
        <v>2240</v>
      </c>
      <c r="O970">
        <v>640</v>
      </c>
      <c r="P970" t="s">
        <v>30</v>
      </c>
      <c r="Q970" t="s">
        <v>30</v>
      </c>
      <c r="R970" t="s">
        <v>31</v>
      </c>
      <c r="S970" t="s">
        <v>46</v>
      </c>
      <c r="T970" t="s">
        <v>47</v>
      </c>
      <c r="U970" t="s">
        <v>34</v>
      </c>
      <c r="V970">
        <v>4</v>
      </c>
      <c r="W970">
        <f>Table1[[#This Row],[Profit]]/Table1[[#This Row],[Sales]]</f>
        <v>0.22222222222222221</v>
      </c>
    </row>
    <row r="971" spans="1:23" x14ac:dyDescent="0.25">
      <c r="A971" t="s">
        <v>2083</v>
      </c>
      <c r="B971" s="1">
        <v>45957</v>
      </c>
      <c r="C971" t="s">
        <v>50</v>
      </c>
      <c r="D971" t="s">
        <v>1807</v>
      </c>
      <c r="E971" t="s">
        <v>52</v>
      </c>
      <c r="F971" t="s">
        <v>53</v>
      </c>
      <c r="G971" t="s">
        <v>27</v>
      </c>
      <c r="H971" t="s">
        <v>54</v>
      </c>
      <c r="I971" t="s">
        <v>55</v>
      </c>
      <c r="J971">
        <v>3</v>
      </c>
      <c r="K971">
        <v>55000</v>
      </c>
      <c r="L971">
        <v>15</v>
      </c>
      <c r="M971">
        <v>140250</v>
      </c>
      <c r="N971">
        <v>115500</v>
      </c>
      <c r="O971">
        <v>24750.000000000011</v>
      </c>
      <c r="P971" t="s">
        <v>30</v>
      </c>
      <c r="Q971" t="s">
        <v>30</v>
      </c>
      <c r="R971" t="s">
        <v>31</v>
      </c>
      <c r="S971" t="s">
        <v>60</v>
      </c>
      <c r="T971" t="s">
        <v>47</v>
      </c>
      <c r="U971" t="s">
        <v>48</v>
      </c>
      <c r="V971">
        <v>2</v>
      </c>
      <c r="W971">
        <f>Table1[[#This Row],[Profit]]/Table1[[#This Row],[Sales]]</f>
        <v>0.17647058823529418</v>
      </c>
    </row>
    <row r="972" spans="1:23" x14ac:dyDescent="0.25">
      <c r="A972" t="s">
        <v>2084</v>
      </c>
      <c r="B972" s="1">
        <v>45951</v>
      </c>
      <c r="C972" t="s">
        <v>337</v>
      </c>
      <c r="D972" t="s">
        <v>424</v>
      </c>
      <c r="E972" t="s">
        <v>52</v>
      </c>
      <c r="F972" t="s">
        <v>53</v>
      </c>
      <c r="G972" t="s">
        <v>27</v>
      </c>
      <c r="H972" t="s">
        <v>54</v>
      </c>
      <c r="I972" t="s">
        <v>55</v>
      </c>
      <c r="J972">
        <v>3</v>
      </c>
      <c r="K972">
        <v>55000</v>
      </c>
      <c r="L972">
        <v>10</v>
      </c>
      <c r="M972">
        <v>148500</v>
      </c>
      <c r="N972">
        <v>115500</v>
      </c>
      <c r="O972">
        <v>33000.000000000007</v>
      </c>
      <c r="P972" t="s">
        <v>95</v>
      </c>
      <c r="Q972" t="s">
        <v>96</v>
      </c>
      <c r="R972" t="s">
        <v>45</v>
      </c>
      <c r="S972" t="s">
        <v>46</v>
      </c>
      <c r="T972" t="s">
        <v>47</v>
      </c>
      <c r="U972" t="s">
        <v>34</v>
      </c>
      <c r="V972">
        <v>2</v>
      </c>
      <c r="W972">
        <f>Table1[[#This Row],[Profit]]/Table1[[#This Row],[Sales]]</f>
        <v>0.22222222222222227</v>
      </c>
    </row>
    <row r="973" spans="1:23" x14ac:dyDescent="0.25">
      <c r="A973" t="s">
        <v>2085</v>
      </c>
      <c r="B973" s="1">
        <v>45958</v>
      </c>
      <c r="C973" t="s">
        <v>293</v>
      </c>
      <c r="D973" t="s">
        <v>909</v>
      </c>
      <c r="E973" t="s">
        <v>52</v>
      </c>
      <c r="F973" t="s">
        <v>53</v>
      </c>
      <c r="G973" t="s">
        <v>27</v>
      </c>
      <c r="H973" t="s">
        <v>54</v>
      </c>
      <c r="I973" t="s">
        <v>55</v>
      </c>
      <c r="J973">
        <v>4</v>
      </c>
      <c r="K973">
        <v>55000</v>
      </c>
      <c r="L973">
        <v>0</v>
      </c>
      <c r="M973">
        <v>220000</v>
      </c>
      <c r="N973">
        <v>154000</v>
      </c>
      <c r="O973">
        <v>66000</v>
      </c>
      <c r="P973" t="s">
        <v>30</v>
      </c>
      <c r="Q973" t="s">
        <v>30</v>
      </c>
      <c r="R973" t="s">
        <v>31</v>
      </c>
      <c r="S973" t="s">
        <v>32</v>
      </c>
      <c r="T973" t="s">
        <v>47</v>
      </c>
      <c r="U973" t="s">
        <v>34</v>
      </c>
      <c r="V973">
        <v>3</v>
      </c>
      <c r="W973">
        <f>Table1[[#This Row],[Profit]]/Table1[[#This Row],[Sales]]</f>
        <v>0.3</v>
      </c>
    </row>
    <row r="974" spans="1:23" x14ac:dyDescent="0.25">
      <c r="A974" t="s">
        <v>2086</v>
      </c>
      <c r="B974" s="1">
        <v>45948</v>
      </c>
      <c r="C974" t="s">
        <v>2087</v>
      </c>
      <c r="D974" t="s">
        <v>895</v>
      </c>
      <c r="E974" t="s">
        <v>52</v>
      </c>
      <c r="F974" t="s">
        <v>53</v>
      </c>
      <c r="G974" t="s">
        <v>27</v>
      </c>
      <c r="H974" t="s">
        <v>54</v>
      </c>
      <c r="I974" t="s">
        <v>55</v>
      </c>
      <c r="J974">
        <v>4</v>
      </c>
      <c r="K974">
        <v>55000</v>
      </c>
      <c r="L974">
        <v>15</v>
      </c>
      <c r="M974">
        <v>187000</v>
      </c>
      <c r="N974">
        <v>154000</v>
      </c>
      <c r="O974">
        <v>33000</v>
      </c>
      <c r="P974" t="s">
        <v>43</v>
      </c>
      <c r="Q974" t="s">
        <v>44</v>
      </c>
      <c r="R974" t="s">
        <v>45</v>
      </c>
      <c r="S974" t="s">
        <v>60</v>
      </c>
      <c r="T974" t="s">
        <v>47</v>
      </c>
      <c r="U974" t="s">
        <v>34</v>
      </c>
      <c r="V974">
        <v>2</v>
      </c>
      <c r="W974">
        <f>Table1[[#This Row],[Profit]]/Table1[[#This Row],[Sales]]</f>
        <v>0.17647058823529413</v>
      </c>
    </row>
    <row r="975" spans="1:23" x14ac:dyDescent="0.25">
      <c r="A975" t="s">
        <v>2088</v>
      </c>
      <c r="B975" s="1">
        <v>45731</v>
      </c>
      <c r="C975" t="s">
        <v>1835</v>
      </c>
      <c r="D975" t="s">
        <v>2089</v>
      </c>
      <c r="E975" t="s">
        <v>52</v>
      </c>
      <c r="F975" t="s">
        <v>53</v>
      </c>
      <c r="G975" t="s">
        <v>27</v>
      </c>
      <c r="H975" t="s">
        <v>54</v>
      </c>
      <c r="I975" t="s">
        <v>55</v>
      </c>
      <c r="J975">
        <v>2</v>
      </c>
      <c r="K975">
        <v>55000</v>
      </c>
      <c r="L975">
        <v>10</v>
      </c>
      <c r="M975">
        <v>99000</v>
      </c>
      <c r="N975">
        <v>77000</v>
      </c>
      <c r="O975">
        <v>22000</v>
      </c>
      <c r="P975" t="s">
        <v>30</v>
      </c>
      <c r="Q975" t="s">
        <v>30</v>
      </c>
      <c r="R975" t="s">
        <v>31</v>
      </c>
      <c r="S975" t="s">
        <v>60</v>
      </c>
      <c r="T975" t="s">
        <v>56</v>
      </c>
      <c r="U975" t="s">
        <v>48</v>
      </c>
      <c r="V975">
        <v>1</v>
      </c>
      <c r="W975">
        <f>Table1[[#This Row],[Profit]]/Table1[[#This Row],[Sales]]</f>
        <v>0.22222222222222221</v>
      </c>
    </row>
    <row r="976" spans="1:23" x14ac:dyDescent="0.25">
      <c r="A976" t="s">
        <v>2090</v>
      </c>
      <c r="B976" s="1">
        <v>45862</v>
      </c>
      <c r="C976" t="s">
        <v>2091</v>
      </c>
      <c r="D976" t="s">
        <v>1028</v>
      </c>
      <c r="E976" t="s">
        <v>73</v>
      </c>
      <c r="F976" t="s">
        <v>74</v>
      </c>
      <c r="G976" t="s">
        <v>27</v>
      </c>
      <c r="H976" t="s">
        <v>75</v>
      </c>
      <c r="I976" t="s">
        <v>76</v>
      </c>
      <c r="J976">
        <v>4</v>
      </c>
      <c r="K976">
        <v>3500</v>
      </c>
      <c r="L976">
        <v>0</v>
      </c>
      <c r="M976">
        <v>14000</v>
      </c>
      <c r="N976">
        <v>9800</v>
      </c>
      <c r="O976">
        <v>4200</v>
      </c>
      <c r="P976" t="s">
        <v>109</v>
      </c>
      <c r="Q976" t="s">
        <v>110</v>
      </c>
      <c r="R976" t="s">
        <v>111</v>
      </c>
      <c r="S976" t="s">
        <v>46</v>
      </c>
      <c r="T976" t="s">
        <v>33</v>
      </c>
      <c r="U976" t="s">
        <v>48</v>
      </c>
      <c r="V976">
        <v>3</v>
      </c>
      <c r="W976">
        <f>Table1[[#This Row],[Profit]]/Table1[[#This Row],[Sales]]</f>
        <v>0.3</v>
      </c>
    </row>
    <row r="977" spans="1:23" x14ac:dyDescent="0.25">
      <c r="A977" t="s">
        <v>2092</v>
      </c>
      <c r="B977" s="1">
        <v>45920</v>
      </c>
      <c r="C977" t="s">
        <v>470</v>
      </c>
      <c r="D977" t="s">
        <v>1844</v>
      </c>
      <c r="E977" t="s">
        <v>67</v>
      </c>
      <c r="F977" t="s">
        <v>68</v>
      </c>
      <c r="G977" t="s">
        <v>27</v>
      </c>
      <c r="H977" t="s">
        <v>28</v>
      </c>
      <c r="I977" t="s">
        <v>69</v>
      </c>
      <c r="J977">
        <v>5</v>
      </c>
      <c r="K977">
        <v>1500</v>
      </c>
      <c r="L977">
        <v>10</v>
      </c>
      <c r="M977">
        <v>6750</v>
      </c>
      <c r="N977">
        <v>5250</v>
      </c>
      <c r="O977">
        <v>1500</v>
      </c>
      <c r="P977" t="s">
        <v>30</v>
      </c>
      <c r="Q977" t="s">
        <v>30</v>
      </c>
      <c r="R977" t="s">
        <v>31</v>
      </c>
      <c r="S977" t="s">
        <v>60</v>
      </c>
      <c r="T977" t="s">
        <v>33</v>
      </c>
      <c r="U977" t="s">
        <v>48</v>
      </c>
      <c r="V977">
        <v>5</v>
      </c>
      <c r="W977">
        <f>Table1[[#This Row],[Profit]]/Table1[[#This Row],[Sales]]</f>
        <v>0.22222222222222221</v>
      </c>
    </row>
    <row r="978" spans="1:23" x14ac:dyDescent="0.25">
      <c r="A978" t="s">
        <v>2093</v>
      </c>
      <c r="B978" s="1">
        <v>45802</v>
      </c>
      <c r="C978" t="s">
        <v>890</v>
      </c>
      <c r="D978" t="s">
        <v>2094</v>
      </c>
      <c r="E978" t="s">
        <v>67</v>
      </c>
      <c r="F978" t="s">
        <v>68</v>
      </c>
      <c r="G978" t="s">
        <v>27</v>
      </c>
      <c r="H978" t="s">
        <v>28</v>
      </c>
      <c r="I978" t="s">
        <v>69</v>
      </c>
      <c r="J978">
        <v>2</v>
      </c>
      <c r="K978">
        <v>1500</v>
      </c>
      <c r="L978">
        <v>15</v>
      </c>
      <c r="M978">
        <v>2550</v>
      </c>
      <c r="N978">
        <v>2100</v>
      </c>
      <c r="O978">
        <v>450</v>
      </c>
      <c r="P978" t="s">
        <v>95</v>
      </c>
      <c r="Q978" t="s">
        <v>96</v>
      </c>
      <c r="R978" t="s">
        <v>45</v>
      </c>
      <c r="S978" t="s">
        <v>60</v>
      </c>
      <c r="T978" t="s">
        <v>47</v>
      </c>
      <c r="U978" t="s">
        <v>48</v>
      </c>
      <c r="V978">
        <v>1</v>
      </c>
      <c r="W978">
        <f>Table1[[#This Row],[Profit]]/Table1[[#This Row],[Sales]]</f>
        <v>0.17647058823529413</v>
      </c>
    </row>
    <row r="979" spans="1:23" x14ac:dyDescent="0.25">
      <c r="A979" t="s">
        <v>2095</v>
      </c>
      <c r="B979" s="1">
        <v>45931</v>
      </c>
      <c r="C979" t="s">
        <v>1532</v>
      </c>
      <c r="D979" t="s">
        <v>1392</v>
      </c>
      <c r="E979" t="s">
        <v>25</v>
      </c>
      <c r="F979" t="s">
        <v>26</v>
      </c>
      <c r="G979" t="s">
        <v>27</v>
      </c>
      <c r="H979" t="s">
        <v>28</v>
      </c>
      <c r="I979" t="s">
        <v>29</v>
      </c>
      <c r="J979">
        <v>1</v>
      </c>
      <c r="K979">
        <v>800</v>
      </c>
      <c r="L979">
        <v>5</v>
      </c>
      <c r="M979">
        <v>760</v>
      </c>
      <c r="N979">
        <v>560</v>
      </c>
      <c r="O979">
        <v>200</v>
      </c>
      <c r="P979" t="s">
        <v>30</v>
      </c>
      <c r="Q979" t="s">
        <v>30</v>
      </c>
      <c r="R979" t="s">
        <v>31</v>
      </c>
      <c r="S979" t="s">
        <v>60</v>
      </c>
      <c r="T979" t="s">
        <v>33</v>
      </c>
      <c r="U979" t="s">
        <v>34</v>
      </c>
      <c r="V979">
        <v>3</v>
      </c>
      <c r="W979">
        <f>Table1[[#This Row],[Profit]]/Table1[[#This Row],[Sales]]</f>
        <v>0.26315789473684209</v>
      </c>
    </row>
    <row r="980" spans="1:23" x14ac:dyDescent="0.25">
      <c r="A980" t="s">
        <v>2096</v>
      </c>
      <c r="B980" s="1">
        <v>45662</v>
      </c>
      <c r="C980" t="s">
        <v>1249</v>
      </c>
      <c r="D980" t="s">
        <v>1163</v>
      </c>
      <c r="E980" t="s">
        <v>38</v>
      </c>
      <c r="F980" t="s">
        <v>39</v>
      </c>
      <c r="G980" t="s">
        <v>40</v>
      </c>
      <c r="H980" t="s">
        <v>41</v>
      </c>
      <c r="I980" t="s">
        <v>42</v>
      </c>
      <c r="J980">
        <v>2</v>
      </c>
      <c r="K980">
        <v>4500</v>
      </c>
      <c r="L980">
        <v>15</v>
      </c>
      <c r="M980">
        <v>7650</v>
      </c>
      <c r="N980">
        <v>6300</v>
      </c>
      <c r="O980">
        <v>1350</v>
      </c>
      <c r="P980" t="s">
        <v>95</v>
      </c>
      <c r="Q980" t="s">
        <v>96</v>
      </c>
      <c r="R980" t="s">
        <v>45</v>
      </c>
      <c r="S980" t="s">
        <v>32</v>
      </c>
      <c r="T980" t="s">
        <v>56</v>
      </c>
      <c r="U980" t="s">
        <v>48</v>
      </c>
      <c r="V980">
        <v>1</v>
      </c>
      <c r="W980">
        <f>Table1[[#This Row],[Profit]]/Table1[[#This Row],[Sales]]</f>
        <v>0.17647058823529413</v>
      </c>
    </row>
    <row r="981" spans="1:23" x14ac:dyDescent="0.25">
      <c r="A981" t="s">
        <v>2097</v>
      </c>
      <c r="B981" s="1">
        <v>45811</v>
      </c>
      <c r="C981" t="s">
        <v>2098</v>
      </c>
      <c r="D981" t="s">
        <v>117</v>
      </c>
      <c r="E981" t="s">
        <v>52</v>
      </c>
      <c r="F981" t="s">
        <v>53</v>
      </c>
      <c r="G981" t="s">
        <v>27</v>
      </c>
      <c r="H981" t="s">
        <v>54</v>
      </c>
      <c r="I981" t="s">
        <v>55</v>
      </c>
      <c r="J981">
        <v>2</v>
      </c>
      <c r="K981">
        <v>55000</v>
      </c>
      <c r="L981">
        <v>5</v>
      </c>
      <c r="M981">
        <v>104500</v>
      </c>
      <c r="N981">
        <v>77000</v>
      </c>
      <c r="O981">
        <v>27500</v>
      </c>
      <c r="P981" t="s">
        <v>95</v>
      </c>
      <c r="Q981" t="s">
        <v>96</v>
      </c>
      <c r="R981" t="s">
        <v>45</v>
      </c>
      <c r="S981" t="s">
        <v>32</v>
      </c>
      <c r="T981" t="s">
        <v>56</v>
      </c>
      <c r="U981" t="s">
        <v>34</v>
      </c>
      <c r="V981">
        <v>4</v>
      </c>
      <c r="W981">
        <f>Table1[[#This Row],[Profit]]/Table1[[#This Row],[Sales]]</f>
        <v>0.26315789473684209</v>
      </c>
    </row>
    <row r="982" spans="1:23" x14ac:dyDescent="0.25">
      <c r="A982" t="s">
        <v>2099</v>
      </c>
      <c r="B982" s="1">
        <v>45973</v>
      </c>
      <c r="C982" t="s">
        <v>1451</v>
      </c>
      <c r="D982" t="s">
        <v>520</v>
      </c>
      <c r="E982" t="s">
        <v>38</v>
      </c>
      <c r="F982" t="s">
        <v>39</v>
      </c>
      <c r="G982" t="s">
        <v>40</v>
      </c>
      <c r="H982" t="s">
        <v>41</v>
      </c>
      <c r="I982" t="s">
        <v>42</v>
      </c>
      <c r="J982">
        <v>2</v>
      </c>
      <c r="K982">
        <v>4500</v>
      </c>
      <c r="L982">
        <v>0</v>
      </c>
      <c r="M982">
        <v>9000</v>
      </c>
      <c r="N982">
        <v>6300</v>
      </c>
      <c r="O982">
        <v>2700</v>
      </c>
      <c r="P982" t="s">
        <v>43</v>
      </c>
      <c r="Q982" t="s">
        <v>44</v>
      </c>
      <c r="R982" t="s">
        <v>45</v>
      </c>
      <c r="S982" t="s">
        <v>32</v>
      </c>
      <c r="T982" t="s">
        <v>56</v>
      </c>
      <c r="U982" t="s">
        <v>34</v>
      </c>
      <c r="V982">
        <v>4</v>
      </c>
      <c r="W982">
        <f>Table1[[#This Row],[Profit]]/Table1[[#This Row],[Sales]]</f>
        <v>0.3</v>
      </c>
    </row>
    <row r="983" spans="1:23" x14ac:dyDescent="0.25">
      <c r="A983" t="s">
        <v>2100</v>
      </c>
      <c r="B983" s="1">
        <v>45846</v>
      </c>
      <c r="C983" t="s">
        <v>2101</v>
      </c>
      <c r="D983" t="s">
        <v>2102</v>
      </c>
      <c r="E983" t="s">
        <v>67</v>
      </c>
      <c r="F983" t="s">
        <v>68</v>
      </c>
      <c r="G983" t="s">
        <v>27</v>
      </c>
      <c r="H983" t="s">
        <v>28</v>
      </c>
      <c r="I983" t="s">
        <v>69</v>
      </c>
      <c r="J983">
        <v>3</v>
      </c>
      <c r="K983">
        <v>1500</v>
      </c>
      <c r="L983">
        <v>15</v>
      </c>
      <c r="M983">
        <v>3825</v>
      </c>
      <c r="N983">
        <v>3150</v>
      </c>
      <c r="O983">
        <v>675</v>
      </c>
      <c r="P983" t="s">
        <v>30</v>
      </c>
      <c r="Q983" t="s">
        <v>30</v>
      </c>
      <c r="R983" t="s">
        <v>31</v>
      </c>
      <c r="S983" t="s">
        <v>32</v>
      </c>
      <c r="T983" t="s">
        <v>47</v>
      </c>
      <c r="U983" t="s">
        <v>34</v>
      </c>
      <c r="V983">
        <v>2</v>
      </c>
      <c r="W983">
        <f>Table1[[#This Row],[Profit]]/Table1[[#This Row],[Sales]]</f>
        <v>0.17647058823529413</v>
      </c>
    </row>
    <row r="984" spans="1:23" x14ac:dyDescent="0.25">
      <c r="A984" t="s">
        <v>2103</v>
      </c>
      <c r="B984" s="1">
        <v>45734</v>
      </c>
      <c r="C984" t="s">
        <v>1348</v>
      </c>
      <c r="D984" t="s">
        <v>117</v>
      </c>
      <c r="E984" t="s">
        <v>67</v>
      </c>
      <c r="F984" t="s">
        <v>68</v>
      </c>
      <c r="G984" t="s">
        <v>27</v>
      </c>
      <c r="H984" t="s">
        <v>28</v>
      </c>
      <c r="I984" t="s">
        <v>69</v>
      </c>
      <c r="J984">
        <v>3</v>
      </c>
      <c r="K984">
        <v>1500</v>
      </c>
      <c r="L984">
        <v>10</v>
      </c>
      <c r="M984">
        <v>4050</v>
      </c>
      <c r="N984">
        <v>3150</v>
      </c>
      <c r="O984">
        <v>900</v>
      </c>
      <c r="P984" t="s">
        <v>30</v>
      </c>
      <c r="Q984" t="s">
        <v>30</v>
      </c>
      <c r="R984" t="s">
        <v>31</v>
      </c>
      <c r="S984" t="s">
        <v>60</v>
      </c>
      <c r="T984" t="s">
        <v>33</v>
      </c>
      <c r="U984" t="s">
        <v>34</v>
      </c>
      <c r="V984">
        <v>1</v>
      </c>
      <c r="W984">
        <f>Table1[[#This Row],[Profit]]/Table1[[#This Row],[Sales]]</f>
        <v>0.22222222222222221</v>
      </c>
    </row>
    <row r="985" spans="1:23" x14ac:dyDescent="0.25">
      <c r="A985" t="s">
        <v>2104</v>
      </c>
      <c r="B985" s="1">
        <v>45841</v>
      </c>
      <c r="C985" t="s">
        <v>2105</v>
      </c>
      <c r="D985" t="s">
        <v>105</v>
      </c>
      <c r="E985" t="s">
        <v>52</v>
      </c>
      <c r="F985" t="s">
        <v>53</v>
      </c>
      <c r="G985" t="s">
        <v>27</v>
      </c>
      <c r="H985" t="s">
        <v>54</v>
      </c>
      <c r="I985" t="s">
        <v>55</v>
      </c>
      <c r="J985">
        <v>1</v>
      </c>
      <c r="K985">
        <v>55000</v>
      </c>
      <c r="L985">
        <v>0</v>
      </c>
      <c r="M985">
        <v>55000</v>
      </c>
      <c r="N985">
        <v>38500</v>
      </c>
      <c r="O985">
        <v>16500</v>
      </c>
      <c r="P985" t="s">
        <v>30</v>
      </c>
      <c r="Q985" t="s">
        <v>30</v>
      </c>
      <c r="R985" t="s">
        <v>31</v>
      </c>
      <c r="S985" t="s">
        <v>46</v>
      </c>
      <c r="T985" t="s">
        <v>33</v>
      </c>
      <c r="U985" t="s">
        <v>34</v>
      </c>
      <c r="V985">
        <v>3</v>
      </c>
      <c r="W985">
        <f>Table1[[#This Row],[Profit]]/Table1[[#This Row],[Sales]]</f>
        <v>0.3</v>
      </c>
    </row>
    <row r="986" spans="1:23" x14ac:dyDescent="0.25">
      <c r="A986" t="s">
        <v>2106</v>
      </c>
      <c r="B986" s="1">
        <v>45721</v>
      </c>
      <c r="C986" t="s">
        <v>1130</v>
      </c>
      <c r="D986" t="s">
        <v>2107</v>
      </c>
      <c r="E986" t="s">
        <v>73</v>
      </c>
      <c r="F986" t="s">
        <v>74</v>
      </c>
      <c r="G986" t="s">
        <v>27</v>
      </c>
      <c r="H986" t="s">
        <v>75</v>
      </c>
      <c r="I986" t="s">
        <v>76</v>
      </c>
      <c r="J986">
        <v>1</v>
      </c>
      <c r="K986">
        <v>3500</v>
      </c>
      <c r="L986">
        <v>0</v>
      </c>
      <c r="M986">
        <v>3500</v>
      </c>
      <c r="N986">
        <v>2450</v>
      </c>
      <c r="O986">
        <v>1050</v>
      </c>
      <c r="P986" t="s">
        <v>109</v>
      </c>
      <c r="Q986" t="s">
        <v>110</v>
      </c>
      <c r="R986" t="s">
        <v>111</v>
      </c>
      <c r="S986" t="s">
        <v>32</v>
      </c>
      <c r="T986" t="s">
        <v>56</v>
      </c>
      <c r="U986" t="s">
        <v>48</v>
      </c>
      <c r="V986">
        <v>5</v>
      </c>
      <c r="W986">
        <f>Table1[[#This Row],[Profit]]/Table1[[#This Row],[Sales]]</f>
        <v>0.3</v>
      </c>
    </row>
    <row r="987" spans="1:23" x14ac:dyDescent="0.25">
      <c r="A987" t="s">
        <v>2108</v>
      </c>
      <c r="B987" s="1">
        <v>45774</v>
      </c>
      <c r="C987" t="s">
        <v>1266</v>
      </c>
      <c r="D987" t="s">
        <v>94</v>
      </c>
      <c r="E987" t="s">
        <v>25</v>
      </c>
      <c r="F987" t="s">
        <v>26</v>
      </c>
      <c r="G987" t="s">
        <v>27</v>
      </c>
      <c r="H987" t="s">
        <v>28</v>
      </c>
      <c r="I987" t="s">
        <v>29</v>
      </c>
      <c r="J987">
        <v>3</v>
      </c>
      <c r="K987">
        <v>800</v>
      </c>
      <c r="L987">
        <v>10</v>
      </c>
      <c r="M987">
        <v>2160</v>
      </c>
      <c r="N987">
        <v>1680</v>
      </c>
      <c r="O987">
        <v>480</v>
      </c>
      <c r="P987" t="s">
        <v>95</v>
      </c>
      <c r="Q987" t="s">
        <v>96</v>
      </c>
      <c r="R987" t="s">
        <v>45</v>
      </c>
      <c r="S987" t="s">
        <v>32</v>
      </c>
      <c r="T987" t="s">
        <v>33</v>
      </c>
      <c r="U987" t="s">
        <v>34</v>
      </c>
      <c r="V987">
        <v>4</v>
      </c>
      <c r="W987">
        <f>Table1[[#This Row],[Profit]]/Table1[[#This Row],[Sales]]</f>
        <v>0.22222222222222221</v>
      </c>
    </row>
    <row r="988" spans="1:23" x14ac:dyDescent="0.25">
      <c r="A988" t="s">
        <v>2109</v>
      </c>
      <c r="B988" s="1">
        <v>45800</v>
      </c>
      <c r="C988" t="s">
        <v>1443</v>
      </c>
      <c r="D988" t="s">
        <v>2051</v>
      </c>
      <c r="E988" t="s">
        <v>38</v>
      </c>
      <c r="F988" t="s">
        <v>39</v>
      </c>
      <c r="G988" t="s">
        <v>40</v>
      </c>
      <c r="H988" t="s">
        <v>41</v>
      </c>
      <c r="I988" t="s">
        <v>42</v>
      </c>
      <c r="J988">
        <v>1</v>
      </c>
      <c r="K988">
        <v>4500</v>
      </c>
      <c r="L988">
        <v>0</v>
      </c>
      <c r="M988">
        <v>4500</v>
      </c>
      <c r="N988">
        <v>3150</v>
      </c>
      <c r="O988">
        <v>1350</v>
      </c>
      <c r="P988" t="s">
        <v>43</v>
      </c>
      <c r="Q988" t="s">
        <v>44</v>
      </c>
      <c r="R988" t="s">
        <v>45</v>
      </c>
      <c r="S988" t="s">
        <v>60</v>
      </c>
      <c r="T988" t="s">
        <v>33</v>
      </c>
      <c r="U988" t="s">
        <v>34</v>
      </c>
      <c r="V988">
        <v>3</v>
      </c>
      <c r="W988">
        <f>Table1[[#This Row],[Profit]]/Table1[[#This Row],[Sales]]</f>
        <v>0.3</v>
      </c>
    </row>
    <row r="989" spans="1:23" x14ac:dyDescent="0.25">
      <c r="A989" t="s">
        <v>2110</v>
      </c>
      <c r="B989" s="1">
        <v>45914</v>
      </c>
      <c r="C989" t="s">
        <v>1892</v>
      </c>
      <c r="D989" t="s">
        <v>679</v>
      </c>
      <c r="E989" t="s">
        <v>38</v>
      </c>
      <c r="F989" t="s">
        <v>39</v>
      </c>
      <c r="G989" t="s">
        <v>40</v>
      </c>
      <c r="H989" t="s">
        <v>41</v>
      </c>
      <c r="I989" t="s">
        <v>42</v>
      </c>
      <c r="J989">
        <v>1</v>
      </c>
      <c r="K989">
        <v>4500</v>
      </c>
      <c r="L989">
        <v>10</v>
      </c>
      <c r="M989">
        <v>4050</v>
      </c>
      <c r="N989">
        <v>3150</v>
      </c>
      <c r="O989">
        <v>900</v>
      </c>
      <c r="P989" t="s">
        <v>43</v>
      </c>
      <c r="Q989" t="s">
        <v>44</v>
      </c>
      <c r="R989" t="s">
        <v>45</v>
      </c>
      <c r="S989" t="s">
        <v>60</v>
      </c>
      <c r="T989" t="s">
        <v>47</v>
      </c>
      <c r="U989" t="s">
        <v>34</v>
      </c>
      <c r="V989">
        <v>4</v>
      </c>
      <c r="W989">
        <f>Table1[[#This Row],[Profit]]/Table1[[#This Row],[Sales]]</f>
        <v>0.22222222222222221</v>
      </c>
    </row>
    <row r="990" spans="1:23" x14ac:dyDescent="0.25">
      <c r="A990" t="s">
        <v>2111</v>
      </c>
      <c r="B990" s="1">
        <v>45993</v>
      </c>
      <c r="C990" t="s">
        <v>481</v>
      </c>
      <c r="D990" t="s">
        <v>1903</v>
      </c>
      <c r="E990" t="s">
        <v>73</v>
      </c>
      <c r="F990" t="s">
        <v>74</v>
      </c>
      <c r="G990" t="s">
        <v>27</v>
      </c>
      <c r="H990" t="s">
        <v>75</v>
      </c>
      <c r="I990" t="s">
        <v>76</v>
      </c>
      <c r="J990">
        <v>3</v>
      </c>
      <c r="K990">
        <v>3500</v>
      </c>
      <c r="L990">
        <v>10</v>
      </c>
      <c r="M990">
        <v>9450</v>
      </c>
      <c r="N990">
        <v>7349.9999999999991</v>
      </c>
      <c r="O990">
        <v>2100.0000000000009</v>
      </c>
      <c r="P990" t="s">
        <v>43</v>
      </c>
      <c r="Q990" t="s">
        <v>44</v>
      </c>
      <c r="R990" t="s">
        <v>45</v>
      </c>
      <c r="S990" t="s">
        <v>46</v>
      </c>
      <c r="T990" t="s">
        <v>33</v>
      </c>
      <c r="U990" t="s">
        <v>34</v>
      </c>
      <c r="V990">
        <v>1</v>
      </c>
      <c r="W990">
        <f>Table1[[#This Row],[Profit]]/Table1[[#This Row],[Sales]]</f>
        <v>0.22222222222222232</v>
      </c>
    </row>
    <row r="991" spans="1:23" x14ac:dyDescent="0.25">
      <c r="A991" t="s">
        <v>2112</v>
      </c>
      <c r="B991" s="1">
        <v>45872</v>
      </c>
      <c r="C991" t="s">
        <v>2113</v>
      </c>
      <c r="D991" t="s">
        <v>397</v>
      </c>
      <c r="E991" t="s">
        <v>25</v>
      </c>
      <c r="F991" t="s">
        <v>26</v>
      </c>
      <c r="G991" t="s">
        <v>27</v>
      </c>
      <c r="H991" t="s">
        <v>28</v>
      </c>
      <c r="I991" t="s">
        <v>29</v>
      </c>
      <c r="J991">
        <v>3</v>
      </c>
      <c r="K991">
        <v>800</v>
      </c>
      <c r="L991">
        <v>15</v>
      </c>
      <c r="M991">
        <v>2040</v>
      </c>
      <c r="N991">
        <v>1680</v>
      </c>
      <c r="O991">
        <v>360</v>
      </c>
      <c r="P991" t="s">
        <v>30</v>
      </c>
      <c r="Q991" t="s">
        <v>30</v>
      </c>
      <c r="R991" t="s">
        <v>31</v>
      </c>
      <c r="S991" t="s">
        <v>46</v>
      </c>
      <c r="T991" t="s">
        <v>56</v>
      </c>
      <c r="U991" t="s">
        <v>34</v>
      </c>
      <c r="V991">
        <v>1</v>
      </c>
      <c r="W991">
        <f>Table1[[#This Row],[Profit]]/Table1[[#This Row],[Sales]]</f>
        <v>0.17647058823529413</v>
      </c>
    </row>
    <row r="992" spans="1:23" x14ac:dyDescent="0.25">
      <c r="A992" t="s">
        <v>2114</v>
      </c>
      <c r="B992" s="1">
        <v>45668</v>
      </c>
      <c r="C992" t="s">
        <v>208</v>
      </c>
      <c r="D992" t="s">
        <v>105</v>
      </c>
      <c r="E992" t="s">
        <v>67</v>
      </c>
      <c r="F992" t="s">
        <v>68</v>
      </c>
      <c r="G992" t="s">
        <v>27</v>
      </c>
      <c r="H992" t="s">
        <v>28</v>
      </c>
      <c r="I992" t="s">
        <v>69</v>
      </c>
      <c r="J992">
        <v>5</v>
      </c>
      <c r="K992">
        <v>1500</v>
      </c>
      <c r="L992">
        <v>0</v>
      </c>
      <c r="M992">
        <v>7500</v>
      </c>
      <c r="N992">
        <v>5250</v>
      </c>
      <c r="O992">
        <v>2250</v>
      </c>
      <c r="P992" t="s">
        <v>95</v>
      </c>
      <c r="Q992" t="s">
        <v>96</v>
      </c>
      <c r="R992" t="s">
        <v>45</v>
      </c>
      <c r="S992" t="s">
        <v>60</v>
      </c>
      <c r="T992" t="s">
        <v>56</v>
      </c>
      <c r="U992" t="s">
        <v>34</v>
      </c>
      <c r="V992">
        <v>4</v>
      </c>
      <c r="W992">
        <f>Table1[[#This Row],[Profit]]/Table1[[#This Row],[Sales]]</f>
        <v>0.3</v>
      </c>
    </row>
    <row r="993" spans="1:23" x14ac:dyDescent="0.25">
      <c r="A993" t="s">
        <v>2115</v>
      </c>
      <c r="B993" s="1">
        <v>45905</v>
      </c>
      <c r="C993" t="s">
        <v>2116</v>
      </c>
      <c r="D993" t="s">
        <v>1258</v>
      </c>
      <c r="E993" t="s">
        <v>73</v>
      </c>
      <c r="F993" t="s">
        <v>74</v>
      </c>
      <c r="G993" t="s">
        <v>27</v>
      </c>
      <c r="H993" t="s">
        <v>75</v>
      </c>
      <c r="I993" t="s">
        <v>76</v>
      </c>
      <c r="J993">
        <v>4</v>
      </c>
      <c r="K993">
        <v>3500</v>
      </c>
      <c r="L993">
        <v>5</v>
      </c>
      <c r="M993">
        <v>13300</v>
      </c>
      <c r="N993">
        <v>9800</v>
      </c>
      <c r="O993">
        <v>3500</v>
      </c>
      <c r="P993" t="s">
        <v>95</v>
      </c>
      <c r="Q993" t="s">
        <v>96</v>
      </c>
      <c r="R993" t="s">
        <v>45</v>
      </c>
      <c r="S993" t="s">
        <v>32</v>
      </c>
      <c r="T993" t="s">
        <v>47</v>
      </c>
      <c r="U993" t="s">
        <v>48</v>
      </c>
      <c r="V993">
        <v>2</v>
      </c>
      <c r="W993">
        <f>Table1[[#This Row],[Profit]]/Table1[[#This Row],[Sales]]</f>
        <v>0.26315789473684209</v>
      </c>
    </row>
    <row r="994" spans="1:23" x14ac:dyDescent="0.25">
      <c r="A994" t="s">
        <v>2117</v>
      </c>
      <c r="B994" s="1">
        <v>45742</v>
      </c>
      <c r="C994" t="s">
        <v>2118</v>
      </c>
      <c r="D994" t="s">
        <v>557</v>
      </c>
      <c r="E994" t="s">
        <v>73</v>
      </c>
      <c r="F994" t="s">
        <v>74</v>
      </c>
      <c r="G994" t="s">
        <v>27</v>
      </c>
      <c r="H994" t="s">
        <v>75</v>
      </c>
      <c r="I994" t="s">
        <v>76</v>
      </c>
      <c r="J994">
        <v>5</v>
      </c>
      <c r="K994">
        <v>3500</v>
      </c>
      <c r="L994">
        <v>15</v>
      </c>
      <c r="M994">
        <v>14875</v>
      </c>
      <c r="N994">
        <v>12250</v>
      </c>
      <c r="O994">
        <v>2625</v>
      </c>
      <c r="P994" t="s">
        <v>43</v>
      </c>
      <c r="Q994" t="s">
        <v>44</v>
      </c>
      <c r="R994" t="s">
        <v>45</v>
      </c>
      <c r="S994" t="s">
        <v>60</v>
      </c>
      <c r="T994" t="s">
        <v>33</v>
      </c>
      <c r="U994" t="s">
        <v>48</v>
      </c>
      <c r="V994">
        <v>3</v>
      </c>
      <c r="W994">
        <f>Table1[[#This Row],[Profit]]/Table1[[#This Row],[Sales]]</f>
        <v>0.17647058823529413</v>
      </c>
    </row>
    <row r="995" spans="1:23" x14ac:dyDescent="0.25">
      <c r="A995" t="s">
        <v>2119</v>
      </c>
      <c r="B995" s="1">
        <v>45807</v>
      </c>
      <c r="C995" t="s">
        <v>113</v>
      </c>
      <c r="D995" t="s">
        <v>612</v>
      </c>
      <c r="E995" t="s">
        <v>67</v>
      </c>
      <c r="F995" t="s">
        <v>68</v>
      </c>
      <c r="G995" t="s">
        <v>27</v>
      </c>
      <c r="H995" t="s">
        <v>28</v>
      </c>
      <c r="I995" t="s">
        <v>69</v>
      </c>
      <c r="J995">
        <v>1</v>
      </c>
      <c r="K995">
        <v>1500</v>
      </c>
      <c r="L995">
        <v>0</v>
      </c>
      <c r="M995">
        <v>1500</v>
      </c>
      <c r="N995">
        <v>1050</v>
      </c>
      <c r="O995">
        <v>450</v>
      </c>
      <c r="P995" t="s">
        <v>30</v>
      </c>
      <c r="Q995" t="s">
        <v>30</v>
      </c>
      <c r="R995" t="s">
        <v>31</v>
      </c>
      <c r="S995" t="s">
        <v>46</v>
      </c>
      <c r="T995" t="s">
        <v>56</v>
      </c>
      <c r="U995" t="s">
        <v>48</v>
      </c>
      <c r="V995">
        <v>5</v>
      </c>
      <c r="W995">
        <f>Table1[[#This Row],[Profit]]/Table1[[#This Row],[Sales]]</f>
        <v>0.3</v>
      </c>
    </row>
    <row r="996" spans="1:23" x14ac:dyDescent="0.25">
      <c r="A996" t="s">
        <v>2120</v>
      </c>
      <c r="B996" s="1">
        <v>45717</v>
      </c>
      <c r="C996" t="s">
        <v>1188</v>
      </c>
      <c r="D996" t="s">
        <v>964</v>
      </c>
      <c r="E996" t="s">
        <v>38</v>
      </c>
      <c r="F996" t="s">
        <v>39</v>
      </c>
      <c r="G996" t="s">
        <v>40</v>
      </c>
      <c r="H996" t="s">
        <v>41</v>
      </c>
      <c r="I996" t="s">
        <v>42</v>
      </c>
      <c r="J996">
        <v>5</v>
      </c>
      <c r="K996">
        <v>4500</v>
      </c>
      <c r="L996">
        <v>0</v>
      </c>
      <c r="M996">
        <v>22500</v>
      </c>
      <c r="N996">
        <v>15750</v>
      </c>
      <c r="O996">
        <v>6750.0000000000018</v>
      </c>
      <c r="P996" t="s">
        <v>30</v>
      </c>
      <c r="Q996" t="s">
        <v>30</v>
      </c>
      <c r="R996" t="s">
        <v>31</v>
      </c>
      <c r="S996" t="s">
        <v>60</v>
      </c>
      <c r="T996" t="s">
        <v>56</v>
      </c>
      <c r="U996" t="s">
        <v>48</v>
      </c>
      <c r="V996">
        <v>4</v>
      </c>
      <c r="W996">
        <f>Table1[[#This Row],[Profit]]/Table1[[#This Row],[Sales]]</f>
        <v>0.3000000000000001</v>
      </c>
    </row>
    <row r="997" spans="1:23" x14ac:dyDescent="0.25">
      <c r="A997" t="s">
        <v>2121</v>
      </c>
      <c r="B997" s="1">
        <v>45824</v>
      </c>
      <c r="C997" t="s">
        <v>2122</v>
      </c>
      <c r="D997" t="s">
        <v>1305</v>
      </c>
      <c r="E997" t="s">
        <v>73</v>
      </c>
      <c r="F997" t="s">
        <v>74</v>
      </c>
      <c r="G997" t="s">
        <v>27</v>
      </c>
      <c r="H997" t="s">
        <v>75</v>
      </c>
      <c r="I997" t="s">
        <v>76</v>
      </c>
      <c r="J997">
        <v>3</v>
      </c>
      <c r="K997">
        <v>3500</v>
      </c>
      <c r="L997">
        <v>10</v>
      </c>
      <c r="M997">
        <v>9450</v>
      </c>
      <c r="N997">
        <v>7349.9999999999991</v>
      </c>
      <c r="O997">
        <v>2100.0000000000009</v>
      </c>
      <c r="P997" t="s">
        <v>30</v>
      </c>
      <c r="Q997" t="s">
        <v>30</v>
      </c>
      <c r="R997" t="s">
        <v>31</v>
      </c>
      <c r="S997" t="s">
        <v>60</v>
      </c>
      <c r="T997" t="s">
        <v>33</v>
      </c>
      <c r="U997" t="s">
        <v>34</v>
      </c>
      <c r="V997">
        <v>3</v>
      </c>
      <c r="W997">
        <f>Table1[[#This Row],[Profit]]/Table1[[#This Row],[Sales]]</f>
        <v>0.22222222222222232</v>
      </c>
    </row>
    <row r="998" spans="1:23" x14ac:dyDescent="0.25">
      <c r="A998" t="s">
        <v>2123</v>
      </c>
      <c r="B998" s="1">
        <v>45910</v>
      </c>
      <c r="C998" t="s">
        <v>1004</v>
      </c>
      <c r="D998" t="s">
        <v>1849</v>
      </c>
      <c r="E998" t="s">
        <v>67</v>
      </c>
      <c r="F998" t="s">
        <v>68</v>
      </c>
      <c r="G998" t="s">
        <v>27</v>
      </c>
      <c r="H998" t="s">
        <v>28</v>
      </c>
      <c r="I998" t="s">
        <v>69</v>
      </c>
      <c r="J998">
        <v>3</v>
      </c>
      <c r="K998">
        <v>1500</v>
      </c>
      <c r="L998">
        <v>10</v>
      </c>
      <c r="M998">
        <v>4050</v>
      </c>
      <c r="N998">
        <v>3150</v>
      </c>
      <c r="O998">
        <v>900</v>
      </c>
      <c r="P998" t="s">
        <v>95</v>
      </c>
      <c r="Q998" t="s">
        <v>96</v>
      </c>
      <c r="R998" t="s">
        <v>45</v>
      </c>
      <c r="S998" t="s">
        <v>46</v>
      </c>
      <c r="T998" t="s">
        <v>56</v>
      </c>
      <c r="U998" t="s">
        <v>48</v>
      </c>
      <c r="V998">
        <v>1</v>
      </c>
      <c r="W998">
        <f>Table1[[#This Row],[Profit]]/Table1[[#This Row],[Sales]]</f>
        <v>0.22222222222222221</v>
      </c>
    </row>
    <row r="999" spans="1:23" x14ac:dyDescent="0.25">
      <c r="A999" t="s">
        <v>2124</v>
      </c>
      <c r="B999" s="1">
        <v>45673</v>
      </c>
      <c r="C999" t="s">
        <v>2125</v>
      </c>
      <c r="D999" t="s">
        <v>1267</v>
      </c>
      <c r="E999" t="s">
        <v>38</v>
      </c>
      <c r="F999" t="s">
        <v>39</v>
      </c>
      <c r="G999" t="s">
        <v>40</v>
      </c>
      <c r="H999" t="s">
        <v>41</v>
      </c>
      <c r="I999" t="s">
        <v>42</v>
      </c>
      <c r="J999">
        <v>5</v>
      </c>
      <c r="K999">
        <v>4500</v>
      </c>
      <c r="L999">
        <v>15</v>
      </c>
      <c r="M999">
        <v>19125</v>
      </c>
      <c r="N999">
        <v>15750</v>
      </c>
      <c r="O999">
        <v>3375.0000000000018</v>
      </c>
      <c r="P999" t="s">
        <v>43</v>
      </c>
      <c r="Q999" t="s">
        <v>44</v>
      </c>
      <c r="R999" t="s">
        <v>45</v>
      </c>
      <c r="S999" t="s">
        <v>60</v>
      </c>
      <c r="T999" t="s">
        <v>33</v>
      </c>
      <c r="U999" t="s">
        <v>48</v>
      </c>
      <c r="V999">
        <v>4</v>
      </c>
      <c r="W999">
        <f>Table1[[#This Row],[Profit]]/Table1[[#This Row],[Sales]]</f>
        <v>0.17647058823529421</v>
      </c>
    </row>
    <row r="1000" spans="1:23" x14ac:dyDescent="0.25">
      <c r="A1000" t="s">
        <v>2126</v>
      </c>
      <c r="B1000" s="1">
        <v>45752</v>
      </c>
      <c r="C1000" t="s">
        <v>2098</v>
      </c>
      <c r="D1000" t="s">
        <v>490</v>
      </c>
      <c r="E1000" t="s">
        <v>73</v>
      </c>
      <c r="F1000" t="s">
        <v>74</v>
      </c>
      <c r="G1000" t="s">
        <v>27</v>
      </c>
      <c r="H1000" t="s">
        <v>75</v>
      </c>
      <c r="I1000" t="s">
        <v>76</v>
      </c>
      <c r="J1000">
        <v>3</v>
      </c>
      <c r="K1000">
        <v>3500</v>
      </c>
      <c r="L1000">
        <v>10</v>
      </c>
      <c r="M1000">
        <v>9450</v>
      </c>
      <c r="N1000">
        <v>7349.9999999999991</v>
      </c>
      <c r="O1000">
        <v>2100.0000000000009</v>
      </c>
      <c r="P1000" t="s">
        <v>43</v>
      </c>
      <c r="Q1000" t="s">
        <v>44</v>
      </c>
      <c r="R1000" t="s">
        <v>45</v>
      </c>
      <c r="S1000" t="s">
        <v>32</v>
      </c>
      <c r="T1000" t="s">
        <v>47</v>
      </c>
      <c r="U1000" t="s">
        <v>34</v>
      </c>
      <c r="V1000">
        <v>2</v>
      </c>
      <c r="W1000">
        <f>Table1[[#This Row],[Profit]]/Table1[[#This Row],[Sales]]</f>
        <v>0.22222222222222232</v>
      </c>
    </row>
    <row r="1001" spans="1:23" x14ac:dyDescent="0.25">
      <c r="A1001" t="s">
        <v>2127</v>
      </c>
      <c r="B1001" s="1">
        <v>45725</v>
      </c>
      <c r="C1001" t="s">
        <v>2128</v>
      </c>
      <c r="D1001" t="s">
        <v>518</v>
      </c>
      <c r="E1001" t="s">
        <v>67</v>
      </c>
      <c r="F1001" t="s">
        <v>68</v>
      </c>
      <c r="G1001" t="s">
        <v>27</v>
      </c>
      <c r="H1001" t="s">
        <v>28</v>
      </c>
      <c r="I1001" t="s">
        <v>69</v>
      </c>
      <c r="J1001">
        <v>4</v>
      </c>
      <c r="K1001">
        <v>1500</v>
      </c>
      <c r="L1001">
        <v>0</v>
      </c>
      <c r="M1001">
        <v>6000</v>
      </c>
      <c r="N1001">
        <v>4200</v>
      </c>
      <c r="O1001">
        <v>1800</v>
      </c>
      <c r="P1001" t="s">
        <v>43</v>
      </c>
      <c r="Q1001" t="s">
        <v>44</v>
      </c>
      <c r="R1001" t="s">
        <v>45</v>
      </c>
      <c r="S1001" t="s">
        <v>32</v>
      </c>
      <c r="T1001" t="s">
        <v>56</v>
      </c>
      <c r="U1001" t="s">
        <v>34</v>
      </c>
      <c r="V1001">
        <v>2</v>
      </c>
      <c r="W1001">
        <f>Table1[[#This Row],[Profit]]/Table1[[#This Row],[Sales]]</f>
        <v>0.3</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deshboard</vt:lpstr>
      <vt:lpstr>Sheet2</vt:lpstr>
      <vt:lpstr>Amazon_Sales_Data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S204</cp:lastModifiedBy>
  <dcterms:created xsi:type="dcterms:W3CDTF">2026-07-28T04:30:59Z</dcterms:created>
  <dcterms:modified xsi:type="dcterms:W3CDTF">2026-09-21T10:44:54Z</dcterms:modified>
</cp:coreProperties>
</file>